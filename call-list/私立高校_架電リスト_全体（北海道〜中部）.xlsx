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都道府県別集計" sheetId="2" state="visible" r:id="rId2"/>
    <sheet name="使い方・注意事項" sheetId="3" state="visible" r:id="rId3"/>
  </sheets>
  <definedNames>
    <definedName name="_xlnm._FilterDatabase" localSheetId="0" hidden="1">'架電リスト'!$A$4:$O$807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7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0269.html" TargetMode="External" Id="rId1" /><Relationship Type="http://schemas.openxmlformats.org/officeDocument/2006/relationships/hyperlink" Target="https://www.gakkou.net/kou/view/index_300224.html" TargetMode="External" Id="rId2" /><Relationship Type="http://schemas.openxmlformats.org/officeDocument/2006/relationships/hyperlink" Target="https://www.gakkou.net/kou/view/index_300215.html" TargetMode="External" Id="rId3" /><Relationship Type="http://schemas.openxmlformats.org/officeDocument/2006/relationships/hyperlink" Target="https://www.gakkou.net/kou/view/index_300258.html" TargetMode="External" Id="rId4" /><Relationship Type="http://schemas.openxmlformats.org/officeDocument/2006/relationships/hyperlink" Target="https://www.gakkou.net/kou/view/index_300257.html" TargetMode="External" Id="rId5" /><Relationship Type="http://schemas.openxmlformats.org/officeDocument/2006/relationships/hyperlink" Target="https://www.gakkou.net/kou/view/index_300035.html" TargetMode="External" Id="rId6" /><Relationship Type="http://schemas.openxmlformats.org/officeDocument/2006/relationships/hyperlink" Target="https://www.gakkou.net/kou/view/index_306474.html" TargetMode="External" Id="rId7" /><Relationship Type="http://schemas.openxmlformats.org/officeDocument/2006/relationships/hyperlink" Target="https://www.gakkou.net/kou/view/index_300073.html" TargetMode="External" Id="rId8" /><Relationship Type="http://schemas.openxmlformats.org/officeDocument/2006/relationships/hyperlink" Target="https://www.gakkou.net/kou/view/index_300077.html" TargetMode="External" Id="rId9" /><Relationship Type="http://schemas.openxmlformats.org/officeDocument/2006/relationships/hyperlink" Target="https://www.gakkou.net/kou/view/index_300273.html" TargetMode="External" Id="rId10" /><Relationship Type="http://schemas.openxmlformats.org/officeDocument/2006/relationships/hyperlink" Target="https://www.gakkou.net/kou/view/index_300279.html" TargetMode="External" Id="rId11" /><Relationship Type="http://schemas.openxmlformats.org/officeDocument/2006/relationships/hyperlink" Target="https://www.gakkou.net/kou/view/index_300107.html" TargetMode="External" Id="rId12" /><Relationship Type="http://schemas.openxmlformats.org/officeDocument/2006/relationships/hyperlink" Target="https://www.gakkou.net/kou/view/index_300332.html" TargetMode="External" Id="rId13" /><Relationship Type="http://schemas.openxmlformats.org/officeDocument/2006/relationships/hyperlink" Target="https://www.gakkou.net/kou/view/index_306309.html" TargetMode="External" Id="rId14" /><Relationship Type="http://schemas.openxmlformats.org/officeDocument/2006/relationships/hyperlink" Target="https://www.gakkou.net/kou/view/index_300119.html" TargetMode="External" Id="rId15" /><Relationship Type="http://schemas.openxmlformats.org/officeDocument/2006/relationships/hyperlink" Target="https://www.gakkou.net/kou/view/index_300030.html" TargetMode="External" Id="rId16" /><Relationship Type="http://schemas.openxmlformats.org/officeDocument/2006/relationships/hyperlink" Target="https://www.gakkou.net/kou/view/index_300032.html" TargetMode="External" Id="rId17" /><Relationship Type="http://schemas.openxmlformats.org/officeDocument/2006/relationships/hyperlink" Target="https://www.gakkou.net/kou/view/index_300015.html" TargetMode="External" Id="rId18" /><Relationship Type="http://schemas.openxmlformats.org/officeDocument/2006/relationships/hyperlink" Target="https://www.gakkou.net/kou/view/index_306723.html" TargetMode="External" Id="rId19" /><Relationship Type="http://schemas.openxmlformats.org/officeDocument/2006/relationships/hyperlink" Target="https://www.gakkou.net/kou/view/index_300147.html" TargetMode="External" Id="rId20" /><Relationship Type="http://schemas.openxmlformats.org/officeDocument/2006/relationships/hyperlink" Target="https://www.gakkou.net/kou/view/index_300153.html" TargetMode="External" Id="rId21" /><Relationship Type="http://schemas.openxmlformats.org/officeDocument/2006/relationships/hyperlink" Target="https://www.gakkou.net/kou/view/index_300170.html" TargetMode="External" Id="rId22" /><Relationship Type="http://schemas.openxmlformats.org/officeDocument/2006/relationships/hyperlink" Target="https://www.gakkou.net/kou/view/index_300159.html" TargetMode="External" Id="rId23" /><Relationship Type="http://schemas.openxmlformats.org/officeDocument/2006/relationships/hyperlink" Target="https://www.gakkou.net/kou/view/index_300031.html" TargetMode="External" Id="rId24" /><Relationship Type="http://schemas.openxmlformats.org/officeDocument/2006/relationships/hyperlink" Target="https://www.gakkou.net/kou/view/index_300178.html" TargetMode="External" Id="rId25" /><Relationship Type="http://schemas.openxmlformats.org/officeDocument/2006/relationships/hyperlink" Target="https://www.gakkou.net/kou/view/index_300142.html" TargetMode="External" Id="rId26" /><Relationship Type="http://schemas.openxmlformats.org/officeDocument/2006/relationships/hyperlink" Target="https://www.gakkou.net/kou/view/index_300290.html" TargetMode="External" Id="rId27" /><Relationship Type="http://schemas.openxmlformats.org/officeDocument/2006/relationships/hyperlink" Target="https://www.gakkou.net/kou/view/index_306406.html" TargetMode="External" Id="rId28" /><Relationship Type="http://schemas.openxmlformats.org/officeDocument/2006/relationships/hyperlink" Target="https://www.gakkou.net/kou/view/index_300044.html" TargetMode="External" Id="rId29" /><Relationship Type="http://schemas.openxmlformats.org/officeDocument/2006/relationships/hyperlink" Target="https://www.gakkou.net/kou/view/index_300017.html" TargetMode="External" Id="rId30" /><Relationship Type="http://schemas.openxmlformats.org/officeDocument/2006/relationships/hyperlink" Target="https://www.gakkou.net/kou/view/index_300122.html" TargetMode="External" Id="rId31" /><Relationship Type="http://schemas.openxmlformats.org/officeDocument/2006/relationships/hyperlink" Target="https://www.gakkou.net/kou/view/index_306787.html" TargetMode="External" Id="rId32" /><Relationship Type="http://schemas.openxmlformats.org/officeDocument/2006/relationships/hyperlink" Target="https://www.gakkou.net/kou/view/index_300050.html" TargetMode="External" Id="rId33" /><Relationship Type="http://schemas.openxmlformats.org/officeDocument/2006/relationships/hyperlink" Target="https://www.gakkou.net/kou/view/index_300034.html" TargetMode="External" Id="rId34" /><Relationship Type="http://schemas.openxmlformats.org/officeDocument/2006/relationships/hyperlink" Target="https://www.gakkou.net/kou/view/index_300045.html" TargetMode="External" Id="rId35" /><Relationship Type="http://schemas.openxmlformats.org/officeDocument/2006/relationships/hyperlink" Target="https://www.gakkou.net/kou/view/index_300055.html" TargetMode="External" Id="rId36" /><Relationship Type="http://schemas.openxmlformats.org/officeDocument/2006/relationships/hyperlink" Target="https://www.gakkou.net/kou/view/index_300054.html" TargetMode="External" Id="rId37" /><Relationship Type="http://schemas.openxmlformats.org/officeDocument/2006/relationships/hyperlink" Target="https://www.gakkou.net/kou/view/index_300047.html" TargetMode="External" Id="rId38" /><Relationship Type="http://schemas.openxmlformats.org/officeDocument/2006/relationships/hyperlink" Target="https://www.gakkou.net/kou/view/index_300154.html" TargetMode="External" Id="rId39" /><Relationship Type="http://schemas.openxmlformats.org/officeDocument/2006/relationships/hyperlink" Target="https://www.gakkou.net/kou/view/index_300301.html" TargetMode="External" Id="rId40" /><Relationship Type="http://schemas.openxmlformats.org/officeDocument/2006/relationships/hyperlink" Target="https://www.gakkou.net/kou/view/index_300076.html" TargetMode="External" Id="rId41" /><Relationship Type="http://schemas.openxmlformats.org/officeDocument/2006/relationships/hyperlink" Target="https://www.gakkou.net/kou/view/index_300148.html" TargetMode="External" Id="rId42" /><Relationship Type="http://schemas.openxmlformats.org/officeDocument/2006/relationships/hyperlink" Target="https://www.gakkou.net/kou/view/index_300012.html" TargetMode="External" Id="rId43" /><Relationship Type="http://schemas.openxmlformats.org/officeDocument/2006/relationships/hyperlink" Target="https://www.gakkou.net/kou/view/index_300066.html" TargetMode="External" Id="rId44" /><Relationship Type="http://schemas.openxmlformats.org/officeDocument/2006/relationships/hyperlink" Target="https://www.gakkou.net/kou/view/index_300169.html" TargetMode="External" Id="rId45" /><Relationship Type="http://schemas.openxmlformats.org/officeDocument/2006/relationships/hyperlink" Target="https://www.gakkou.net/kou/view/index_300174.html" TargetMode="External" Id="rId46" /><Relationship Type="http://schemas.openxmlformats.org/officeDocument/2006/relationships/hyperlink" Target="https://www.gakkou.net/kou/view/index_300173.html" TargetMode="External" Id="rId47" /><Relationship Type="http://schemas.openxmlformats.org/officeDocument/2006/relationships/hyperlink" Target="https://www.gakkou.net/kou/view/index_300105.html" TargetMode="External" Id="rId48" /><Relationship Type="http://schemas.openxmlformats.org/officeDocument/2006/relationships/hyperlink" Target="https://www.gakkou.net/kou/view/index_300175.html" TargetMode="External" Id="rId49" /><Relationship Type="http://schemas.openxmlformats.org/officeDocument/2006/relationships/hyperlink" Target="https://www.gakkou.net/kou/view/index_306548.html" TargetMode="External" Id="rId50" /><Relationship Type="http://schemas.openxmlformats.org/officeDocument/2006/relationships/hyperlink" Target="https://www.gakkou.net/kou/view/index_300137.html" TargetMode="External" Id="rId51" /><Relationship Type="http://schemas.openxmlformats.org/officeDocument/2006/relationships/hyperlink" Target="https://www.gakkou.net/kou/view/index_300021.html" TargetMode="External" Id="rId52" /><Relationship Type="http://schemas.openxmlformats.org/officeDocument/2006/relationships/hyperlink" Target="https://www.gakkou.net/kou/view/index_300202.html" TargetMode="External" Id="rId53" /><Relationship Type="http://schemas.openxmlformats.org/officeDocument/2006/relationships/hyperlink" Target="https://www.gakkou.net/kou/view/index_300201.html" TargetMode="External" Id="rId54" /><Relationship Type="http://schemas.openxmlformats.org/officeDocument/2006/relationships/hyperlink" Target="https://www.gakkou.net/kou/view/index_300355.html" TargetMode="External" Id="rId55" /><Relationship Type="http://schemas.openxmlformats.org/officeDocument/2006/relationships/hyperlink" Target="https://www.gakkou.net/kou/view/index_300402.html" TargetMode="External" Id="rId56" /><Relationship Type="http://schemas.openxmlformats.org/officeDocument/2006/relationships/hyperlink" Target="https://www.gakkou.net/kou/view/index_300394.html" TargetMode="External" Id="rId57" /><Relationship Type="http://schemas.openxmlformats.org/officeDocument/2006/relationships/hyperlink" Target="https://www.gakkou.net/kou/view/index_300406.html" TargetMode="External" Id="rId58" /><Relationship Type="http://schemas.openxmlformats.org/officeDocument/2006/relationships/hyperlink" Target="https://www.gakkou.net/kou/view/index_300449.html" TargetMode="External" Id="rId59" /><Relationship Type="http://schemas.openxmlformats.org/officeDocument/2006/relationships/hyperlink" Target="https://www.gakkou.net/kou/view/index_300441.html" TargetMode="External" Id="rId60" /><Relationship Type="http://schemas.openxmlformats.org/officeDocument/2006/relationships/hyperlink" Target="https://www.gakkou.net/kou/view/index_300453.html" TargetMode="External" Id="rId61" /><Relationship Type="http://schemas.openxmlformats.org/officeDocument/2006/relationships/hyperlink" Target="https://www.gakkou.net/kou/view/index_300489.html" TargetMode="External" Id="rId62" /><Relationship Type="http://schemas.openxmlformats.org/officeDocument/2006/relationships/hyperlink" Target="https://www.gakkou.net/kou/view/index_300405.html" TargetMode="External" Id="rId63" /><Relationship Type="http://schemas.openxmlformats.org/officeDocument/2006/relationships/hyperlink" Target="https://www.gakkou.net/kou/view/index_300392.html" TargetMode="External" Id="rId64" /><Relationship Type="http://schemas.openxmlformats.org/officeDocument/2006/relationships/hyperlink" Target="https://www.gakkou.net/kou/view/index_300439.html" TargetMode="External" Id="rId65" /><Relationship Type="http://schemas.openxmlformats.org/officeDocument/2006/relationships/hyperlink" Target="https://www.gakkou.net/kou/view/index_300413.html" TargetMode="External" Id="rId66" /><Relationship Type="http://schemas.openxmlformats.org/officeDocument/2006/relationships/hyperlink" Target="https://www.gakkou.net/kou/view/index_306426.html" TargetMode="External" Id="rId67" /><Relationship Type="http://schemas.openxmlformats.org/officeDocument/2006/relationships/hyperlink" Target="https://www.gakkou.net/kou/view/index_300418.html" TargetMode="External" Id="rId68" /><Relationship Type="http://schemas.openxmlformats.org/officeDocument/2006/relationships/hyperlink" Target="https://www.gakkou.net/kou/view/index_300415.html" TargetMode="External" Id="rId69" /><Relationship Type="http://schemas.openxmlformats.org/officeDocument/2006/relationships/hyperlink" Target="https://www.gakkou.net/kou/view/index_300480.html" TargetMode="External" Id="rId70" /><Relationship Type="http://schemas.openxmlformats.org/officeDocument/2006/relationships/hyperlink" Target="https://www.gakkou.net/kou/view/index_300440.html" TargetMode="External" Id="rId71" /><Relationship Type="http://schemas.openxmlformats.org/officeDocument/2006/relationships/hyperlink" Target="https://www.gakkou.net/kou/view/index_300438.html" TargetMode="External" Id="rId72" /><Relationship Type="http://schemas.openxmlformats.org/officeDocument/2006/relationships/hyperlink" Target="https://www.gakkou.net/kou/view/index_300522.html" TargetMode="External" Id="rId73" /><Relationship Type="http://schemas.openxmlformats.org/officeDocument/2006/relationships/hyperlink" Target="https://www.gakkou.net/kou/view/index_300521.html" TargetMode="External" Id="rId74" /><Relationship Type="http://schemas.openxmlformats.org/officeDocument/2006/relationships/hyperlink" Target="https://www.gakkou.net/kou/view/index_300499.html" TargetMode="External" Id="rId75" /><Relationship Type="http://schemas.openxmlformats.org/officeDocument/2006/relationships/hyperlink" Target="https://www.gakkou.net/kou/view/index_300496.html" TargetMode="External" Id="rId76" /><Relationship Type="http://schemas.openxmlformats.org/officeDocument/2006/relationships/hyperlink" Target="https://www.gakkou.net/kou/view/index_300506.html" TargetMode="External" Id="rId77" /><Relationship Type="http://schemas.openxmlformats.org/officeDocument/2006/relationships/hyperlink" Target="https://www.gakkou.net/kou/view/index_300544.html" TargetMode="External" Id="rId78" /><Relationship Type="http://schemas.openxmlformats.org/officeDocument/2006/relationships/hyperlink" Target="https://www.gakkou.net/kou/view/index_300548.html" TargetMode="External" Id="rId79" /><Relationship Type="http://schemas.openxmlformats.org/officeDocument/2006/relationships/hyperlink" Target="https://www.gakkou.net/kou/view/index_300536.html" TargetMode="External" Id="rId80" /><Relationship Type="http://schemas.openxmlformats.org/officeDocument/2006/relationships/hyperlink" Target="https://www.gakkou.net/kou/view/index_300495.html" TargetMode="External" Id="rId81" /><Relationship Type="http://schemas.openxmlformats.org/officeDocument/2006/relationships/hyperlink" Target="https://www.gakkou.net/kou/view/index_300516.html" TargetMode="External" Id="rId82" /><Relationship Type="http://schemas.openxmlformats.org/officeDocument/2006/relationships/hyperlink" Target="https://www.gakkou.net/kou/view/index_300503.html" TargetMode="External" Id="rId83" /><Relationship Type="http://schemas.openxmlformats.org/officeDocument/2006/relationships/hyperlink" Target="https://www.gakkou.net/kou/view/index_300505.html" TargetMode="External" Id="rId84" /><Relationship Type="http://schemas.openxmlformats.org/officeDocument/2006/relationships/hyperlink" Target="https://www.gakkou.net/kou/view/index_300504.html" TargetMode="External" Id="rId85" /><Relationship Type="http://schemas.openxmlformats.org/officeDocument/2006/relationships/hyperlink" Target="https://www.gakkou.net/kou/view/index_300725.html" TargetMode="External" Id="rId86" /><Relationship Type="http://schemas.openxmlformats.org/officeDocument/2006/relationships/hyperlink" Target="https://www.gakkou.net/kou/view/index_300616.html" TargetMode="External" Id="rId87" /><Relationship Type="http://schemas.openxmlformats.org/officeDocument/2006/relationships/hyperlink" Target="https://www.gakkou.net/kou/view/index_300657.html" TargetMode="External" Id="rId88" /><Relationship Type="http://schemas.openxmlformats.org/officeDocument/2006/relationships/hyperlink" Target="https://www.gakkou.net/kou/view/index_300617.html" TargetMode="External" Id="rId89" /><Relationship Type="http://schemas.openxmlformats.org/officeDocument/2006/relationships/hyperlink" Target="https://www.gakkou.net/kou/view/index_300654.html" TargetMode="External" Id="rId90" /><Relationship Type="http://schemas.openxmlformats.org/officeDocument/2006/relationships/hyperlink" Target="https://www.gakkou.net/kou/view/index_300651.html" TargetMode="External" Id="rId91" /><Relationship Type="http://schemas.openxmlformats.org/officeDocument/2006/relationships/hyperlink" Target="https://www.gakkou.net/kou/view/index_300608.html" TargetMode="External" Id="rId92" /><Relationship Type="http://schemas.openxmlformats.org/officeDocument/2006/relationships/hyperlink" Target="https://www.gakkou.net/kou/view/index_306757.html" TargetMode="External" Id="rId93" /><Relationship Type="http://schemas.openxmlformats.org/officeDocument/2006/relationships/hyperlink" Target="https://www.gakkou.net/kou/view/index_300625.html" TargetMode="External" Id="rId94" /><Relationship Type="http://schemas.openxmlformats.org/officeDocument/2006/relationships/hyperlink" Target="https://www.gakkou.net/kou/view/index_300609.html" TargetMode="External" Id="rId95" /><Relationship Type="http://schemas.openxmlformats.org/officeDocument/2006/relationships/hyperlink" Target="https://www.gakkou.net/kou/view/index_300632.html" TargetMode="External" Id="rId96" /><Relationship Type="http://schemas.openxmlformats.org/officeDocument/2006/relationships/hyperlink" Target="https://www.gakkou.net/kou/view/index_300623.html" TargetMode="External" Id="rId97" /><Relationship Type="http://schemas.openxmlformats.org/officeDocument/2006/relationships/hyperlink" Target="https://www.gakkou.net/kou/view/index_300641.html" TargetMode="External" Id="rId98" /><Relationship Type="http://schemas.openxmlformats.org/officeDocument/2006/relationships/hyperlink" Target="https://www.gakkou.net/kou/view/index_300698.html" TargetMode="External" Id="rId99" /><Relationship Type="http://schemas.openxmlformats.org/officeDocument/2006/relationships/hyperlink" Target="https://www.gakkou.net/kou/view/index_300607.html" TargetMode="External" Id="rId100" /><Relationship Type="http://schemas.openxmlformats.org/officeDocument/2006/relationships/hyperlink" Target="https://www.gakkou.net/kou/view/index_300704.html" TargetMode="External" Id="rId101" /><Relationship Type="http://schemas.openxmlformats.org/officeDocument/2006/relationships/hyperlink" Target="https://www.gakkou.net/kou/view/index_300726.html" TargetMode="External" Id="rId102" /><Relationship Type="http://schemas.openxmlformats.org/officeDocument/2006/relationships/hyperlink" Target="https://www.gakkou.net/kou/view/index_300626.html" TargetMode="External" Id="rId103" /><Relationship Type="http://schemas.openxmlformats.org/officeDocument/2006/relationships/hyperlink" Target="https://www.gakkou.net/kou/view/index_300765.html" TargetMode="External" Id="rId104" /><Relationship Type="http://schemas.openxmlformats.org/officeDocument/2006/relationships/hyperlink" Target="https://www.gakkou.net/kou/view/index_300744.html" TargetMode="External" Id="rId105" /><Relationship Type="http://schemas.openxmlformats.org/officeDocument/2006/relationships/hyperlink" Target="https://www.gakkou.net/kou/view/index_300742.html" TargetMode="External" Id="rId106" /><Relationship Type="http://schemas.openxmlformats.org/officeDocument/2006/relationships/hyperlink" Target="https://www.gakkou.net/kou/view/index_300733.html" TargetMode="External" Id="rId107" /><Relationship Type="http://schemas.openxmlformats.org/officeDocument/2006/relationships/hyperlink" Target="https://www.gakkou.net/kou/view/index_300734.html" TargetMode="External" Id="rId108" /><Relationship Type="http://schemas.openxmlformats.org/officeDocument/2006/relationships/hyperlink" Target="https://www.gakkou.net/kou/view/index_300872.html" TargetMode="External" Id="rId109" /><Relationship Type="http://schemas.openxmlformats.org/officeDocument/2006/relationships/hyperlink" Target="https://www.gakkou.net/kou/view/index_300830.html" TargetMode="External" Id="rId110" /><Relationship Type="http://schemas.openxmlformats.org/officeDocument/2006/relationships/hyperlink" Target="https://www.gakkou.net/kou/view/index_300864.html" TargetMode="External" Id="rId111" /><Relationship Type="http://schemas.openxmlformats.org/officeDocument/2006/relationships/hyperlink" Target="https://www.gakkou.net/kou/view/index_300847.html" TargetMode="External" Id="rId112" /><Relationship Type="http://schemas.openxmlformats.org/officeDocument/2006/relationships/hyperlink" Target="https://www.gakkou.net/kou/view/index_300842.html" TargetMode="External" Id="rId113" /><Relationship Type="http://schemas.openxmlformats.org/officeDocument/2006/relationships/hyperlink" Target="https://www.gakkou.net/kou/view/index_300851.html" TargetMode="External" Id="rId114" /><Relationship Type="http://schemas.openxmlformats.org/officeDocument/2006/relationships/hyperlink" Target="https://www.gakkou.net/kou/view/index_300822.html" TargetMode="External" Id="rId115" /><Relationship Type="http://schemas.openxmlformats.org/officeDocument/2006/relationships/hyperlink" Target="https://www.gakkou.net/kou/view/index_300816.html" TargetMode="External" Id="rId116" /><Relationship Type="http://schemas.openxmlformats.org/officeDocument/2006/relationships/hyperlink" Target="https://www.gakkou.net/kou/view/index_300823.html" TargetMode="External" Id="rId117" /><Relationship Type="http://schemas.openxmlformats.org/officeDocument/2006/relationships/hyperlink" Target="https://www.gakkou.net/kou/view/index_300857.html" TargetMode="External" Id="rId118" /><Relationship Type="http://schemas.openxmlformats.org/officeDocument/2006/relationships/hyperlink" Target="https://www.gakkou.net/kou/view/index_300807.html" TargetMode="External" Id="rId119" /><Relationship Type="http://schemas.openxmlformats.org/officeDocument/2006/relationships/hyperlink" Target="https://www.gakkou.net/kou/view/index_300820.html" TargetMode="External" Id="rId120" /><Relationship Type="http://schemas.openxmlformats.org/officeDocument/2006/relationships/hyperlink" Target="https://www.gakkou.net/kou/view/index_300817.html" TargetMode="External" Id="rId121" /><Relationship Type="http://schemas.openxmlformats.org/officeDocument/2006/relationships/hyperlink" Target="https://www.gakkou.net/kou/view/index_300831.html" TargetMode="External" Id="rId122" /><Relationship Type="http://schemas.openxmlformats.org/officeDocument/2006/relationships/hyperlink" Target="https://www.gakkou.net/kou/view/index_306483.html" TargetMode="External" Id="rId123" /><Relationship Type="http://schemas.openxmlformats.org/officeDocument/2006/relationships/hyperlink" Target="https://www.gakkou.net/kou/view/index_300948.html" TargetMode="External" Id="rId124" /><Relationship Type="http://schemas.openxmlformats.org/officeDocument/2006/relationships/hyperlink" Target="https://www.gakkou.net/kou/view/index_300955.html" TargetMode="External" Id="rId125" /><Relationship Type="http://schemas.openxmlformats.org/officeDocument/2006/relationships/hyperlink" Target="https://www.gakkou.net/kou/view/index_300932.html" TargetMode="External" Id="rId126" /><Relationship Type="http://schemas.openxmlformats.org/officeDocument/2006/relationships/hyperlink" Target="https://www.gakkou.net/kou/view/index_306433.html" TargetMode="External" Id="rId127" /><Relationship Type="http://schemas.openxmlformats.org/officeDocument/2006/relationships/hyperlink" Target="https://www.gakkou.net/kou/view/index_300985.html" TargetMode="External" Id="rId128" /><Relationship Type="http://schemas.openxmlformats.org/officeDocument/2006/relationships/hyperlink" Target="https://www.gakkou.net/kou/view/index_306711.html" TargetMode="External" Id="rId129" /><Relationship Type="http://schemas.openxmlformats.org/officeDocument/2006/relationships/hyperlink" Target="https://www.gakkou.net/kou/view/index_300942.html" TargetMode="External" Id="rId130" /><Relationship Type="http://schemas.openxmlformats.org/officeDocument/2006/relationships/hyperlink" Target="https://www.gakkou.net/kou/view/index_300902.html" TargetMode="External" Id="rId131" /><Relationship Type="http://schemas.openxmlformats.org/officeDocument/2006/relationships/hyperlink" Target="https://www.gakkou.net/kou/view/index_300900.html" TargetMode="External" Id="rId132" /><Relationship Type="http://schemas.openxmlformats.org/officeDocument/2006/relationships/hyperlink" Target="https://www.gakkou.net/kou/view/index_300921.html" TargetMode="External" Id="rId133" /><Relationship Type="http://schemas.openxmlformats.org/officeDocument/2006/relationships/hyperlink" Target="https://www.gakkou.net/kou/view/index_300947.html" TargetMode="External" Id="rId134" /><Relationship Type="http://schemas.openxmlformats.org/officeDocument/2006/relationships/hyperlink" Target="https://www.gakkou.net/kou/view/index_300889.html" TargetMode="External" Id="rId135" /><Relationship Type="http://schemas.openxmlformats.org/officeDocument/2006/relationships/hyperlink" Target="https://www.gakkou.net/kou/view/index_300919.html" TargetMode="External" Id="rId136" /><Relationship Type="http://schemas.openxmlformats.org/officeDocument/2006/relationships/hyperlink" Target="https://www.gakkou.net/kou/view/index_300923.html" TargetMode="External" Id="rId137" /><Relationship Type="http://schemas.openxmlformats.org/officeDocument/2006/relationships/hyperlink" Target="https://www.gakkou.net/kou/view/index_306413.html" TargetMode="External" Id="rId138" /><Relationship Type="http://schemas.openxmlformats.org/officeDocument/2006/relationships/hyperlink" Target="https://www.gakkou.net/kou/view/index_300906.html" TargetMode="External" Id="rId139" /><Relationship Type="http://schemas.openxmlformats.org/officeDocument/2006/relationships/hyperlink" Target="https://www.gakkou.net/kou/view/index_300904.html" TargetMode="External" Id="rId140" /><Relationship Type="http://schemas.openxmlformats.org/officeDocument/2006/relationships/hyperlink" Target="https://www.gakkou.net/kou/view/index_301036.html" TargetMode="External" Id="rId141" /><Relationship Type="http://schemas.openxmlformats.org/officeDocument/2006/relationships/hyperlink" Target="https://www.gakkou.net/kou/view/index_301141.html" TargetMode="External" Id="rId142" /><Relationship Type="http://schemas.openxmlformats.org/officeDocument/2006/relationships/hyperlink" Target="https://www.gakkou.net/kou/view/index_301083.html" TargetMode="External" Id="rId143" /><Relationship Type="http://schemas.openxmlformats.org/officeDocument/2006/relationships/hyperlink" Target="https://www.gakkou.net/kou/view/index_306416.html" TargetMode="External" Id="rId144" /><Relationship Type="http://schemas.openxmlformats.org/officeDocument/2006/relationships/hyperlink" Target="https://www.gakkou.net/kou/view/index_306781.html" TargetMode="External" Id="rId145" /><Relationship Type="http://schemas.openxmlformats.org/officeDocument/2006/relationships/hyperlink" Target="https://www.gakkou.net/kou/view/index_301042.html" TargetMode="External" Id="rId146" /><Relationship Type="http://schemas.openxmlformats.org/officeDocument/2006/relationships/hyperlink" Target="https://www.gakkou.net/kou/view/index_301120.html" TargetMode="External" Id="rId147" /><Relationship Type="http://schemas.openxmlformats.org/officeDocument/2006/relationships/hyperlink" Target="https://www.gakkou.net/kou/view/index_301013.html" TargetMode="External" Id="rId148" /><Relationship Type="http://schemas.openxmlformats.org/officeDocument/2006/relationships/hyperlink" Target="https://www.gakkou.net/kou/view/index_306484.html" TargetMode="External" Id="rId149" /><Relationship Type="http://schemas.openxmlformats.org/officeDocument/2006/relationships/hyperlink" Target="https://www.gakkou.net/kou/view/index_306434.html" TargetMode="External" Id="rId150" /><Relationship Type="http://schemas.openxmlformats.org/officeDocument/2006/relationships/hyperlink" Target="https://www.gakkou.net/kou/view/index_301018.html" TargetMode="External" Id="rId151" /><Relationship Type="http://schemas.openxmlformats.org/officeDocument/2006/relationships/hyperlink" Target="https://www.gakkou.net/kou/view/index_301085.html" TargetMode="External" Id="rId152" /><Relationship Type="http://schemas.openxmlformats.org/officeDocument/2006/relationships/hyperlink" Target="https://www.gakkou.net/kou/view/index_301118.html" TargetMode="External" Id="rId153" /><Relationship Type="http://schemas.openxmlformats.org/officeDocument/2006/relationships/hyperlink" Target="https://www.gakkou.net/kou/view/index_301025.html" TargetMode="External" Id="rId154" /><Relationship Type="http://schemas.openxmlformats.org/officeDocument/2006/relationships/hyperlink" Target="https://www.gakkou.net/kou/view/index_301082.html" TargetMode="External" Id="rId155" /><Relationship Type="http://schemas.openxmlformats.org/officeDocument/2006/relationships/hyperlink" Target="https://www.gakkou.net/kou/view/index_306493.html" TargetMode="External" Id="rId156" /><Relationship Type="http://schemas.openxmlformats.org/officeDocument/2006/relationships/hyperlink" Target="https://www.gakkou.net/kou/view/index_306473.html" TargetMode="External" Id="rId157" /><Relationship Type="http://schemas.openxmlformats.org/officeDocument/2006/relationships/hyperlink" Target="https://www.gakkou.net/kou/view/index_301012.html" TargetMode="External" Id="rId158" /><Relationship Type="http://schemas.openxmlformats.org/officeDocument/2006/relationships/hyperlink" Target="https://www.gakkou.net/kou/view/index_306694.html" TargetMode="External" Id="rId159" /><Relationship Type="http://schemas.openxmlformats.org/officeDocument/2006/relationships/hyperlink" Target="https://www.gakkou.net/kou/view/index_301028.html" TargetMode="External" Id="rId160" /><Relationship Type="http://schemas.openxmlformats.org/officeDocument/2006/relationships/hyperlink" Target="https://www.gakkou.net/kou/view/index_301016.html" TargetMode="External" Id="rId161" /><Relationship Type="http://schemas.openxmlformats.org/officeDocument/2006/relationships/hyperlink" Target="https://www.gakkou.net/kou/view/index_301021.html" TargetMode="External" Id="rId162" /><Relationship Type="http://schemas.openxmlformats.org/officeDocument/2006/relationships/hyperlink" Target="https://www.gakkou.net/kou/view/index_301079.html" TargetMode="External" Id="rId163" /><Relationship Type="http://schemas.openxmlformats.org/officeDocument/2006/relationships/hyperlink" Target="https://www.gakkou.net/kou/view/index_301088.html" TargetMode="External" Id="rId164" /><Relationship Type="http://schemas.openxmlformats.org/officeDocument/2006/relationships/hyperlink" Target="https://www.gakkou.net/kou/view/index_301087.html" TargetMode="External" Id="rId165" /><Relationship Type="http://schemas.openxmlformats.org/officeDocument/2006/relationships/hyperlink" Target="https://www.gakkou.net/kou/view/index_301080.html" TargetMode="External" Id="rId166" /><Relationship Type="http://schemas.openxmlformats.org/officeDocument/2006/relationships/hyperlink" Target="https://www.gakkou.net/kou/view/index_306542.html" TargetMode="External" Id="rId167" /><Relationship Type="http://schemas.openxmlformats.org/officeDocument/2006/relationships/hyperlink" Target="https://www.gakkou.net/kou/view/index_301051.html" TargetMode="External" Id="rId168" /><Relationship Type="http://schemas.openxmlformats.org/officeDocument/2006/relationships/hyperlink" Target="https://www.gakkou.net/kou/view/index_301132.html" TargetMode="External" Id="rId169" /><Relationship Type="http://schemas.openxmlformats.org/officeDocument/2006/relationships/hyperlink" Target="https://www.gakkou.net/kou/view/index_306545.html" TargetMode="External" Id="rId170" /><Relationship Type="http://schemas.openxmlformats.org/officeDocument/2006/relationships/hyperlink" Target="https://www.gakkou.net/kou/view/index_301211.html" TargetMode="External" Id="rId171" /><Relationship Type="http://schemas.openxmlformats.org/officeDocument/2006/relationships/hyperlink" Target="https://www.gakkou.net/kou/view/index_301206.html" TargetMode="External" Id="rId172" /><Relationship Type="http://schemas.openxmlformats.org/officeDocument/2006/relationships/hyperlink" Target="https://www.gakkou.net/kou/view/index_301163.html" TargetMode="External" Id="rId173" /><Relationship Type="http://schemas.openxmlformats.org/officeDocument/2006/relationships/hyperlink" Target="https://www.gakkou.net/kou/view/index_301155.html" TargetMode="External" Id="rId174" /><Relationship Type="http://schemas.openxmlformats.org/officeDocument/2006/relationships/hyperlink" Target="https://www.gakkou.net/kou/view/index_301228.html" TargetMode="External" Id="rId175" /><Relationship Type="http://schemas.openxmlformats.org/officeDocument/2006/relationships/hyperlink" Target="https://www.gakkou.net/kou/view/index_306748.html" TargetMode="External" Id="rId176" /><Relationship Type="http://schemas.openxmlformats.org/officeDocument/2006/relationships/hyperlink" Target="https://www.gakkou.net/kou/view/index_301154.html" TargetMode="External" Id="rId177" /><Relationship Type="http://schemas.openxmlformats.org/officeDocument/2006/relationships/hyperlink" Target="https://www.gakkou.net/kou/view/index_301221.html" TargetMode="External" Id="rId178" /><Relationship Type="http://schemas.openxmlformats.org/officeDocument/2006/relationships/hyperlink" Target="https://www.gakkou.net/kou/view/index_301218.html" TargetMode="External" Id="rId179" /><Relationship Type="http://schemas.openxmlformats.org/officeDocument/2006/relationships/hyperlink" Target="https://www.gakkou.net/kou/view/index_301220.html" TargetMode="External" Id="rId180" /><Relationship Type="http://schemas.openxmlformats.org/officeDocument/2006/relationships/hyperlink" Target="https://www.gakkou.net/kou/view/index_301205.html" TargetMode="External" Id="rId181" /><Relationship Type="http://schemas.openxmlformats.org/officeDocument/2006/relationships/hyperlink" Target="https://www.gakkou.net/kou/view/index_306547.html" TargetMode="External" Id="rId182" /><Relationship Type="http://schemas.openxmlformats.org/officeDocument/2006/relationships/hyperlink" Target="https://www.gakkou.net/kou/view/index_301161.html" TargetMode="External" Id="rId183" /><Relationship Type="http://schemas.openxmlformats.org/officeDocument/2006/relationships/hyperlink" Target="https://www.gakkou.net/kou/view/index_301176.html" TargetMode="External" Id="rId184" /><Relationship Type="http://schemas.openxmlformats.org/officeDocument/2006/relationships/hyperlink" Target="https://www.gakkou.net/kou/view/index_301241.html" TargetMode="External" Id="rId185" /><Relationship Type="http://schemas.openxmlformats.org/officeDocument/2006/relationships/hyperlink" Target="https://www.gakkou.net/kou/view/index_306791.html" TargetMode="External" Id="rId186" /><Relationship Type="http://schemas.openxmlformats.org/officeDocument/2006/relationships/hyperlink" Target="https://www.gakkou.net/kou/view/index_301310.html" TargetMode="External" Id="rId187" /><Relationship Type="http://schemas.openxmlformats.org/officeDocument/2006/relationships/hyperlink" Target="https://www.gakkou.net/kou/view/index_301286.html" TargetMode="External" Id="rId188" /><Relationship Type="http://schemas.openxmlformats.org/officeDocument/2006/relationships/hyperlink" Target="https://www.gakkou.net/kou/view/index_301323.html" TargetMode="External" Id="rId189" /><Relationship Type="http://schemas.openxmlformats.org/officeDocument/2006/relationships/hyperlink" Target="https://www.gakkou.net/kou/view/index_301339.html" TargetMode="External" Id="rId190" /><Relationship Type="http://schemas.openxmlformats.org/officeDocument/2006/relationships/hyperlink" Target="https://www.gakkou.net/kou/view/index_301319.html" TargetMode="External" Id="rId191" /><Relationship Type="http://schemas.openxmlformats.org/officeDocument/2006/relationships/hyperlink" Target="https://www.gakkou.net/kou/view/index_301249.html" TargetMode="External" Id="rId192" /><Relationship Type="http://schemas.openxmlformats.org/officeDocument/2006/relationships/hyperlink" Target="https://www.gakkou.net/kou/view/index_301261.html" TargetMode="External" Id="rId193" /><Relationship Type="http://schemas.openxmlformats.org/officeDocument/2006/relationships/hyperlink" Target="https://www.gakkou.net/kou/view/index_301263.html" TargetMode="External" Id="rId194" /><Relationship Type="http://schemas.openxmlformats.org/officeDocument/2006/relationships/hyperlink" Target="https://www.gakkou.net/kou/view/index_301304.html" TargetMode="External" Id="rId195" /><Relationship Type="http://schemas.openxmlformats.org/officeDocument/2006/relationships/hyperlink" Target="https://www.gakkou.net/kou/view/index_301348.html" TargetMode="External" Id="rId196" /><Relationship Type="http://schemas.openxmlformats.org/officeDocument/2006/relationships/hyperlink" Target="https://www.gakkou.net/kou/view/index_301291.html" TargetMode="External" Id="rId197" /><Relationship Type="http://schemas.openxmlformats.org/officeDocument/2006/relationships/hyperlink" Target="https://www.gakkou.net/kou/view/index_301275.html" TargetMode="External" Id="rId198" /><Relationship Type="http://schemas.openxmlformats.org/officeDocument/2006/relationships/hyperlink" Target="https://www.gakkou.net/kou/view/index_301394.html" TargetMode="External" Id="rId199" /><Relationship Type="http://schemas.openxmlformats.org/officeDocument/2006/relationships/hyperlink" Target="https://www.gakkou.net/kou/view/index_301490.html" TargetMode="External" Id="rId200" /><Relationship Type="http://schemas.openxmlformats.org/officeDocument/2006/relationships/hyperlink" Target="https://www.gakkou.net/kou/view/index_301395.html" TargetMode="External" Id="rId201" /><Relationship Type="http://schemas.openxmlformats.org/officeDocument/2006/relationships/hyperlink" Target="https://www.gakkou.net/kou/view/index_301396.html" TargetMode="External" Id="rId202" /><Relationship Type="http://schemas.openxmlformats.org/officeDocument/2006/relationships/hyperlink" Target="https://www.gakkou.net/kou/view/index_301390.html" TargetMode="External" Id="rId203" /><Relationship Type="http://schemas.openxmlformats.org/officeDocument/2006/relationships/hyperlink" Target="https://www.gakkou.net/kou/view/index_301386.html" TargetMode="External" Id="rId204" /><Relationship Type="http://schemas.openxmlformats.org/officeDocument/2006/relationships/hyperlink" Target="https://www.gakkou.net/kou/view/index_301387.html" TargetMode="External" Id="rId205" /><Relationship Type="http://schemas.openxmlformats.org/officeDocument/2006/relationships/hyperlink" Target="https://www.gakkou.net/kou/view/index_306496.html" TargetMode="External" Id="rId206" /><Relationship Type="http://schemas.openxmlformats.org/officeDocument/2006/relationships/hyperlink" Target="https://www.gakkou.net/kou/view/index_301517.html" TargetMode="External" Id="rId207" /><Relationship Type="http://schemas.openxmlformats.org/officeDocument/2006/relationships/hyperlink" Target="https://www.gakkou.net/kou/view/index_301357.html" TargetMode="External" Id="rId208" /><Relationship Type="http://schemas.openxmlformats.org/officeDocument/2006/relationships/hyperlink" Target="https://www.gakkou.net/kou/view/index_301406.html" TargetMode="External" Id="rId209" /><Relationship Type="http://schemas.openxmlformats.org/officeDocument/2006/relationships/hyperlink" Target="https://www.gakkou.net/kou/view/index_306760.html" TargetMode="External" Id="rId210" /><Relationship Type="http://schemas.openxmlformats.org/officeDocument/2006/relationships/hyperlink" Target="https://www.gakkou.net/kou/view/index_301436.html" TargetMode="External" Id="rId211" /><Relationship Type="http://schemas.openxmlformats.org/officeDocument/2006/relationships/hyperlink" Target="https://www.gakkou.net/kou/view/index_306449.html" TargetMode="External" Id="rId212" /><Relationship Type="http://schemas.openxmlformats.org/officeDocument/2006/relationships/hyperlink" Target="https://www.gakkou.net/kou/view/index_301462.html" TargetMode="External" Id="rId213" /><Relationship Type="http://schemas.openxmlformats.org/officeDocument/2006/relationships/hyperlink" Target="https://www.gakkou.net/kou/view/index_301509.html" TargetMode="External" Id="rId214" /><Relationship Type="http://schemas.openxmlformats.org/officeDocument/2006/relationships/hyperlink" Target="https://www.gakkou.net/kou/view/index_306425.html" TargetMode="External" Id="rId215" /><Relationship Type="http://schemas.openxmlformats.org/officeDocument/2006/relationships/hyperlink" Target="https://www.gakkou.net/kou/view/index_301361.html" TargetMode="External" Id="rId216" /><Relationship Type="http://schemas.openxmlformats.org/officeDocument/2006/relationships/hyperlink" Target="https://www.gakkou.net/kou/view/index_301480.html" TargetMode="External" Id="rId217" /><Relationship Type="http://schemas.openxmlformats.org/officeDocument/2006/relationships/hyperlink" Target="https://www.gakkou.net/kou/view/index_306437.html" TargetMode="External" Id="rId218" /><Relationship Type="http://schemas.openxmlformats.org/officeDocument/2006/relationships/hyperlink" Target="https://www.gakkou.net/kou/view/index_301352.html" TargetMode="External" Id="rId219" /><Relationship Type="http://schemas.openxmlformats.org/officeDocument/2006/relationships/hyperlink" Target="https://www.gakkou.net/kou/view/index_301532.html" TargetMode="External" Id="rId220" /><Relationship Type="http://schemas.openxmlformats.org/officeDocument/2006/relationships/hyperlink" Target="https://www.gakkou.net/kou/view/index_306438.html" TargetMode="External" Id="rId221" /><Relationship Type="http://schemas.openxmlformats.org/officeDocument/2006/relationships/hyperlink" Target="https://www.gakkou.net/kou/view/index_301561.html" TargetMode="External" Id="rId222" /><Relationship Type="http://schemas.openxmlformats.org/officeDocument/2006/relationships/hyperlink" Target="https://www.gakkou.net/kou/view/index_301487.html" TargetMode="External" Id="rId223" /><Relationship Type="http://schemas.openxmlformats.org/officeDocument/2006/relationships/hyperlink" Target="https://www.gakkou.net/kou/view/index_301401.html" TargetMode="External" Id="rId224" /><Relationship Type="http://schemas.openxmlformats.org/officeDocument/2006/relationships/hyperlink" Target="https://www.gakkou.net/kou/view/index_301481.html" TargetMode="External" Id="rId225" /><Relationship Type="http://schemas.openxmlformats.org/officeDocument/2006/relationships/hyperlink" Target="https://www.gakkou.net/kou/view/index_301576.html" TargetMode="External" Id="rId226" /><Relationship Type="http://schemas.openxmlformats.org/officeDocument/2006/relationships/hyperlink" Target="https://www.gakkou.net/kou/view/index_301444.html" TargetMode="External" Id="rId227" /><Relationship Type="http://schemas.openxmlformats.org/officeDocument/2006/relationships/hyperlink" Target="https://www.gakkou.net/kou/view/index_301528.html" TargetMode="External" Id="rId228" /><Relationship Type="http://schemas.openxmlformats.org/officeDocument/2006/relationships/hyperlink" Target="https://www.gakkou.net/kou/view/index_301463.html" TargetMode="External" Id="rId229" /><Relationship Type="http://schemas.openxmlformats.org/officeDocument/2006/relationships/hyperlink" Target="https://www.gakkou.net/kou/view/index_301495.html" TargetMode="External" Id="rId230" /><Relationship Type="http://schemas.openxmlformats.org/officeDocument/2006/relationships/hyperlink" Target="https://www.gakkou.net/kou/view/index_301504.html" TargetMode="External" Id="rId231" /><Relationship Type="http://schemas.openxmlformats.org/officeDocument/2006/relationships/hyperlink" Target="https://www.gakkou.net/kou/view/index_301524.html" TargetMode="External" Id="rId232" /><Relationship Type="http://schemas.openxmlformats.org/officeDocument/2006/relationships/hyperlink" Target="https://www.gakkou.net/kou/view/index_306485.html" TargetMode="External" Id="rId233" /><Relationship Type="http://schemas.openxmlformats.org/officeDocument/2006/relationships/hyperlink" Target="https://www.gakkou.net/kou/view/index_306573.html" TargetMode="External" Id="rId234" /><Relationship Type="http://schemas.openxmlformats.org/officeDocument/2006/relationships/hyperlink" Target="https://www.gakkou.net/kou/view/index_301578.html" TargetMode="External" Id="rId235" /><Relationship Type="http://schemas.openxmlformats.org/officeDocument/2006/relationships/hyperlink" Target="https://www.gakkou.net/kou/view/index_301512.html" TargetMode="External" Id="rId236" /><Relationship Type="http://schemas.openxmlformats.org/officeDocument/2006/relationships/hyperlink" Target="https://www.gakkou.net/kou/view/index_301464.html" TargetMode="External" Id="rId237" /><Relationship Type="http://schemas.openxmlformats.org/officeDocument/2006/relationships/hyperlink" Target="https://www.gakkou.net/kou/view/index_301429.html" TargetMode="External" Id="rId238" /><Relationship Type="http://schemas.openxmlformats.org/officeDocument/2006/relationships/hyperlink" Target="https://www.gakkou.net/kou/view/index_301451.html" TargetMode="External" Id="rId239" /><Relationship Type="http://schemas.openxmlformats.org/officeDocument/2006/relationships/hyperlink" Target="https://www.gakkou.net/kou/view/index_301533.html" TargetMode="External" Id="rId240" /><Relationship Type="http://schemas.openxmlformats.org/officeDocument/2006/relationships/hyperlink" Target="https://www.gakkou.net/kou/view/index_301380.html" TargetMode="External" Id="rId241" /><Relationship Type="http://schemas.openxmlformats.org/officeDocument/2006/relationships/hyperlink" Target="https://www.gakkou.net/kou/view/index_301471.html" TargetMode="External" Id="rId242" /><Relationship Type="http://schemas.openxmlformats.org/officeDocument/2006/relationships/hyperlink" Target="https://www.gakkou.net/kou/view/index_301510.html" TargetMode="External" Id="rId243" /><Relationship Type="http://schemas.openxmlformats.org/officeDocument/2006/relationships/hyperlink" Target="https://www.gakkou.net/kou/view/index_301580.html" TargetMode="External" Id="rId244" /><Relationship Type="http://schemas.openxmlformats.org/officeDocument/2006/relationships/hyperlink" Target="https://www.gakkou.net/kou/view/index_301581.html" TargetMode="External" Id="rId245" /><Relationship Type="http://schemas.openxmlformats.org/officeDocument/2006/relationships/hyperlink" Target="https://www.gakkou.net/kou/view/index_306442.html" TargetMode="External" Id="rId246" /><Relationship Type="http://schemas.openxmlformats.org/officeDocument/2006/relationships/hyperlink" Target="https://www.gakkou.net/kou/view/index_301478.html" TargetMode="External" Id="rId247" /><Relationship Type="http://schemas.openxmlformats.org/officeDocument/2006/relationships/hyperlink" Target="https://www.gakkou.net/kou/view/index_301535.html" TargetMode="External" Id="rId248" /><Relationship Type="http://schemas.openxmlformats.org/officeDocument/2006/relationships/hyperlink" Target="https://www.gakkou.net/kou/view/index_306450.html" TargetMode="External" Id="rId249" /><Relationship Type="http://schemas.openxmlformats.org/officeDocument/2006/relationships/hyperlink" Target="https://www.gakkou.net/kou/view/index_301482.html" TargetMode="External" Id="rId250" /><Relationship Type="http://schemas.openxmlformats.org/officeDocument/2006/relationships/hyperlink" Target="https://www.gakkou.net/kou/view/index_306403.html" TargetMode="External" Id="rId251" /><Relationship Type="http://schemas.openxmlformats.org/officeDocument/2006/relationships/hyperlink" Target="https://www.gakkou.net/kou/view/index_301502.html" TargetMode="External" Id="rId252" /><Relationship Type="http://schemas.openxmlformats.org/officeDocument/2006/relationships/hyperlink" Target="https://www.gakkou.net/kou/view/index_301582.html" TargetMode="External" Id="rId253" /><Relationship Type="http://schemas.openxmlformats.org/officeDocument/2006/relationships/hyperlink" Target="https://www.gakkou.net/kou/view/index_301667.html" TargetMode="External" Id="rId254" /><Relationship Type="http://schemas.openxmlformats.org/officeDocument/2006/relationships/hyperlink" Target="https://www.gakkou.net/kou/view/index_301733.html" TargetMode="External" Id="rId255" /><Relationship Type="http://schemas.openxmlformats.org/officeDocument/2006/relationships/hyperlink" Target="https://www.gakkou.net/kou/view/index_306495.html" TargetMode="External" Id="rId256" /><Relationship Type="http://schemas.openxmlformats.org/officeDocument/2006/relationships/hyperlink" Target="https://www.gakkou.net/kou/view/index_301644.html" TargetMode="External" Id="rId257" /><Relationship Type="http://schemas.openxmlformats.org/officeDocument/2006/relationships/hyperlink" Target="https://www.gakkou.net/kou/view/index_301666.html" TargetMode="External" Id="rId258" /><Relationship Type="http://schemas.openxmlformats.org/officeDocument/2006/relationships/hyperlink" Target="https://www.gakkou.net/kou/view/index_301773.html" TargetMode="External" Id="rId259" /><Relationship Type="http://schemas.openxmlformats.org/officeDocument/2006/relationships/hyperlink" Target="https://www.gakkou.net/kou/view/index_301599.html" TargetMode="External" Id="rId260" /><Relationship Type="http://schemas.openxmlformats.org/officeDocument/2006/relationships/hyperlink" Target="https://www.gakkou.net/kou/view/index_306439.html" TargetMode="External" Id="rId261" /><Relationship Type="http://schemas.openxmlformats.org/officeDocument/2006/relationships/hyperlink" Target="https://www.gakkou.net/kou/view/index_301796.html" TargetMode="External" Id="rId262" /><Relationship Type="http://schemas.openxmlformats.org/officeDocument/2006/relationships/hyperlink" Target="https://www.gakkou.net/kou/view/index_301777.html" TargetMode="External" Id="rId263" /><Relationship Type="http://schemas.openxmlformats.org/officeDocument/2006/relationships/hyperlink" Target="https://www.gakkou.net/kou/view/index_301784.html" TargetMode="External" Id="rId264" /><Relationship Type="http://schemas.openxmlformats.org/officeDocument/2006/relationships/hyperlink" Target="https://www.gakkou.net/kou/view/index_301623.html" TargetMode="External" Id="rId265" /><Relationship Type="http://schemas.openxmlformats.org/officeDocument/2006/relationships/hyperlink" Target="https://www.gakkou.net/kou/view/index_301763.html" TargetMode="External" Id="rId266" /><Relationship Type="http://schemas.openxmlformats.org/officeDocument/2006/relationships/hyperlink" Target="https://www.gakkou.net/kou/view/index_301653.html" TargetMode="External" Id="rId267" /><Relationship Type="http://schemas.openxmlformats.org/officeDocument/2006/relationships/hyperlink" Target="https://www.gakkou.net/kou/view/index_301668.html" TargetMode="External" Id="rId268" /><Relationship Type="http://schemas.openxmlformats.org/officeDocument/2006/relationships/hyperlink" Target="https://www.gakkou.net/kou/view/index_301782.html" TargetMode="External" Id="rId269" /><Relationship Type="http://schemas.openxmlformats.org/officeDocument/2006/relationships/hyperlink" Target="https://www.gakkou.net/kou/view/index_301705.html" TargetMode="External" Id="rId270" /><Relationship Type="http://schemas.openxmlformats.org/officeDocument/2006/relationships/hyperlink" Target="https://www.gakkou.net/kou/view/index_301616.html" TargetMode="External" Id="rId271" /><Relationship Type="http://schemas.openxmlformats.org/officeDocument/2006/relationships/hyperlink" Target="https://www.gakkou.net/kou/view/index_301697.html" TargetMode="External" Id="rId272" /><Relationship Type="http://schemas.openxmlformats.org/officeDocument/2006/relationships/hyperlink" Target="https://www.gakkou.net/kou/view/index_301810.html" TargetMode="External" Id="rId273" /><Relationship Type="http://schemas.openxmlformats.org/officeDocument/2006/relationships/hyperlink" Target="https://www.gakkou.net/kou/view/index_301665.html" TargetMode="External" Id="rId274" /><Relationship Type="http://schemas.openxmlformats.org/officeDocument/2006/relationships/hyperlink" Target="https://www.gakkou.net/kou/view/index_301615.html" TargetMode="External" Id="rId275" /><Relationship Type="http://schemas.openxmlformats.org/officeDocument/2006/relationships/hyperlink" Target="https://www.gakkou.net/kou/view/index_301639.html" TargetMode="External" Id="rId276" /><Relationship Type="http://schemas.openxmlformats.org/officeDocument/2006/relationships/hyperlink" Target="https://www.gakkou.net/kou/view/index_301655.html" TargetMode="External" Id="rId277" /><Relationship Type="http://schemas.openxmlformats.org/officeDocument/2006/relationships/hyperlink" Target="https://www.gakkou.net/kou/view/index_301785.html" TargetMode="External" Id="rId278" /><Relationship Type="http://schemas.openxmlformats.org/officeDocument/2006/relationships/hyperlink" Target="https://www.gakkou.net/kou/view/index_301700.html" TargetMode="External" Id="rId279" /><Relationship Type="http://schemas.openxmlformats.org/officeDocument/2006/relationships/hyperlink" Target="https://www.gakkou.net/kou/view/index_301726.html" TargetMode="External" Id="rId280" /><Relationship Type="http://schemas.openxmlformats.org/officeDocument/2006/relationships/hyperlink" Target="https://www.gakkou.net/kou/view/index_301732.html" TargetMode="External" Id="rId281" /><Relationship Type="http://schemas.openxmlformats.org/officeDocument/2006/relationships/hyperlink" Target="https://www.gakkou.net/kou/view/index_301621.html" TargetMode="External" Id="rId282" /><Relationship Type="http://schemas.openxmlformats.org/officeDocument/2006/relationships/hyperlink" Target="https://www.gakkou.net/kou/view/index_301792.html" TargetMode="External" Id="rId283" /><Relationship Type="http://schemas.openxmlformats.org/officeDocument/2006/relationships/hyperlink" Target="https://www.gakkou.net/kou/view/index_301672.html" TargetMode="External" Id="rId284" /><Relationship Type="http://schemas.openxmlformats.org/officeDocument/2006/relationships/hyperlink" Target="https://www.gakkou.net/kou/view/index_301598.html" TargetMode="External" Id="rId285" /><Relationship Type="http://schemas.openxmlformats.org/officeDocument/2006/relationships/hyperlink" Target="https://www.gakkou.net/kou/view/index_301685.html" TargetMode="External" Id="rId286" /><Relationship Type="http://schemas.openxmlformats.org/officeDocument/2006/relationships/hyperlink" Target="https://www.gakkou.net/kou/view/index_301749.html" TargetMode="External" Id="rId287" /><Relationship Type="http://schemas.openxmlformats.org/officeDocument/2006/relationships/hyperlink" Target="https://www.gakkou.net/kou/view/index_301603.html" TargetMode="External" Id="rId288" /><Relationship Type="http://schemas.openxmlformats.org/officeDocument/2006/relationships/hyperlink" Target="https://www.gakkou.net/kou/view/index_301758.html" TargetMode="External" Id="rId289" /><Relationship Type="http://schemas.openxmlformats.org/officeDocument/2006/relationships/hyperlink" Target="https://www.gakkou.net/kou/view/index_301642.html" TargetMode="External" Id="rId290" /><Relationship Type="http://schemas.openxmlformats.org/officeDocument/2006/relationships/hyperlink" Target="https://www.gakkou.net/kou/view/index_301770.html" TargetMode="External" Id="rId291" /><Relationship Type="http://schemas.openxmlformats.org/officeDocument/2006/relationships/hyperlink" Target="https://www.gakkou.net/kou/view/index_301725.html" TargetMode="External" Id="rId292" /><Relationship Type="http://schemas.openxmlformats.org/officeDocument/2006/relationships/hyperlink" Target="https://www.gakkou.net/kou/view/index_301724.html" TargetMode="External" Id="rId293" /><Relationship Type="http://schemas.openxmlformats.org/officeDocument/2006/relationships/hyperlink" Target="https://www.gakkou.net/kou/view/index_301740.html" TargetMode="External" Id="rId294" /><Relationship Type="http://schemas.openxmlformats.org/officeDocument/2006/relationships/hyperlink" Target="https://www.gakkou.net/kou/view/index_301682.html" TargetMode="External" Id="rId295" /><Relationship Type="http://schemas.openxmlformats.org/officeDocument/2006/relationships/hyperlink" Target="https://www.gakkou.net/kou/view/index_301695.html" TargetMode="External" Id="rId296" /><Relationship Type="http://schemas.openxmlformats.org/officeDocument/2006/relationships/hyperlink" Target="https://www.gakkou.net/kou/view/index_301691.html" TargetMode="External" Id="rId297" /><Relationship Type="http://schemas.openxmlformats.org/officeDocument/2006/relationships/hyperlink" Target="https://www.gakkou.net/kou/view/index_306488.html" TargetMode="External" Id="rId298" /><Relationship Type="http://schemas.openxmlformats.org/officeDocument/2006/relationships/hyperlink" Target="https://www.gakkou.net/kou/view/index_301742.html" TargetMode="External" Id="rId299" /><Relationship Type="http://schemas.openxmlformats.org/officeDocument/2006/relationships/hyperlink" Target="https://www.gakkou.net/kou/view/index_301716.html" TargetMode="External" Id="rId300" /><Relationship Type="http://schemas.openxmlformats.org/officeDocument/2006/relationships/hyperlink" Target="https://www.gakkou.net/kou/view/index_301703.html" TargetMode="External" Id="rId301" /><Relationship Type="http://schemas.openxmlformats.org/officeDocument/2006/relationships/hyperlink" Target="https://www.gakkou.net/kou/view/index_301686.html" TargetMode="External" Id="rId302" /><Relationship Type="http://schemas.openxmlformats.org/officeDocument/2006/relationships/hyperlink" Target="https://www.gakkou.net/kou/view/index_301658.html" TargetMode="External" Id="rId303" /><Relationship Type="http://schemas.openxmlformats.org/officeDocument/2006/relationships/hyperlink" Target="https://www.gakkou.net/kou/view/index_306418.html" TargetMode="External" Id="rId304" /><Relationship Type="http://schemas.openxmlformats.org/officeDocument/2006/relationships/hyperlink" Target="https://www.gakkou.net/kou/view/index_301815.html" TargetMode="External" Id="rId305" /><Relationship Type="http://schemas.openxmlformats.org/officeDocument/2006/relationships/hyperlink" Target="https://www.gakkou.net/kou/view/index_301701.html" TargetMode="External" Id="rId306" /><Relationship Type="http://schemas.openxmlformats.org/officeDocument/2006/relationships/hyperlink" Target="https://www.gakkou.net/kou/view/index_301762.html" TargetMode="External" Id="rId307" /><Relationship Type="http://schemas.openxmlformats.org/officeDocument/2006/relationships/hyperlink" Target="https://www.gakkou.net/kou/view/index_301714.html" TargetMode="External" Id="rId308" /><Relationship Type="http://schemas.openxmlformats.org/officeDocument/2006/relationships/hyperlink" Target="https://www.gakkou.net/kou/view/index_301707.html" TargetMode="External" Id="rId309" /><Relationship Type="http://schemas.openxmlformats.org/officeDocument/2006/relationships/hyperlink" Target="https://www.gakkou.net/kou/view/index_306444.html" TargetMode="External" Id="rId310" /><Relationship Type="http://schemas.openxmlformats.org/officeDocument/2006/relationships/hyperlink" Target="https://www.gakkou.net/kou/view/index_306307.html" TargetMode="External" Id="rId311" /><Relationship Type="http://schemas.openxmlformats.org/officeDocument/2006/relationships/hyperlink" Target="https://www.gakkou.net/kou/view/index_301993.html" TargetMode="External" Id="rId312" /><Relationship Type="http://schemas.openxmlformats.org/officeDocument/2006/relationships/hyperlink" Target="https://www.gakkou.net/kou/view/index_302049.html" TargetMode="External" Id="rId313" /><Relationship Type="http://schemas.openxmlformats.org/officeDocument/2006/relationships/hyperlink" Target="https://www.gakkou.net/kou/view/index_301862.html" TargetMode="External" Id="rId314" /><Relationship Type="http://schemas.openxmlformats.org/officeDocument/2006/relationships/hyperlink" Target="https://www.gakkou.net/kou/view/index_301951.html" TargetMode="External" Id="rId315" /><Relationship Type="http://schemas.openxmlformats.org/officeDocument/2006/relationships/hyperlink" Target="https://www.gakkou.net/kou/view/index_301895.html" TargetMode="External" Id="rId316" /><Relationship Type="http://schemas.openxmlformats.org/officeDocument/2006/relationships/hyperlink" Target="https://www.gakkou.net/kou/view/index_301924.html" TargetMode="External" Id="rId317" /><Relationship Type="http://schemas.openxmlformats.org/officeDocument/2006/relationships/hyperlink" Target="https://www.gakkou.net/kou/view/index_301913.html" TargetMode="External" Id="rId318" /><Relationship Type="http://schemas.openxmlformats.org/officeDocument/2006/relationships/hyperlink" Target="https://www.gakkou.net/kou/view/index_301912.html" TargetMode="External" Id="rId319" /><Relationship Type="http://schemas.openxmlformats.org/officeDocument/2006/relationships/hyperlink" Target="https://www.gakkou.net/kou/view/index_301874.html" TargetMode="External" Id="rId320" /><Relationship Type="http://schemas.openxmlformats.org/officeDocument/2006/relationships/hyperlink" Target="https://www.gakkou.net/kou/view/index_301880.html" TargetMode="External" Id="rId321" /><Relationship Type="http://schemas.openxmlformats.org/officeDocument/2006/relationships/hyperlink" Target="https://www.gakkou.net/kou/view/index_302322.html" TargetMode="External" Id="rId322" /><Relationship Type="http://schemas.openxmlformats.org/officeDocument/2006/relationships/hyperlink" Target="https://www.gakkou.net/kou/view/index_302223.html" TargetMode="External" Id="rId323" /><Relationship Type="http://schemas.openxmlformats.org/officeDocument/2006/relationships/hyperlink" Target="https://www.gakkou.net/kou/view/index_301992.html" TargetMode="External" Id="rId324" /><Relationship Type="http://schemas.openxmlformats.org/officeDocument/2006/relationships/hyperlink" Target="https://www.gakkou.net/kou/view/index_306333.html" TargetMode="External" Id="rId325" /><Relationship Type="http://schemas.openxmlformats.org/officeDocument/2006/relationships/hyperlink" Target="https://www.gakkou.net/kou/view/index_301916.html" TargetMode="External" Id="rId326" /><Relationship Type="http://schemas.openxmlformats.org/officeDocument/2006/relationships/hyperlink" Target="https://www.gakkou.net/kou/view/index_302331.html" TargetMode="External" Id="rId327" /><Relationship Type="http://schemas.openxmlformats.org/officeDocument/2006/relationships/hyperlink" Target="https://www.gakkou.net/kou/view/index_302093.html" TargetMode="External" Id="rId328" /><Relationship Type="http://schemas.openxmlformats.org/officeDocument/2006/relationships/hyperlink" Target="https://www.gakkou.net/kou/view/index_301839.html" TargetMode="External" Id="rId329" /><Relationship Type="http://schemas.openxmlformats.org/officeDocument/2006/relationships/hyperlink" Target="https://www.gakkou.net/kou/view/index_302373.html" TargetMode="External" Id="rId330" /><Relationship Type="http://schemas.openxmlformats.org/officeDocument/2006/relationships/hyperlink" Target="https://www.gakkou.net/kou/view/index_302133.html" TargetMode="External" Id="rId331" /><Relationship Type="http://schemas.openxmlformats.org/officeDocument/2006/relationships/hyperlink" Target="https://www.gakkou.net/kou/view/index_306660.html" TargetMode="External" Id="rId332" /><Relationship Type="http://schemas.openxmlformats.org/officeDocument/2006/relationships/hyperlink" Target="https://www.gakkou.net/kou/view/index_302029.html" TargetMode="External" Id="rId333" /><Relationship Type="http://schemas.openxmlformats.org/officeDocument/2006/relationships/hyperlink" Target="https://www.gakkou.net/kou/view/index_302177.html" TargetMode="External" Id="rId334" /><Relationship Type="http://schemas.openxmlformats.org/officeDocument/2006/relationships/hyperlink" Target="https://www.gakkou.net/kou/view/index_301943.html" TargetMode="External" Id="rId335" /><Relationship Type="http://schemas.openxmlformats.org/officeDocument/2006/relationships/hyperlink" Target="https://www.gakkou.net/kou/view/index_301845.html" TargetMode="External" Id="rId336" /><Relationship Type="http://schemas.openxmlformats.org/officeDocument/2006/relationships/hyperlink" Target="https://www.gakkou.net/kou/view/index_301832.html" TargetMode="External" Id="rId337" /><Relationship Type="http://schemas.openxmlformats.org/officeDocument/2006/relationships/hyperlink" Target="https://www.gakkou.net/kou/view/index_302104.html" TargetMode="External" Id="rId338" /><Relationship Type="http://schemas.openxmlformats.org/officeDocument/2006/relationships/hyperlink" Target="https://www.gakkou.net/kou/view/index_302190.html" TargetMode="External" Id="rId339" /><Relationship Type="http://schemas.openxmlformats.org/officeDocument/2006/relationships/hyperlink" Target="https://www.gakkou.net/kou/view/index_301829.html" TargetMode="External" Id="rId340" /><Relationship Type="http://schemas.openxmlformats.org/officeDocument/2006/relationships/hyperlink" Target="https://www.gakkou.net/kou/view/index_302059.html" TargetMode="External" Id="rId341" /><Relationship Type="http://schemas.openxmlformats.org/officeDocument/2006/relationships/hyperlink" Target="https://www.gakkou.net/kou/view/index_301987.html" TargetMode="External" Id="rId342" /><Relationship Type="http://schemas.openxmlformats.org/officeDocument/2006/relationships/hyperlink" Target="https://www.gakkou.net/kou/view/index_302189.html" TargetMode="External" Id="rId343" /><Relationship Type="http://schemas.openxmlformats.org/officeDocument/2006/relationships/hyperlink" Target="https://www.gakkou.net/kou/view/index_302176.html" TargetMode="External" Id="rId344" /><Relationship Type="http://schemas.openxmlformats.org/officeDocument/2006/relationships/hyperlink" Target="https://www.gakkou.net/kou/view/index_301928.html" TargetMode="External" Id="rId345" /><Relationship Type="http://schemas.openxmlformats.org/officeDocument/2006/relationships/hyperlink" Target="https://www.gakkou.net/kou/view/index_301942.html" TargetMode="External" Id="rId346" /><Relationship Type="http://schemas.openxmlformats.org/officeDocument/2006/relationships/hyperlink" Target="https://www.gakkou.net/kou/view/index_302235.html" TargetMode="External" Id="rId347" /><Relationship Type="http://schemas.openxmlformats.org/officeDocument/2006/relationships/hyperlink" Target="https://www.gakkou.net/kou/view/index_302234.html" TargetMode="External" Id="rId348" /><Relationship Type="http://schemas.openxmlformats.org/officeDocument/2006/relationships/hyperlink" Target="https://www.gakkou.net/kou/view/index_301961.html" TargetMode="External" Id="rId349" /><Relationship Type="http://schemas.openxmlformats.org/officeDocument/2006/relationships/hyperlink" Target="https://www.gakkou.net/kou/view/index_301823.html" TargetMode="External" Id="rId350" /><Relationship Type="http://schemas.openxmlformats.org/officeDocument/2006/relationships/hyperlink" Target="https://www.gakkou.net/kou/view/index_302314.html" TargetMode="External" Id="rId351" /><Relationship Type="http://schemas.openxmlformats.org/officeDocument/2006/relationships/hyperlink" Target="https://www.gakkou.net/kou/view/index_301826.html" TargetMode="External" Id="rId352" /><Relationship Type="http://schemas.openxmlformats.org/officeDocument/2006/relationships/hyperlink" Target="https://www.gakkou.net/kou/view/index_302269.html" TargetMode="External" Id="rId353" /><Relationship Type="http://schemas.openxmlformats.org/officeDocument/2006/relationships/hyperlink" Target="https://www.gakkou.net/kou/view/index_301831.html" TargetMode="External" Id="rId354" /><Relationship Type="http://schemas.openxmlformats.org/officeDocument/2006/relationships/hyperlink" Target="https://www.gakkou.net/kou/view/index_302268.html" TargetMode="External" Id="rId355" /><Relationship Type="http://schemas.openxmlformats.org/officeDocument/2006/relationships/hyperlink" Target="https://www.gakkou.net/kou/view/index_302106.html" TargetMode="External" Id="rId356" /><Relationship Type="http://schemas.openxmlformats.org/officeDocument/2006/relationships/hyperlink" Target="https://www.gakkou.net/kou/view/index_301872.html" TargetMode="External" Id="rId357" /><Relationship Type="http://schemas.openxmlformats.org/officeDocument/2006/relationships/hyperlink" Target="https://www.gakkou.net/kou/view/index_301903.html" TargetMode="External" Id="rId358" /><Relationship Type="http://schemas.openxmlformats.org/officeDocument/2006/relationships/hyperlink" Target="https://www.gakkou.net/kou/view/index_301905.html" TargetMode="External" Id="rId359" /><Relationship Type="http://schemas.openxmlformats.org/officeDocument/2006/relationships/hyperlink" Target="https://www.gakkou.net/kou/view/index_301904.html" TargetMode="External" Id="rId360" /><Relationship Type="http://schemas.openxmlformats.org/officeDocument/2006/relationships/hyperlink" Target="https://www.gakkou.net/kou/view/index_302097.html" TargetMode="External" Id="rId361" /><Relationship Type="http://schemas.openxmlformats.org/officeDocument/2006/relationships/hyperlink" Target="https://www.gakkou.net/kou/view/index_302337.html" TargetMode="External" Id="rId362" /><Relationship Type="http://schemas.openxmlformats.org/officeDocument/2006/relationships/hyperlink" Target="https://www.gakkou.net/kou/view/index_301890.html" TargetMode="External" Id="rId363" /><Relationship Type="http://schemas.openxmlformats.org/officeDocument/2006/relationships/hyperlink" Target="https://www.gakkou.net/kou/view/index_302151.html" TargetMode="External" Id="rId364" /><Relationship Type="http://schemas.openxmlformats.org/officeDocument/2006/relationships/hyperlink" Target="https://www.gakkou.net/kou/view/index_302249.html" TargetMode="External" Id="rId365" /><Relationship Type="http://schemas.openxmlformats.org/officeDocument/2006/relationships/hyperlink" Target="https://www.gakkou.net/kou/view/index_302301.html" TargetMode="External" Id="rId366" /><Relationship Type="http://schemas.openxmlformats.org/officeDocument/2006/relationships/hyperlink" Target="https://www.gakkou.net/kou/view/index_302018.html" TargetMode="External" Id="rId367" /><Relationship Type="http://schemas.openxmlformats.org/officeDocument/2006/relationships/hyperlink" Target="https://www.gakkou.net/kou/view/index_301843.html" TargetMode="External" Id="rId368" /><Relationship Type="http://schemas.openxmlformats.org/officeDocument/2006/relationships/hyperlink" Target="https://www.gakkou.net/kou/view/index_302155.html" TargetMode="External" Id="rId369" /><Relationship Type="http://schemas.openxmlformats.org/officeDocument/2006/relationships/hyperlink" Target="https://www.gakkou.net/kou/view/index_302100.html" TargetMode="External" Id="rId370" /><Relationship Type="http://schemas.openxmlformats.org/officeDocument/2006/relationships/hyperlink" Target="https://www.gakkou.net/kou/view/index_302026.html" TargetMode="External" Id="rId371" /><Relationship Type="http://schemas.openxmlformats.org/officeDocument/2006/relationships/hyperlink" Target="https://www.gakkou.net/kou/view/index_302048.html" TargetMode="External" Id="rId372" /><Relationship Type="http://schemas.openxmlformats.org/officeDocument/2006/relationships/hyperlink" Target="https://www.gakkou.net/kou/view/index_302172.html" TargetMode="External" Id="rId373" /><Relationship Type="http://schemas.openxmlformats.org/officeDocument/2006/relationships/hyperlink" Target="https://www.gakkou.net/kou/view/index_302261.html" TargetMode="External" Id="rId374" /><Relationship Type="http://schemas.openxmlformats.org/officeDocument/2006/relationships/hyperlink" Target="https://www.gakkou.net/kou/view/index_302083.html" TargetMode="External" Id="rId375" /><Relationship Type="http://schemas.openxmlformats.org/officeDocument/2006/relationships/hyperlink" Target="https://www.gakkou.net/kou/view/index_301909.html" TargetMode="External" Id="rId376" /><Relationship Type="http://schemas.openxmlformats.org/officeDocument/2006/relationships/hyperlink" Target="https://www.gakkou.net/kou/view/index_302375.html" TargetMode="External" Id="rId377" /><Relationship Type="http://schemas.openxmlformats.org/officeDocument/2006/relationships/hyperlink" Target="https://www.gakkou.net/kou/view/index_302122.html" TargetMode="External" Id="rId378" /><Relationship Type="http://schemas.openxmlformats.org/officeDocument/2006/relationships/hyperlink" Target="https://www.gakkou.net/kou/view/index_302086.html" TargetMode="External" Id="rId379" /><Relationship Type="http://schemas.openxmlformats.org/officeDocument/2006/relationships/hyperlink" Target="https://www.gakkou.net/kou/view/index_302077.html" TargetMode="External" Id="rId380" /><Relationship Type="http://schemas.openxmlformats.org/officeDocument/2006/relationships/hyperlink" Target="https://www.gakkou.net/kou/view/index_301933.html" TargetMode="External" Id="rId381" /><Relationship Type="http://schemas.openxmlformats.org/officeDocument/2006/relationships/hyperlink" Target="https://www.gakkou.net/kou/view/index_301937.html" TargetMode="External" Id="rId382" /><Relationship Type="http://schemas.openxmlformats.org/officeDocument/2006/relationships/hyperlink" Target="https://www.gakkou.net/kou/view/index_302108.html" TargetMode="External" Id="rId383" /><Relationship Type="http://schemas.openxmlformats.org/officeDocument/2006/relationships/hyperlink" Target="https://www.gakkou.net/kou/view/index_302014.html" TargetMode="External" Id="rId384" /><Relationship Type="http://schemas.openxmlformats.org/officeDocument/2006/relationships/hyperlink" Target="https://www.gakkou.net/kou/view/index_302022.html" TargetMode="External" Id="rId385" /><Relationship Type="http://schemas.openxmlformats.org/officeDocument/2006/relationships/hyperlink" Target="https://www.gakkou.net/kou/view/index_302017.html" TargetMode="External" Id="rId386" /><Relationship Type="http://schemas.openxmlformats.org/officeDocument/2006/relationships/hyperlink" Target="https://www.gakkou.net/kou/view/index_302011.html" TargetMode="External" Id="rId387" /><Relationship Type="http://schemas.openxmlformats.org/officeDocument/2006/relationships/hyperlink" Target="https://www.gakkou.net/kou/view/index_302204.html" TargetMode="External" Id="rId388" /><Relationship Type="http://schemas.openxmlformats.org/officeDocument/2006/relationships/hyperlink" Target="https://www.gakkou.net/kou/view/index_301854.html" TargetMode="External" Id="rId389" /><Relationship Type="http://schemas.openxmlformats.org/officeDocument/2006/relationships/hyperlink" Target="https://www.gakkou.net/kou/view/index_301855.html" TargetMode="External" Id="rId390" /><Relationship Type="http://schemas.openxmlformats.org/officeDocument/2006/relationships/hyperlink" Target="https://www.gakkou.net/kou/view/index_302050.html" TargetMode="External" Id="rId391" /><Relationship Type="http://schemas.openxmlformats.org/officeDocument/2006/relationships/hyperlink" Target="https://www.gakkou.net/kou/view/index_302087.html" TargetMode="External" Id="rId392" /><Relationship Type="http://schemas.openxmlformats.org/officeDocument/2006/relationships/hyperlink" Target="https://www.gakkou.net/kou/view/index_301970.html" TargetMode="External" Id="rId393" /><Relationship Type="http://schemas.openxmlformats.org/officeDocument/2006/relationships/hyperlink" Target="https://www.gakkou.net/kou/view/index_302208.html" TargetMode="External" Id="rId394" /><Relationship Type="http://schemas.openxmlformats.org/officeDocument/2006/relationships/hyperlink" Target="https://www.gakkou.net/kou/view/index_302181.html" TargetMode="External" Id="rId395" /><Relationship Type="http://schemas.openxmlformats.org/officeDocument/2006/relationships/hyperlink" Target="https://www.gakkou.net/kou/view/index_302085.html" TargetMode="External" Id="rId396" /><Relationship Type="http://schemas.openxmlformats.org/officeDocument/2006/relationships/hyperlink" Target="https://www.gakkou.net/kou/view/index_301867.html" TargetMode="External" Id="rId397" /><Relationship Type="http://schemas.openxmlformats.org/officeDocument/2006/relationships/hyperlink" Target="https://www.gakkou.net/kou/view/index_302239.html" TargetMode="External" Id="rId398" /><Relationship Type="http://schemas.openxmlformats.org/officeDocument/2006/relationships/hyperlink" Target="https://www.gakkou.net/kou/view/index_302079.html" TargetMode="External" Id="rId399" /><Relationship Type="http://schemas.openxmlformats.org/officeDocument/2006/relationships/hyperlink" Target="https://www.gakkou.net/kou/view/index_302284.html" TargetMode="External" Id="rId400" /><Relationship Type="http://schemas.openxmlformats.org/officeDocument/2006/relationships/hyperlink" Target="https://www.gakkou.net/kou/view/index_301917.html" TargetMode="External" Id="rId401" /><Relationship Type="http://schemas.openxmlformats.org/officeDocument/2006/relationships/hyperlink" Target="https://www.gakkou.net/kou/view/index_302184.html" TargetMode="External" Id="rId402" /><Relationship Type="http://schemas.openxmlformats.org/officeDocument/2006/relationships/hyperlink" Target="https://www.gakkou.net/kou/view/index_301925.html" TargetMode="External" Id="rId403" /><Relationship Type="http://schemas.openxmlformats.org/officeDocument/2006/relationships/hyperlink" Target="https://www.gakkou.net/kou/view/index_302274.html" TargetMode="External" Id="rId404" /><Relationship Type="http://schemas.openxmlformats.org/officeDocument/2006/relationships/hyperlink" Target="https://www.gakkou.net/kou/view/index_301837.html" TargetMode="External" Id="rId405" /><Relationship Type="http://schemas.openxmlformats.org/officeDocument/2006/relationships/hyperlink" Target="https://www.gakkou.net/kou/view/index_302139.html" TargetMode="External" Id="rId406" /><Relationship Type="http://schemas.openxmlformats.org/officeDocument/2006/relationships/hyperlink" Target="https://www.gakkou.net/kou/view/index_302052.html" TargetMode="External" Id="rId407" /><Relationship Type="http://schemas.openxmlformats.org/officeDocument/2006/relationships/hyperlink" Target="https://www.gakkou.net/kou/view/index_302183.html" TargetMode="External" Id="rId408" /><Relationship Type="http://schemas.openxmlformats.org/officeDocument/2006/relationships/hyperlink" Target="https://www.gakkou.net/kou/view/index_301952.html" TargetMode="External" Id="rId409" /><Relationship Type="http://schemas.openxmlformats.org/officeDocument/2006/relationships/hyperlink" Target="https://www.gakkou.net/kou/view/index_302066.html" TargetMode="External" Id="rId410" /><Relationship Type="http://schemas.openxmlformats.org/officeDocument/2006/relationships/hyperlink" Target="https://www.gakkou.net/kou/view/index_302362.html" TargetMode="External" Id="rId411" /><Relationship Type="http://schemas.openxmlformats.org/officeDocument/2006/relationships/hyperlink" Target="https://www.gakkou.net/kou/view/index_302196.html" TargetMode="External" Id="rId412" /><Relationship Type="http://schemas.openxmlformats.org/officeDocument/2006/relationships/hyperlink" Target="https://www.gakkou.net/kou/view/index_302210.html" TargetMode="External" Id="rId413" /><Relationship Type="http://schemas.openxmlformats.org/officeDocument/2006/relationships/hyperlink" Target="https://www.gakkou.net/kou/view/index_301842.html" TargetMode="External" Id="rId414" /><Relationship Type="http://schemas.openxmlformats.org/officeDocument/2006/relationships/hyperlink" Target="https://www.gakkou.net/kou/view/index_302154.html" TargetMode="External" Id="rId415" /><Relationship Type="http://schemas.openxmlformats.org/officeDocument/2006/relationships/hyperlink" Target="https://www.gakkou.net/kou/view/index_302186.html" TargetMode="External" Id="rId416" /><Relationship Type="http://schemas.openxmlformats.org/officeDocument/2006/relationships/hyperlink" Target="https://www.gakkou.net/kou/view/index_302153.html" TargetMode="External" Id="rId417" /><Relationship Type="http://schemas.openxmlformats.org/officeDocument/2006/relationships/hyperlink" Target="https://www.gakkou.net/kou/view/index_301921.html" TargetMode="External" Id="rId418" /><Relationship Type="http://schemas.openxmlformats.org/officeDocument/2006/relationships/hyperlink" Target="https://www.gakkou.net/kou/view/index_301926.html" TargetMode="External" Id="rId419" /><Relationship Type="http://schemas.openxmlformats.org/officeDocument/2006/relationships/hyperlink" Target="https://www.gakkou.net/kou/view/index_302232.html" TargetMode="External" Id="rId420" /><Relationship Type="http://schemas.openxmlformats.org/officeDocument/2006/relationships/hyperlink" Target="https://www.gakkou.net/kou/view/index_301868.html" TargetMode="External" Id="rId421" /><Relationship Type="http://schemas.openxmlformats.org/officeDocument/2006/relationships/hyperlink" Target="https://www.gakkou.net/kou/view/index_302105.html" TargetMode="External" Id="rId422" /><Relationship Type="http://schemas.openxmlformats.org/officeDocument/2006/relationships/hyperlink" Target="https://www.gakkou.net/kou/view/index_302126.html" TargetMode="External" Id="rId423" /><Relationship Type="http://schemas.openxmlformats.org/officeDocument/2006/relationships/hyperlink" Target="https://www.gakkou.net/kou/view/index_302129.html" TargetMode="External" Id="rId424" /><Relationship Type="http://schemas.openxmlformats.org/officeDocument/2006/relationships/hyperlink" Target="https://www.gakkou.net/kou/view/index_301827.html" TargetMode="External" Id="rId425" /><Relationship Type="http://schemas.openxmlformats.org/officeDocument/2006/relationships/hyperlink" Target="https://www.gakkou.net/kou/view/index_301853.html" TargetMode="External" Id="rId426" /><Relationship Type="http://schemas.openxmlformats.org/officeDocument/2006/relationships/hyperlink" Target="https://www.gakkou.net/kou/view/index_302110.html" TargetMode="External" Id="rId427" /><Relationship Type="http://schemas.openxmlformats.org/officeDocument/2006/relationships/hyperlink" Target="https://www.gakkou.net/kou/view/index_302306.html" TargetMode="External" Id="rId428" /><Relationship Type="http://schemas.openxmlformats.org/officeDocument/2006/relationships/hyperlink" Target="https://www.gakkou.net/kou/view/index_301918.html" TargetMode="External" Id="rId429" /><Relationship Type="http://schemas.openxmlformats.org/officeDocument/2006/relationships/hyperlink" Target="https://www.gakkou.net/kou/view/index_302023.html" TargetMode="External" Id="rId430" /><Relationship Type="http://schemas.openxmlformats.org/officeDocument/2006/relationships/hyperlink" Target="https://www.gakkou.net/kou/view/index_302080.html" TargetMode="External" Id="rId431" /><Relationship Type="http://schemas.openxmlformats.org/officeDocument/2006/relationships/hyperlink" Target="https://www.gakkou.net/kou/view/index_302167.html" TargetMode="External" Id="rId432" /><Relationship Type="http://schemas.openxmlformats.org/officeDocument/2006/relationships/hyperlink" Target="https://www.gakkou.net/kou/view/index_302272.html" TargetMode="External" Id="rId433" /><Relationship Type="http://schemas.openxmlformats.org/officeDocument/2006/relationships/hyperlink" Target="https://www.gakkou.net/kou/view/index_302243.html" TargetMode="External" Id="rId434" /><Relationship Type="http://schemas.openxmlformats.org/officeDocument/2006/relationships/hyperlink" Target="https://www.gakkou.net/kou/view/index_301873.html" TargetMode="External" Id="rId435" /><Relationship Type="http://schemas.openxmlformats.org/officeDocument/2006/relationships/hyperlink" Target="https://www.gakkou.net/kou/view/index_301927.html" TargetMode="External" Id="rId436" /><Relationship Type="http://schemas.openxmlformats.org/officeDocument/2006/relationships/hyperlink" Target="https://www.gakkou.net/kou/view/index_302270.html" TargetMode="External" Id="rId437" /><Relationship Type="http://schemas.openxmlformats.org/officeDocument/2006/relationships/hyperlink" Target="https://www.gakkou.net/kou/view/index_302285.html" TargetMode="External" Id="rId438" /><Relationship Type="http://schemas.openxmlformats.org/officeDocument/2006/relationships/hyperlink" Target="https://www.gakkou.net/kou/view/index_302328.html" TargetMode="External" Id="rId439" /><Relationship Type="http://schemas.openxmlformats.org/officeDocument/2006/relationships/hyperlink" Target="https://www.gakkou.net/kou/view/index_302115.html" TargetMode="External" Id="rId440" /><Relationship Type="http://schemas.openxmlformats.org/officeDocument/2006/relationships/hyperlink" Target="https://www.gakkou.net/kou/view/index_302370.html" TargetMode="External" Id="rId441" /><Relationship Type="http://schemas.openxmlformats.org/officeDocument/2006/relationships/hyperlink" Target="https://www.gakkou.net/kou/view/index_302074.html" TargetMode="External" Id="rId442" /><Relationship Type="http://schemas.openxmlformats.org/officeDocument/2006/relationships/hyperlink" Target="https://www.gakkou.net/kou/view/index_306564.html" TargetMode="External" Id="rId443" /><Relationship Type="http://schemas.openxmlformats.org/officeDocument/2006/relationships/hyperlink" Target="https://www.gakkou.net/kou/view/index_302096.html" TargetMode="External" Id="rId444" /><Relationship Type="http://schemas.openxmlformats.org/officeDocument/2006/relationships/hyperlink" Target="https://www.gakkou.net/kou/view/index_302212.html" TargetMode="External" Id="rId445" /><Relationship Type="http://schemas.openxmlformats.org/officeDocument/2006/relationships/hyperlink" Target="https://www.gakkou.net/kou/view/index_301847.html" TargetMode="External" Id="rId446" /><Relationship Type="http://schemas.openxmlformats.org/officeDocument/2006/relationships/hyperlink" Target="https://www.gakkou.net/kou/view/index_301891.html" TargetMode="External" Id="rId447" /><Relationship Type="http://schemas.openxmlformats.org/officeDocument/2006/relationships/hyperlink" Target="https://www.gakkou.net/kou/view/index_302164.html" TargetMode="External" Id="rId448" /><Relationship Type="http://schemas.openxmlformats.org/officeDocument/2006/relationships/hyperlink" Target="https://www.gakkou.net/kou/view/index_302262.html" TargetMode="External" Id="rId449" /><Relationship Type="http://schemas.openxmlformats.org/officeDocument/2006/relationships/hyperlink" Target="https://www.gakkou.net/kou/view/index_301841.html" TargetMode="External" Id="rId450" /><Relationship Type="http://schemas.openxmlformats.org/officeDocument/2006/relationships/hyperlink" Target="https://www.gakkou.net/kou/view/index_302197.html" TargetMode="External" Id="rId451" /><Relationship Type="http://schemas.openxmlformats.org/officeDocument/2006/relationships/hyperlink" Target="https://www.gakkou.net/kou/view/index_302308.html" TargetMode="External" Id="rId452" /><Relationship Type="http://schemas.openxmlformats.org/officeDocument/2006/relationships/hyperlink" Target="https://www.gakkou.net/kou/view/index_302305.html" TargetMode="External" Id="rId453" /><Relationship Type="http://schemas.openxmlformats.org/officeDocument/2006/relationships/hyperlink" Target="https://www.gakkou.net/kou/view/index_301897.html" TargetMode="External" Id="rId454" /><Relationship Type="http://schemas.openxmlformats.org/officeDocument/2006/relationships/hyperlink" Target="https://www.gakkou.net/kou/view/index_302116.html" TargetMode="External" Id="rId455" /><Relationship Type="http://schemas.openxmlformats.org/officeDocument/2006/relationships/hyperlink" Target="https://www.gakkou.net/kou/view/index_302117.html" TargetMode="External" Id="rId456" /><Relationship Type="http://schemas.openxmlformats.org/officeDocument/2006/relationships/hyperlink" Target="https://www.gakkou.net/kou/view/index_302134.html" TargetMode="External" Id="rId457" /><Relationship Type="http://schemas.openxmlformats.org/officeDocument/2006/relationships/hyperlink" Target="https://www.gakkou.net/kou/view/index_302291.html" TargetMode="External" Id="rId458" /><Relationship Type="http://schemas.openxmlformats.org/officeDocument/2006/relationships/hyperlink" Target="https://www.gakkou.net/kou/view/index_301852.html" TargetMode="External" Id="rId459" /><Relationship Type="http://schemas.openxmlformats.org/officeDocument/2006/relationships/hyperlink" Target="https://www.gakkou.net/kou/view/index_306330.html" TargetMode="External" Id="rId460" /><Relationship Type="http://schemas.openxmlformats.org/officeDocument/2006/relationships/hyperlink" Target="https://www.gakkou.net/kou/view/index_301900.html" TargetMode="External" Id="rId461" /><Relationship Type="http://schemas.openxmlformats.org/officeDocument/2006/relationships/hyperlink" Target="https://www.gakkou.net/kou/view/index_301840.html" TargetMode="External" Id="rId462" /><Relationship Type="http://schemas.openxmlformats.org/officeDocument/2006/relationships/hyperlink" Target="https://www.gakkou.net/kou/view/index_302198.html" TargetMode="External" Id="rId463" /><Relationship Type="http://schemas.openxmlformats.org/officeDocument/2006/relationships/hyperlink" Target="https://www.gakkou.net/kou/view/index_302045.html" TargetMode="External" Id="rId464" /><Relationship Type="http://schemas.openxmlformats.org/officeDocument/2006/relationships/hyperlink" Target="https://www.gakkou.net/kou/view/index_302039.html" TargetMode="External" Id="rId465" /><Relationship Type="http://schemas.openxmlformats.org/officeDocument/2006/relationships/hyperlink" Target="https://www.gakkou.net/kou/view/index_302300.html" TargetMode="External" Id="rId466" /><Relationship Type="http://schemas.openxmlformats.org/officeDocument/2006/relationships/hyperlink" Target="https://www.gakkou.net/kou/view/index_302053.html" TargetMode="External" Id="rId467" /><Relationship Type="http://schemas.openxmlformats.org/officeDocument/2006/relationships/hyperlink" Target="https://www.gakkou.net/kou/view/index_301923.html" TargetMode="External" Id="rId468" /><Relationship Type="http://schemas.openxmlformats.org/officeDocument/2006/relationships/hyperlink" Target="https://www.gakkou.net/kou/view/index_302257.html" TargetMode="External" Id="rId469" /><Relationship Type="http://schemas.openxmlformats.org/officeDocument/2006/relationships/hyperlink" Target="https://www.gakkou.net/kou/view/index_302114.html" TargetMode="External" Id="rId470" /><Relationship Type="http://schemas.openxmlformats.org/officeDocument/2006/relationships/hyperlink" Target="https://www.gakkou.net/kou/view/index_302103.html" TargetMode="External" Id="rId471" /><Relationship Type="http://schemas.openxmlformats.org/officeDocument/2006/relationships/hyperlink" Target="https://www.gakkou.net/kou/view/index_302094.html" TargetMode="External" Id="rId472" /><Relationship Type="http://schemas.openxmlformats.org/officeDocument/2006/relationships/hyperlink" Target="https://www.gakkou.net/kou/view/index_302276.html" TargetMode="External" Id="rId473" /><Relationship Type="http://schemas.openxmlformats.org/officeDocument/2006/relationships/hyperlink" Target="https://www.gakkou.net/kou/view/index_302156.html" TargetMode="External" Id="rId474" /><Relationship Type="http://schemas.openxmlformats.org/officeDocument/2006/relationships/hyperlink" Target="https://www.gakkou.net/kou/view/index_302368.html" TargetMode="External" Id="rId475" /><Relationship Type="http://schemas.openxmlformats.org/officeDocument/2006/relationships/hyperlink" Target="https://www.gakkou.net/kou/view/index_302267.html" TargetMode="External" Id="rId476" /><Relationship Type="http://schemas.openxmlformats.org/officeDocument/2006/relationships/hyperlink" Target="https://www.gakkou.net/kou/view/index_302246.html" TargetMode="External" Id="rId477" /><Relationship Type="http://schemas.openxmlformats.org/officeDocument/2006/relationships/hyperlink" Target="https://www.gakkou.net/kou/view/index_301861.html" TargetMode="External" Id="rId478" /><Relationship Type="http://schemas.openxmlformats.org/officeDocument/2006/relationships/hyperlink" Target="https://www.gakkou.net/kou/view/index_301828.html" TargetMode="External" Id="rId479" /><Relationship Type="http://schemas.openxmlformats.org/officeDocument/2006/relationships/hyperlink" Target="https://www.gakkou.net/kou/view/index_301892.html" TargetMode="External" Id="rId480" /><Relationship Type="http://schemas.openxmlformats.org/officeDocument/2006/relationships/hyperlink" Target="https://www.gakkou.net/kou/view/index_301901.html" TargetMode="External" Id="rId481" /><Relationship Type="http://schemas.openxmlformats.org/officeDocument/2006/relationships/hyperlink" Target="https://www.gakkou.net/kou/view/index_302061.html" TargetMode="External" Id="rId482" /><Relationship Type="http://schemas.openxmlformats.org/officeDocument/2006/relationships/hyperlink" Target="https://www.gakkou.net/kou/view/index_302188.html" TargetMode="External" Id="rId483" /><Relationship Type="http://schemas.openxmlformats.org/officeDocument/2006/relationships/hyperlink" Target="https://www.gakkou.net/kou/view/index_302185.html" TargetMode="External" Id="rId484" /><Relationship Type="http://schemas.openxmlformats.org/officeDocument/2006/relationships/hyperlink" Target="https://www.gakkou.net/kou/view/index_301899.html" TargetMode="External" Id="rId485" /><Relationship Type="http://schemas.openxmlformats.org/officeDocument/2006/relationships/hyperlink" Target="https://www.gakkou.net/kou/view/index_302075.html" TargetMode="External" Id="rId486" /><Relationship Type="http://schemas.openxmlformats.org/officeDocument/2006/relationships/hyperlink" Target="https://www.gakkou.net/kou/view/index_302003.html" TargetMode="External" Id="rId487" /><Relationship Type="http://schemas.openxmlformats.org/officeDocument/2006/relationships/hyperlink" Target="https://www.gakkou.net/kou/view/index_301838.html" TargetMode="External" Id="rId488" /><Relationship Type="http://schemas.openxmlformats.org/officeDocument/2006/relationships/hyperlink" Target="https://www.gakkou.net/kou/view/index_302140.html" TargetMode="External" Id="rId489" /><Relationship Type="http://schemas.openxmlformats.org/officeDocument/2006/relationships/hyperlink" Target="https://www.gakkou.net/kou/view/index_302068.html" TargetMode="External" Id="rId490" /><Relationship Type="http://schemas.openxmlformats.org/officeDocument/2006/relationships/hyperlink" Target="https://www.gakkou.net/kou/view/index_302089.html" TargetMode="External" Id="rId491" /><Relationship Type="http://schemas.openxmlformats.org/officeDocument/2006/relationships/hyperlink" Target="https://www.gakkou.net/kou/view/index_302042.html" TargetMode="External" Id="rId492" /><Relationship Type="http://schemas.openxmlformats.org/officeDocument/2006/relationships/hyperlink" Target="https://www.gakkou.net/kou/view/index_302283.html" TargetMode="External" Id="rId493" /><Relationship Type="http://schemas.openxmlformats.org/officeDocument/2006/relationships/hyperlink" Target="https://www.gakkou.net/kou/view/index_302092.html" TargetMode="External" Id="rId494" /><Relationship Type="http://schemas.openxmlformats.org/officeDocument/2006/relationships/hyperlink" Target="https://www.gakkou.net/kou/view/index_301972.html" TargetMode="External" Id="rId495" /><Relationship Type="http://schemas.openxmlformats.org/officeDocument/2006/relationships/hyperlink" Target="https://www.gakkou.net/kou/view/index_302330.html" TargetMode="External" Id="rId496" /><Relationship Type="http://schemas.openxmlformats.org/officeDocument/2006/relationships/hyperlink" Target="https://www.gakkou.net/kou/view/index_302161.html" TargetMode="External" Id="rId497" /><Relationship Type="http://schemas.openxmlformats.org/officeDocument/2006/relationships/hyperlink" Target="https://www.gakkou.net/kou/view/index_302168.html" TargetMode="External" Id="rId498" /><Relationship Type="http://schemas.openxmlformats.org/officeDocument/2006/relationships/hyperlink" Target="https://www.gakkou.net/kou/view/index_301896.html" TargetMode="External" Id="rId499" /><Relationship Type="http://schemas.openxmlformats.org/officeDocument/2006/relationships/hyperlink" Target="https://www.gakkou.net/kou/view/index_302209.html" TargetMode="External" Id="rId500" /><Relationship Type="http://schemas.openxmlformats.org/officeDocument/2006/relationships/hyperlink" Target="https://www.gakkou.net/kou/view/index_302319.html" TargetMode="External" Id="rId501" /><Relationship Type="http://schemas.openxmlformats.org/officeDocument/2006/relationships/hyperlink" Target="https://www.gakkou.net/kou/view/index_302320.html" TargetMode="External" Id="rId502" /><Relationship Type="http://schemas.openxmlformats.org/officeDocument/2006/relationships/hyperlink" Target="https://www.gakkou.net/kou/view/index_302036.html" TargetMode="External" Id="rId503" /><Relationship Type="http://schemas.openxmlformats.org/officeDocument/2006/relationships/hyperlink" Target="https://www.gakkou.net/kou/view/index_301889.html" TargetMode="External" Id="rId504" /><Relationship Type="http://schemas.openxmlformats.org/officeDocument/2006/relationships/hyperlink" Target="https://www.gakkou.net/kou/view/index_301863.html" TargetMode="External" Id="rId505" /><Relationship Type="http://schemas.openxmlformats.org/officeDocument/2006/relationships/hyperlink" Target="https://www.gakkou.net/kou/view/index_302333.html" TargetMode="External" Id="rId506" /><Relationship Type="http://schemas.openxmlformats.org/officeDocument/2006/relationships/hyperlink" Target="https://www.gakkou.net/kou/view/index_302060.html" TargetMode="External" Id="rId507" /><Relationship Type="http://schemas.openxmlformats.org/officeDocument/2006/relationships/hyperlink" Target="https://www.gakkou.net/kou/view/index_302218.html" TargetMode="External" Id="rId508" /><Relationship Type="http://schemas.openxmlformats.org/officeDocument/2006/relationships/hyperlink" Target="https://www.gakkou.net/kou/view/index_301844.html" TargetMode="External" Id="rId509" /><Relationship Type="http://schemas.openxmlformats.org/officeDocument/2006/relationships/hyperlink" Target="https://www.gakkou.net/kou/view/index_301871.html" TargetMode="External" Id="rId510" /><Relationship Type="http://schemas.openxmlformats.org/officeDocument/2006/relationships/hyperlink" Target="https://www.gakkou.net/kou/view/index_302152.html" TargetMode="External" Id="rId511" /><Relationship Type="http://schemas.openxmlformats.org/officeDocument/2006/relationships/hyperlink" Target="https://www.gakkou.net/kou/view/index_301908.html" TargetMode="External" Id="rId512" /><Relationship Type="http://schemas.openxmlformats.org/officeDocument/2006/relationships/hyperlink" Target="https://www.gakkou.net/kou/view/index_302027.html" TargetMode="External" Id="rId513" /><Relationship Type="http://schemas.openxmlformats.org/officeDocument/2006/relationships/hyperlink" Target="https://www.gakkou.net/kou/view/index_302233.html" TargetMode="External" Id="rId514" /><Relationship Type="http://schemas.openxmlformats.org/officeDocument/2006/relationships/hyperlink" Target="https://www.gakkou.net/kou/view/index_306792.html" TargetMode="External" Id="rId515" /><Relationship Type="http://schemas.openxmlformats.org/officeDocument/2006/relationships/hyperlink" Target="https://www.gakkou.net/kou/view/index_302138.html" TargetMode="External" Id="rId516" /><Relationship Type="http://schemas.openxmlformats.org/officeDocument/2006/relationships/hyperlink" Target="https://www.gakkou.net/kou/view/index_302191.html" TargetMode="External" Id="rId517" /><Relationship Type="http://schemas.openxmlformats.org/officeDocument/2006/relationships/hyperlink" Target="https://www.gakkou.net/kou/view/index_302016.html" TargetMode="External" Id="rId518" /><Relationship Type="http://schemas.openxmlformats.org/officeDocument/2006/relationships/hyperlink" Target="https://www.gakkou.net/kou/view/index_302178.html" TargetMode="External" Id="rId519" /><Relationship Type="http://schemas.openxmlformats.org/officeDocument/2006/relationships/hyperlink" Target="https://www.gakkou.net/kou/view/index_302137.html" TargetMode="External" Id="rId520" /><Relationship Type="http://schemas.openxmlformats.org/officeDocument/2006/relationships/hyperlink" Target="https://www.gakkou.net/kou/view/index_302182.html" TargetMode="External" Id="rId521" /><Relationship Type="http://schemas.openxmlformats.org/officeDocument/2006/relationships/hyperlink" Target="https://www.gakkou.net/kou/view/index_302121.html" TargetMode="External" Id="rId522" /><Relationship Type="http://schemas.openxmlformats.org/officeDocument/2006/relationships/hyperlink" Target="https://www.gakkou.net/kou/view/index_302240.html" TargetMode="External" Id="rId523" /><Relationship Type="http://schemas.openxmlformats.org/officeDocument/2006/relationships/hyperlink" Target="https://www.gakkou.net/kou/view/index_301836.html" TargetMode="External" Id="rId524" /><Relationship Type="http://schemas.openxmlformats.org/officeDocument/2006/relationships/hyperlink" Target="https://www.gakkou.net/kou/view/index_302215.html" TargetMode="External" Id="rId525" /><Relationship Type="http://schemas.openxmlformats.org/officeDocument/2006/relationships/hyperlink" Target="https://www.gakkou.net/kou/view/index_301934.html" TargetMode="External" Id="rId526" /><Relationship Type="http://schemas.openxmlformats.org/officeDocument/2006/relationships/hyperlink" Target="https://www.gakkou.net/kou/view/index_302361.html" TargetMode="External" Id="rId527" /><Relationship Type="http://schemas.openxmlformats.org/officeDocument/2006/relationships/hyperlink" Target="https://www.gakkou.net/kou/view/index_301866.html" TargetMode="External" Id="rId528" /><Relationship Type="http://schemas.openxmlformats.org/officeDocument/2006/relationships/hyperlink" Target="https://www.gakkou.net/kou/view/index_302281.html" TargetMode="External" Id="rId529" /><Relationship Type="http://schemas.openxmlformats.org/officeDocument/2006/relationships/hyperlink" Target="https://www.gakkou.net/kou/view/index_302088.html" TargetMode="External" Id="rId530" /><Relationship Type="http://schemas.openxmlformats.org/officeDocument/2006/relationships/hyperlink" Target="https://www.gakkou.net/kou/view/index_302135.html" TargetMode="External" Id="rId531" /><Relationship Type="http://schemas.openxmlformats.org/officeDocument/2006/relationships/hyperlink" Target="https://www.gakkou.net/kou/view/index_302299.html" TargetMode="External" Id="rId532" /><Relationship Type="http://schemas.openxmlformats.org/officeDocument/2006/relationships/hyperlink" Target="https://www.gakkou.net/kou/view/index_301830.html" TargetMode="External" Id="rId533" /><Relationship Type="http://schemas.openxmlformats.org/officeDocument/2006/relationships/hyperlink" Target="https://www.gakkou.net/kou/view/index_302254.html" TargetMode="External" Id="rId534" /><Relationship Type="http://schemas.openxmlformats.org/officeDocument/2006/relationships/hyperlink" Target="https://www.gakkou.net/kou/view/index_302282.html" TargetMode="External" Id="rId535" /><Relationship Type="http://schemas.openxmlformats.org/officeDocument/2006/relationships/hyperlink" Target="https://www.gakkou.net/kou/view/index_302072.html" TargetMode="External" Id="rId536" /><Relationship Type="http://schemas.openxmlformats.org/officeDocument/2006/relationships/hyperlink" Target="https://www.gakkou.net/kou/view/index_302073.html" TargetMode="External" Id="rId537" /><Relationship Type="http://schemas.openxmlformats.org/officeDocument/2006/relationships/hyperlink" Target="https://www.gakkou.net/kou/view/index_302123.html" TargetMode="External" Id="rId538" /><Relationship Type="http://schemas.openxmlformats.org/officeDocument/2006/relationships/hyperlink" Target="https://www.gakkou.net/kou/view/index_302065.html" TargetMode="External" Id="rId539" /><Relationship Type="http://schemas.openxmlformats.org/officeDocument/2006/relationships/hyperlink" Target="https://www.gakkou.net/kou/view/index_301973.html" TargetMode="External" Id="rId540" /><Relationship Type="http://schemas.openxmlformats.org/officeDocument/2006/relationships/hyperlink" Target="https://www.gakkou.net/kou/view/index_301864.html" TargetMode="External" Id="rId541" /><Relationship Type="http://schemas.openxmlformats.org/officeDocument/2006/relationships/hyperlink" Target="https://www.gakkou.net/kou/view/index_306412.html" TargetMode="External" Id="rId542" /><Relationship Type="http://schemas.openxmlformats.org/officeDocument/2006/relationships/hyperlink" Target="https://www.gakkou.net/kou/view/index_306769.html" TargetMode="External" Id="rId543" /><Relationship Type="http://schemas.openxmlformats.org/officeDocument/2006/relationships/hyperlink" Target="https://www.gakkou.net/kou/view/index_302173.html" TargetMode="External" Id="rId544" /><Relationship Type="http://schemas.openxmlformats.org/officeDocument/2006/relationships/hyperlink" Target="https://www.gakkou.net/kou/view/index_306409.html" TargetMode="External" Id="rId545" /><Relationship Type="http://schemas.openxmlformats.org/officeDocument/2006/relationships/hyperlink" Target="https://www.gakkou.net/kou/view/index_302019.html" TargetMode="External" Id="rId546" /><Relationship Type="http://schemas.openxmlformats.org/officeDocument/2006/relationships/hyperlink" Target="https://www.gakkou.net/kou/view/index_302332.html" TargetMode="External" Id="rId547" /><Relationship Type="http://schemas.openxmlformats.org/officeDocument/2006/relationships/hyperlink" Target="https://www.gakkou.net/kou/view/index_302125.html" TargetMode="External" Id="rId548" /><Relationship Type="http://schemas.openxmlformats.org/officeDocument/2006/relationships/hyperlink" Target="https://www.gakkou.net/kou/view/index_302124.html" TargetMode="External" Id="rId549" /><Relationship Type="http://schemas.openxmlformats.org/officeDocument/2006/relationships/hyperlink" Target="https://www.gakkou.net/kou/view/index_302220.html" TargetMode="External" Id="rId550" /><Relationship Type="http://schemas.openxmlformats.org/officeDocument/2006/relationships/hyperlink" Target="https://www.gakkou.net/kou/view/index_301835.html" TargetMode="External" Id="rId551" /><Relationship Type="http://schemas.openxmlformats.org/officeDocument/2006/relationships/hyperlink" Target="https://www.gakkou.net/kou/view/index_302506.html" TargetMode="External" Id="rId552" /><Relationship Type="http://schemas.openxmlformats.org/officeDocument/2006/relationships/hyperlink" Target="https://www.gakkou.net/kou/view/index_302421.html" TargetMode="External" Id="rId553" /><Relationship Type="http://schemas.openxmlformats.org/officeDocument/2006/relationships/hyperlink" Target="https://www.gakkou.net/kou/view/index_302615.html" TargetMode="External" Id="rId554" /><Relationship Type="http://schemas.openxmlformats.org/officeDocument/2006/relationships/hyperlink" Target="https://www.gakkou.net/kou/view/index_302464.html" TargetMode="External" Id="rId555" /><Relationship Type="http://schemas.openxmlformats.org/officeDocument/2006/relationships/hyperlink" Target="https://www.gakkou.net/kou/view/index_306415.html" TargetMode="External" Id="rId556" /><Relationship Type="http://schemas.openxmlformats.org/officeDocument/2006/relationships/hyperlink" Target="https://www.gakkou.net/kou/view/index_302643.html" TargetMode="External" Id="rId557" /><Relationship Type="http://schemas.openxmlformats.org/officeDocument/2006/relationships/hyperlink" Target="https://www.gakkou.net/kou/view/index_302600.html" TargetMode="External" Id="rId558" /><Relationship Type="http://schemas.openxmlformats.org/officeDocument/2006/relationships/hyperlink" Target="https://www.gakkou.net/kou/view/index_302431.html" TargetMode="External" Id="rId559" /><Relationship Type="http://schemas.openxmlformats.org/officeDocument/2006/relationships/hyperlink" Target="https://www.gakkou.net/kou/view/index_302397.html" TargetMode="External" Id="rId560" /><Relationship Type="http://schemas.openxmlformats.org/officeDocument/2006/relationships/hyperlink" Target="https://www.gakkou.net/kou/view/index_306336.html" TargetMode="External" Id="rId561" /><Relationship Type="http://schemas.openxmlformats.org/officeDocument/2006/relationships/hyperlink" Target="https://www.gakkou.net/kou/view/index_302426.html" TargetMode="External" Id="rId562" /><Relationship Type="http://schemas.openxmlformats.org/officeDocument/2006/relationships/hyperlink" Target="https://www.gakkou.net/kou/view/index_302449.html" TargetMode="External" Id="rId563" /><Relationship Type="http://schemas.openxmlformats.org/officeDocument/2006/relationships/hyperlink" Target="https://www.gakkou.net/kou/view/index_302599.html" TargetMode="External" Id="rId564" /><Relationship Type="http://schemas.openxmlformats.org/officeDocument/2006/relationships/hyperlink" Target="https://www.gakkou.net/kou/view/index_302596.html" TargetMode="External" Id="rId565" /><Relationship Type="http://schemas.openxmlformats.org/officeDocument/2006/relationships/hyperlink" Target="https://www.gakkou.net/kou/view/index_302603.html" TargetMode="External" Id="rId566" /><Relationship Type="http://schemas.openxmlformats.org/officeDocument/2006/relationships/hyperlink" Target="https://www.gakkou.net/kou/view/index_302402.html" TargetMode="External" Id="rId567" /><Relationship Type="http://schemas.openxmlformats.org/officeDocument/2006/relationships/hyperlink" Target="https://www.gakkou.net/kou/view/index_302499.html" TargetMode="External" Id="rId568" /><Relationship Type="http://schemas.openxmlformats.org/officeDocument/2006/relationships/hyperlink" Target="https://www.gakkou.net/kou/view/index_302520.html" TargetMode="External" Id="rId569" /><Relationship Type="http://schemas.openxmlformats.org/officeDocument/2006/relationships/hyperlink" Target="https://www.gakkou.net/kou/view/index_302620.html" TargetMode="External" Id="rId570" /><Relationship Type="http://schemas.openxmlformats.org/officeDocument/2006/relationships/hyperlink" Target="https://www.gakkou.net/kou/view/index_302598.html" TargetMode="External" Id="rId571" /><Relationship Type="http://schemas.openxmlformats.org/officeDocument/2006/relationships/hyperlink" Target="https://www.gakkou.net/kou/view/index_302627.html" TargetMode="External" Id="rId572" /><Relationship Type="http://schemas.openxmlformats.org/officeDocument/2006/relationships/hyperlink" Target="https://www.gakkou.net/kou/view/index_302579.html" TargetMode="External" Id="rId573" /><Relationship Type="http://schemas.openxmlformats.org/officeDocument/2006/relationships/hyperlink" Target="https://www.gakkou.net/kou/view/index_302438.html" TargetMode="External" Id="rId574" /><Relationship Type="http://schemas.openxmlformats.org/officeDocument/2006/relationships/hyperlink" Target="https://www.gakkou.net/kou/view/index_302640.html" TargetMode="External" Id="rId575" /><Relationship Type="http://schemas.openxmlformats.org/officeDocument/2006/relationships/hyperlink" Target="https://www.gakkou.net/kou/view/index_302674.html" TargetMode="External" Id="rId576" /><Relationship Type="http://schemas.openxmlformats.org/officeDocument/2006/relationships/hyperlink" Target="https://www.gakkou.net/kou/view/index_302465.html" TargetMode="External" Id="rId577" /><Relationship Type="http://schemas.openxmlformats.org/officeDocument/2006/relationships/hyperlink" Target="https://www.gakkou.net/kou/view/index_302459.html" TargetMode="External" Id="rId578" /><Relationship Type="http://schemas.openxmlformats.org/officeDocument/2006/relationships/hyperlink" Target="https://www.gakkou.net/kou/view/index_302440.html" TargetMode="External" Id="rId579" /><Relationship Type="http://schemas.openxmlformats.org/officeDocument/2006/relationships/hyperlink" Target="https://www.gakkou.net/kou/view/index_306338.html" TargetMode="External" Id="rId580" /><Relationship Type="http://schemas.openxmlformats.org/officeDocument/2006/relationships/hyperlink" Target="https://www.gakkou.net/kou/view/index_302529.html" TargetMode="External" Id="rId581" /><Relationship Type="http://schemas.openxmlformats.org/officeDocument/2006/relationships/hyperlink" Target="https://www.gakkou.net/kou/view/index_302629.html" TargetMode="External" Id="rId582" /><Relationship Type="http://schemas.openxmlformats.org/officeDocument/2006/relationships/hyperlink" Target="https://www.gakkou.net/kou/view/index_302630.html" TargetMode="External" Id="rId583" /><Relationship Type="http://schemas.openxmlformats.org/officeDocument/2006/relationships/hyperlink" Target="https://www.gakkou.net/kou/view/index_302628.html" TargetMode="External" Id="rId584" /><Relationship Type="http://schemas.openxmlformats.org/officeDocument/2006/relationships/hyperlink" Target="https://www.gakkou.net/kou/view/index_302610.html" TargetMode="External" Id="rId585" /><Relationship Type="http://schemas.openxmlformats.org/officeDocument/2006/relationships/hyperlink" Target="https://www.gakkou.net/kou/view/index_302493.html" TargetMode="External" Id="rId586" /><Relationship Type="http://schemas.openxmlformats.org/officeDocument/2006/relationships/hyperlink" Target="https://www.gakkou.net/kou/view/index_306556.html" TargetMode="External" Id="rId587" /><Relationship Type="http://schemas.openxmlformats.org/officeDocument/2006/relationships/hyperlink" Target="https://www.gakkou.net/kou/view/index_306335.html" TargetMode="External" Id="rId588" /><Relationship Type="http://schemas.openxmlformats.org/officeDocument/2006/relationships/hyperlink" Target="https://www.gakkou.net/kou/view/index_302565.html" TargetMode="External" Id="rId589" /><Relationship Type="http://schemas.openxmlformats.org/officeDocument/2006/relationships/hyperlink" Target="https://www.gakkou.net/kou/view/index_302602.html" TargetMode="External" Id="rId590" /><Relationship Type="http://schemas.openxmlformats.org/officeDocument/2006/relationships/hyperlink" Target="https://www.gakkou.net/kou/view/index_302477.html" TargetMode="External" Id="rId591" /><Relationship Type="http://schemas.openxmlformats.org/officeDocument/2006/relationships/hyperlink" Target="https://www.gakkou.net/kou/view/index_302607.html" TargetMode="External" Id="rId592" /><Relationship Type="http://schemas.openxmlformats.org/officeDocument/2006/relationships/hyperlink" Target="https://www.gakkou.net/kou/view/index_302400.html" TargetMode="External" Id="rId593" /><Relationship Type="http://schemas.openxmlformats.org/officeDocument/2006/relationships/hyperlink" Target="https://www.gakkou.net/kou/view/index_302422.html" TargetMode="External" Id="rId594" /><Relationship Type="http://schemas.openxmlformats.org/officeDocument/2006/relationships/hyperlink" Target="https://www.gakkou.net/kou/view/index_302617.html" TargetMode="External" Id="rId595" /><Relationship Type="http://schemas.openxmlformats.org/officeDocument/2006/relationships/hyperlink" Target="https://www.gakkou.net/kou/view/index_302483.html" TargetMode="External" Id="rId596" /><Relationship Type="http://schemas.openxmlformats.org/officeDocument/2006/relationships/hyperlink" Target="https://www.gakkou.net/kou/view/index_302667.html" TargetMode="External" Id="rId597" /><Relationship Type="http://schemas.openxmlformats.org/officeDocument/2006/relationships/hyperlink" Target="https://www.gakkou.net/kou/view/index_302498.html" TargetMode="External" Id="rId598" /><Relationship Type="http://schemas.openxmlformats.org/officeDocument/2006/relationships/hyperlink" Target="https://www.gakkou.net/kou/view/index_302482.html" TargetMode="External" Id="rId599" /><Relationship Type="http://schemas.openxmlformats.org/officeDocument/2006/relationships/hyperlink" Target="https://www.gakkou.net/kou/view/index_302446.html" TargetMode="External" Id="rId600" /><Relationship Type="http://schemas.openxmlformats.org/officeDocument/2006/relationships/hyperlink" Target="https://www.gakkou.net/kou/view/index_302460.html" TargetMode="External" Id="rId601" /><Relationship Type="http://schemas.openxmlformats.org/officeDocument/2006/relationships/hyperlink" Target="https://www.gakkou.net/kou/view/index_302413.html" TargetMode="External" Id="rId602" /><Relationship Type="http://schemas.openxmlformats.org/officeDocument/2006/relationships/hyperlink" Target="https://www.gakkou.net/kou/view/index_302623.html" TargetMode="External" Id="rId603" /><Relationship Type="http://schemas.openxmlformats.org/officeDocument/2006/relationships/hyperlink" Target="https://www.gakkou.net/kou/view/index_302408.html" TargetMode="External" Id="rId604" /><Relationship Type="http://schemas.openxmlformats.org/officeDocument/2006/relationships/hyperlink" Target="https://www.gakkou.net/kou/view/index_302436.html" TargetMode="External" Id="rId605" /><Relationship Type="http://schemas.openxmlformats.org/officeDocument/2006/relationships/hyperlink" Target="https://www.gakkou.net/kou/view/index_302638.html" TargetMode="External" Id="rId606" /><Relationship Type="http://schemas.openxmlformats.org/officeDocument/2006/relationships/hyperlink" Target="https://www.gakkou.net/kou/view/index_302484.html" TargetMode="External" Id="rId607" /><Relationship Type="http://schemas.openxmlformats.org/officeDocument/2006/relationships/hyperlink" Target="https://www.gakkou.net/kou/view/index_302658.html" TargetMode="External" Id="rId608" /><Relationship Type="http://schemas.openxmlformats.org/officeDocument/2006/relationships/hyperlink" Target="https://www.gakkou.net/kou/view/index_302495.html" TargetMode="External" Id="rId609" /><Relationship Type="http://schemas.openxmlformats.org/officeDocument/2006/relationships/hyperlink" Target="https://www.gakkou.net/kou/view/index_302633.html" TargetMode="External" Id="rId610" /><Relationship Type="http://schemas.openxmlformats.org/officeDocument/2006/relationships/hyperlink" Target="https://www.gakkou.net/kou/view/index_302432.html" TargetMode="External" Id="rId611" /><Relationship Type="http://schemas.openxmlformats.org/officeDocument/2006/relationships/hyperlink" Target="https://www.gakkou.net/kou/view/index_302486.html" TargetMode="External" Id="rId612" /><Relationship Type="http://schemas.openxmlformats.org/officeDocument/2006/relationships/hyperlink" Target="https://www.gakkou.net/kou/view/index_302395.html" TargetMode="External" Id="rId613" /><Relationship Type="http://schemas.openxmlformats.org/officeDocument/2006/relationships/hyperlink" Target="https://www.gakkou.net/kou/view/index_302535.html" TargetMode="External" Id="rId614" /><Relationship Type="http://schemas.openxmlformats.org/officeDocument/2006/relationships/hyperlink" Target="https://www.gakkou.net/kou/view/index_302634.html" TargetMode="External" Id="rId615" /><Relationship Type="http://schemas.openxmlformats.org/officeDocument/2006/relationships/hyperlink" Target="https://www.gakkou.net/kou/view/index_302530.html" TargetMode="External" Id="rId616" /><Relationship Type="http://schemas.openxmlformats.org/officeDocument/2006/relationships/hyperlink" Target="https://www.gakkou.net/kou/view/index_302447.html" TargetMode="External" Id="rId617" /><Relationship Type="http://schemas.openxmlformats.org/officeDocument/2006/relationships/hyperlink" Target="https://www.gakkou.net/kou/view/index_302595.html" TargetMode="External" Id="rId618" /><Relationship Type="http://schemas.openxmlformats.org/officeDocument/2006/relationships/hyperlink" Target="https://www.gakkou.net/kou/view/index_302528.html" TargetMode="External" Id="rId619" /><Relationship Type="http://schemas.openxmlformats.org/officeDocument/2006/relationships/hyperlink" Target="https://www.gakkou.net/kou/view/index_302514.html" TargetMode="External" Id="rId620" /><Relationship Type="http://schemas.openxmlformats.org/officeDocument/2006/relationships/hyperlink" Target="https://www.gakkou.net/kou/view/index_302494.html" TargetMode="External" Id="rId621" /><Relationship Type="http://schemas.openxmlformats.org/officeDocument/2006/relationships/hyperlink" Target="https://www.gakkou.net/kou/view/index_302525.html" TargetMode="External" Id="rId622" /><Relationship Type="http://schemas.openxmlformats.org/officeDocument/2006/relationships/hyperlink" Target="https://www.gakkou.net/kou/view/index_302557.html" TargetMode="External" Id="rId623" /><Relationship Type="http://schemas.openxmlformats.org/officeDocument/2006/relationships/hyperlink" Target="https://www.gakkou.net/kou/view/index_302496.html" TargetMode="External" Id="rId624" /><Relationship Type="http://schemas.openxmlformats.org/officeDocument/2006/relationships/hyperlink" Target="https://www.gakkou.net/kou/view/index_302450.html" TargetMode="External" Id="rId625" /><Relationship Type="http://schemas.openxmlformats.org/officeDocument/2006/relationships/hyperlink" Target="https://www.gakkou.net/kou/view/index_302549.html" TargetMode="External" Id="rId626" /><Relationship Type="http://schemas.openxmlformats.org/officeDocument/2006/relationships/hyperlink" Target="https://www.gakkou.net/kou/view/index_302420.html" TargetMode="External" Id="rId627" /><Relationship Type="http://schemas.openxmlformats.org/officeDocument/2006/relationships/hyperlink" Target="https://www.gakkou.net/kou/view/index_302521.html" TargetMode="External" Id="rId628" /><Relationship Type="http://schemas.openxmlformats.org/officeDocument/2006/relationships/hyperlink" Target="https://www.gakkou.net/kou/view/index_302592.html" TargetMode="External" Id="rId629" /><Relationship Type="http://schemas.openxmlformats.org/officeDocument/2006/relationships/hyperlink" Target="https://www.gakkou.net/kou/view/index_306770.html" TargetMode="External" Id="rId630" /><Relationship Type="http://schemas.openxmlformats.org/officeDocument/2006/relationships/hyperlink" Target="https://www.gakkou.net/kou/view/index_302497.html" TargetMode="External" Id="rId631" /><Relationship Type="http://schemas.openxmlformats.org/officeDocument/2006/relationships/hyperlink" Target="https://www.gakkou.net/kou/view/index_306436.html" TargetMode="External" Id="rId632" /><Relationship Type="http://schemas.openxmlformats.org/officeDocument/2006/relationships/hyperlink" Target="https://www.gakkou.net/kou/view/index_302804.html" TargetMode="External" Id="rId633" /><Relationship Type="http://schemas.openxmlformats.org/officeDocument/2006/relationships/hyperlink" Target="https://www.gakkou.net/kou/view/index_302758.html" TargetMode="External" Id="rId634" /><Relationship Type="http://schemas.openxmlformats.org/officeDocument/2006/relationships/hyperlink" Target="https://www.gakkou.net/kou/view/index_302793.html" TargetMode="External" Id="rId635" /><Relationship Type="http://schemas.openxmlformats.org/officeDocument/2006/relationships/hyperlink" Target="https://www.gakkou.net/kou/view/index_302705.html" TargetMode="External" Id="rId636" /><Relationship Type="http://schemas.openxmlformats.org/officeDocument/2006/relationships/hyperlink" Target="https://www.gakkou.net/kou/view/index_302706.html" TargetMode="External" Id="rId637" /><Relationship Type="http://schemas.openxmlformats.org/officeDocument/2006/relationships/hyperlink" Target="https://www.gakkou.net/kou/view/index_306472.html" TargetMode="External" Id="rId638" /><Relationship Type="http://schemas.openxmlformats.org/officeDocument/2006/relationships/hyperlink" Target="https://www.gakkou.net/kou/view/index_302687.html" TargetMode="External" Id="rId639" /><Relationship Type="http://schemas.openxmlformats.org/officeDocument/2006/relationships/hyperlink" Target="https://www.gakkou.net/kou/view/index_302679.html" TargetMode="External" Id="rId640" /><Relationship Type="http://schemas.openxmlformats.org/officeDocument/2006/relationships/hyperlink" Target="https://www.gakkou.net/kou/view/index_302752.html" TargetMode="External" Id="rId641" /><Relationship Type="http://schemas.openxmlformats.org/officeDocument/2006/relationships/hyperlink" Target="https://www.gakkou.net/kou/view/index_306509.html" TargetMode="External" Id="rId642" /><Relationship Type="http://schemas.openxmlformats.org/officeDocument/2006/relationships/hyperlink" Target="https://www.gakkou.net/kou/view/index_302715.html" TargetMode="External" Id="rId643" /><Relationship Type="http://schemas.openxmlformats.org/officeDocument/2006/relationships/hyperlink" Target="https://www.gakkou.net/kou/view/index_302756.html" TargetMode="External" Id="rId644" /><Relationship Type="http://schemas.openxmlformats.org/officeDocument/2006/relationships/hyperlink" Target="https://www.gakkou.net/kou/view/index_302760.html" TargetMode="External" Id="rId645" /><Relationship Type="http://schemas.openxmlformats.org/officeDocument/2006/relationships/hyperlink" Target="https://www.gakkou.net/kou/view/index_302766.html" TargetMode="External" Id="rId646" /><Relationship Type="http://schemas.openxmlformats.org/officeDocument/2006/relationships/hyperlink" Target="https://www.gakkou.net/kou/view/index_302765.html" TargetMode="External" Id="rId647" /><Relationship Type="http://schemas.openxmlformats.org/officeDocument/2006/relationships/hyperlink" Target="https://www.gakkou.net/kou/view/index_302755.html" TargetMode="External" Id="rId648" /><Relationship Type="http://schemas.openxmlformats.org/officeDocument/2006/relationships/hyperlink" Target="https://www.gakkou.net/kou/view/index_302746.html" TargetMode="External" Id="rId649" /><Relationship Type="http://schemas.openxmlformats.org/officeDocument/2006/relationships/hyperlink" Target="https://www.gakkou.net/kou/view/index_306628.html" TargetMode="External" Id="rId650" /><Relationship Type="http://schemas.openxmlformats.org/officeDocument/2006/relationships/hyperlink" Target="https://www.gakkou.net/kou/view/index_302835.html" TargetMode="External" Id="rId651" /><Relationship Type="http://schemas.openxmlformats.org/officeDocument/2006/relationships/hyperlink" Target="https://www.gakkou.net/kou/view/index_302840.html" TargetMode="External" Id="rId652" /><Relationship Type="http://schemas.openxmlformats.org/officeDocument/2006/relationships/hyperlink" Target="https://www.gakkou.net/kou/view/index_302847.html" TargetMode="External" Id="rId653" /><Relationship Type="http://schemas.openxmlformats.org/officeDocument/2006/relationships/hyperlink" Target="https://www.gakkou.net/kou/view/index_302841.html" TargetMode="External" Id="rId654" /><Relationship Type="http://schemas.openxmlformats.org/officeDocument/2006/relationships/hyperlink" Target="https://www.gakkou.net/kou/view/index_302819.html" TargetMode="External" Id="rId655" /><Relationship Type="http://schemas.openxmlformats.org/officeDocument/2006/relationships/hyperlink" Target="https://www.gakkou.net/kou/view/index_302828.html" TargetMode="External" Id="rId656" /><Relationship Type="http://schemas.openxmlformats.org/officeDocument/2006/relationships/hyperlink" Target="https://www.gakkou.net/kou/view/index_302862.html" TargetMode="External" Id="rId657" /><Relationship Type="http://schemas.openxmlformats.org/officeDocument/2006/relationships/hyperlink" Target="https://www.gakkou.net/kou/view/index_302829.html" TargetMode="External" Id="rId658" /><Relationship Type="http://schemas.openxmlformats.org/officeDocument/2006/relationships/hyperlink" Target="https://www.gakkou.net/kou/view/index_302824.html" TargetMode="External" Id="rId659" /><Relationship Type="http://schemas.openxmlformats.org/officeDocument/2006/relationships/hyperlink" Target="https://www.gakkou.net/kou/view/index_306491.html" TargetMode="External" Id="rId660" /><Relationship Type="http://schemas.openxmlformats.org/officeDocument/2006/relationships/hyperlink" Target="https://www.gakkou.net/kou/view/index_302933.html" TargetMode="External" Id="rId661" /><Relationship Type="http://schemas.openxmlformats.org/officeDocument/2006/relationships/hyperlink" Target="https://www.gakkou.net/kou/view/index_302901.html" TargetMode="External" Id="rId662" /><Relationship Type="http://schemas.openxmlformats.org/officeDocument/2006/relationships/hyperlink" Target="https://www.gakkou.net/kou/view/index_302906.html" TargetMode="External" Id="rId663" /><Relationship Type="http://schemas.openxmlformats.org/officeDocument/2006/relationships/hyperlink" Target="https://www.gakkou.net/kou/view/index_302891.html" TargetMode="External" Id="rId664" /><Relationship Type="http://schemas.openxmlformats.org/officeDocument/2006/relationships/hyperlink" Target="https://www.gakkou.net/kou/view/index_302919.html" TargetMode="External" Id="rId665" /><Relationship Type="http://schemas.openxmlformats.org/officeDocument/2006/relationships/hyperlink" Target="https://www.gakkou.net/kou/view/index_302892.html" TargetMode="External" Id="rId666" /><Relationship Type="http://schemas.openxmlformats.org/officeDocument/2006/relationships/hyperlink" Target="https://www.gakkou.net/kou/view/index_306446.html" TargetMode="External" Id="rId667" /><Relationship Type="http://schemas.openxmlformats.org/officeDocument/2006/relationships/hyperlink" Target="https://www.gakkou.net/kou/view/index_302894.html" TargetMode="External" Id="rId668" /><Relationship Type="http://schemas.openxmlformats.org/officeDocument/2006/relationships/hyperlink" Target="https://www.gakkou.net/kou/view/index_302899.html" TargetMode="External" Id="rId669" /><Relationship Type="http://schemas.openxmlformats.org/officeDocument/2006/relationships/hyperlink" Target="https://www.gakkou.net/kou/view/index_302961.html" TargetMode="External" Id="rId670" /><Relationship Type="http://schemas.openxmlformats.org/officeDocument/2006/relationships/hyperlink" Target="https://www.gakkou.net/kou/view/index_302958.html" TargetMode="External" Id="rId671" /><Relationship Type="http://schemas.openxmlformats.org/officeDocument/2006/relationships/hyperlink" Target="https://www.gakkou.net/kou/view/index_302980.html" TargetMode="External" Id="rId672" /><Relationship Type="http://schemas.openxmlformats.org/officeDocument/2006/relationships/hyperlink" Target="https://www.gakkou.net/kou/view/index_302963.html" TargetMode="External" Id="rId673" /><Relationship Type="http://schemas.openxmlformats.org/officeDocument/2006/relationships/hyperlink" Target="https://www.gakkou.net/kou/view/index_302999.html" TargetMode="External" Id="rId674" /><Relationship Type="http://schemas.openxmlformats.org/officeDocument/2006/relationships/hyperlink" Target="https://www.gakkou.net/kou/view/index_302960.html" TargetMode="External" Id="rId675" /><Relationship Type="http://schemas.openxmlformats.org/officeDocument/2006/relationships/hyperlink" Target="https://www.gakkou.net/kou/view/index_303025.html" TargetMode="External" Id="rId676" /><Relationship Type="http://schemas.openxmlformats.org/officeDocument/2006/relationships/hyperlink" Target="https://www.gakkou.net/kou/view/index_303053.html" TargetMode="External" Id="rId677" /><Relationship Type="http://schemas.openxmlformats.org/officeDocument/2006/relationships/hyperlink" Target="https://www.gakkou.net/kou/view/index_303009.html" TargetMode="External" Id="rId678" /><Relationship Type="http://schemas.openxmlformats.org/officeDocument/2006/relationships/hyperlink" Target="https://www.gakkou.net/kou/view/index_303052.html" TargetMode="External" Id="rId679" /><Relationship Type="http://schemas.openxmlformats.org/officeDocument/2006/relationships/hyperlink" Target="https://www.gakkou.net/kou/view/index_303011.html" TargetMode="External" Id="rId680" /><Relationship Type="http://schemas.openxmlformats.org/officeDocument/2006/relationships/hyperlink" Target="https://www.gakkou.net/kou/view/index_303048.html" TargetMode="External" Id="rId681" /><Relationship Type="http://schemas.openxmlformats.org/officeDocument/2006/relationships/hyperlink" Target="https://www.gakkou.net/kou/view/index_303055.html" TargetMode="External" Id="rId682" /><Relationship Type="http://schemas.openxmlformats.org/officeDocument/2006/relationships/hyperlink" Target="https://www.gakkou.net/kou/view/index_303037.html" TargetMode="External" Id="rId683" /><Relationship Type="http://schemas.openxmlformats.org/officeDocument/2006/relationships/hyperlink" Target="https://www.gakkou.net/kou/view/index_303058.html" TargetMode="External" Id="rId684" /><Relationship Type="http://schemas.openxmlformats.org/officeDocument/2006/relationships/hyperlink" Target="https://www.gakkou.net/kou/view/index_303005.html" TargetMode="External" Id="rId685" /><Relationship Type="http://schemas.openxmlformats.org/officeDocument/2006/relationships/hyperlink" Target="https://www.gakkou.net/kou/view/index_303021.html" TargetMode="External" Id="rId686" /><Relationship Type="http://schemas.openxmlformats.org/officeDocument/2006/relationships/hyperlink" Target="https://www.gakkou.net/kou/view/index_303156.html" TargetMode="External" Id="rId687" /><Relationship Type="http://schemas.openxmlformats.org/officeDocument/2006/relationships/hyperlink" Target="https://www.gakkou.net/kou/view/index_303181.html" TargetMode="External" Id="rId688" /><Relationship Type="http://schemas.openxmlformats.org/officeDocument/2006/relationships/hyperlink" Target="https://www.gakkou.net/kou/view/index_303112.html" TargetMode="External" Id="rId689" /><Relationship Type="http://schemas.openxmlformats.org/officeDocument/2006/relationships/hyperlink" Target="https://www.gakkou.net/kou/view/index_303129.html" TargetMode="External" Id="rId690" /><Relationship Type="http://schemas.openxmlformats.org/officeDocument/2006/relationships/hyperlink" Target="https://www.gakkou.net/kou/view/index_303102.html" TargetMode="External" Id="rId691" /><Relationship Type="http://schemas.openxmlformats.org/officeDocument/2006/relationships/hyperlink" Target="https://www.gakkou.net/kou/view/index_306550.html" TargetMode="External" Id="rId692" /><Relationship Type="http://schemas.openxmlformats.org/officeDocument/2006/relationships/hyperlink" Target="https://www.gakkou.net/kou/view/index_306445.html" TargetMode="External" Id="rId693" /><Relationship Type="http://schemas.openxmlformats.org/officeDocument/2006/relationships/hyperlink" Target="https://www.gakkou.net/kou/view/index_306432.html" TargetMode="External" Id="rId694" /><Relationship Type="http://schemas.openxmlformats.org/officeDocument/2006/relationships/hyperlink" Target="https://www.gakkou.net/kou/view/index_306655.html" TargetMode="External" Id="rId695" /><Relationship Type="http://schemas.openxmlformats.org/officeDocument/2006/relationships/hyperlink" Target="https://www.gakkou.net/kou/view/index_303143.html" TargetMode="External" Id="rId696" /><Relationship Type="http://schemas.openxmlformats.org/officeDocument/2006/relationships/hyperlink" Target="https://www.gakkou.net/kou/view/index_303175.html" TargetMode="External" Id="rId697" /><Relationship Type="http://schemas.openxmlformats.org/officeDocument/2006/relationships/hyperlink" Target="https://www.gakkou.net/kou/view/index_303117.html" TargetMode="External" Id="rId698" /><Relationship Type="http://schemas.openxmlformats.org/officeDocument/2006/relationships/hyperlink" Target="https://www.gakkou.net/kou/view/index_303067.html" TargetMode="External" Id="rId699" /><Relationship Type="http://schemas.openxmlformats.org/officeDocument/2006/relationships/hyperlink" Target="https://www.gakkou.net/kou/view/index_303064.html" TargetMode="External" Id="rId700" /><Relationship Type="http://schemas.openxmlformats.org/officeDocument/2006/relationships/hyperlink" Target="https://www.gakkou.net/kou/view/index_303074.html" TargetMode="External" Id="rId701" /><Relationship Type="http://schemas.openxmlformats.org/officeDocument/2006/relationships/hyperlink" Target="https://www.gakkou.net/kou/view/index_303068.html" TargetMode="External" Id="rId702" /><Relationship Type="http://schemas.openxmlformats.org/officeDocument/2006/relationships/hyperlink" Target="https://www.gakkou.net/kou/view/index_303133.html" TargetMode="External" Id="rId703" /><Relationship Type="http://schemas.openxmlformats.org/officeDocument/2006/relationships/hyperlink" Target="https://www.gakkou.net/kou/view/index_303137.html" TargetMode="External" Id="rId704" /><Relationship Type="http://schemas.openxmlformats.org/officeDocument/2006/relationships/hyperlink" Target="https://www.gakkou.net/kou/view/index_303130.html" TargetMode="External" Id="rId705" /><Relationship Type="http://schemas.openxmlformats.org/officeDocument/2006/relationships/hyperlink" Target="https://www.gakkou.net/kou/view/index_303473.html" TargetMode="External" Id="rId706" /><Relationship Type="http://schemas.openxmlformats.org/officeDocument/2006/relationships/hyperlink" Target="https://www.gakkou.net/kou/view/index_303432.html" TargetMode="External" Id="rId707" /><Relationship Type="http://schemas.openxmlformats.org/officeDocument/2006/relationships/hyperlink" Target="https://www.gakkou.net/kou/view/index_303304.html" TargetMode="External" Id="rId708" /><Relationship Type="http://schemas.openxmlformats.org/officeDocument/2006/relationships/hyperlink" Target="https://www.gakkou.net/kou/view/index_303307.html" TargetMode="External" Id="rId709" /><Relationship Type="http://schemas.openxmlformats.org/officeDocument/2006/relationships/hyperlink" Target="https://www.gakkou.net/kou/view/index_306559.html" TargetMode="External" Id="rId710" /><Relationship Type="http://schemas.openxmlformats.org/officeDocument/2006/relationships/hyperlink" Target="https://www.gakkou.net/kou/view/index_303335.html" TargetMode="External" Id="rId711" /><Relationship Type="http://schemas.openxmlformats.org/officeDocument/2006/relationships/hyperlink" Target="https://www.gakkou.net/kou/view/index_303374.html" TargetMode="External" Id="rId712" /><Relationship Type="http://schemas.openxmlformats.org/officeDocument/2006/relationships/hyperlink" Target="https://www.gakkou.net/kou/view/index_303386.html" TargetMode="External" Id="rId713" /><Relationship Type="http://schemas.openxmlformats.org/officeDocument/2006/relationships/hyperlink" Target="https://www.gakkou.net/kou/view/index_303377.html" TargetMode="External" Id="rId714" /><Relationship Type="http://schemas.openxmlformats.org/officeDocument/2006/relationships/hyperlink" Target="https://www.gakkou.net/kou/view/index_303420.html" TargetMode="External" Id="rId715" /><Relationship Type="http://schemas.openxmlformats.org/officeDocument/2006/relationships/hyperlink" Target="https://www.gakkou.net/kou/view/index_303349.html" TargetMode="External" Id="rId716" /><Relationship Type="http://schemas.openxmlformats.org/officeDocument/2006/relationships/hyperlink" Target="https://www.gakkou.net/kou/view/index_303398.html" TargetMode="External" Id="rId717" /><Relationship Type="http://schemas.openxmlformats.org/officeDocument/2006/relationships/hyperlink" Target="https://www.gakkou.net/kou/view/index_303391.html" TargetMode="External" Id="rId718" /><Relationship Type="http://schemas.openxmlformats.org/officeDocument/2006/relationships/hyperlink" Target="https://www.gakkou.net/kou/view/index_303388.html" TargetMode="External" Id="rId719" /><Relationship Type="http://schemas.openxmlformats.org/officeDocument/2006/relationships/hyperlink" Target="https://www.gakkou.net/kou/view/index_303368.html" TargetMode="External" Id="rId720" /><Relationship Type="http://schemas.openxmlformats.org/officeDocument/2006/relationships/hyperlink" Target="https://www.gakkou.net/kou/view/index_303371.html" TargetMode="External" Id="rId721" /><Relationship Type="http://schemas.openxmlformats.org/officeDocument/2006/relationships/hyperlink" Target="https://www.gakkou.net/kou/view/index_303416.html" TargetMode="External" Id="rId722" /><Relationship Type="http://schemas.openxmlformats.org/officeDocument/2006/relationships/hyperlink" Target="https://www.gakkou.net/kou/view/index_303395.html" TargetMode="External" Id="rId723" /><Relationship Type="http://schemas.openxmlformats.org/officeDocument/2006/relationships/hyperlink" Target="https://www.gakkou.net/kou/view/index_303390.html" TargetMode="External" Id="rId724" /><Relationship Type="http://schemas.openxmlformats.org/officeDocument/2006/relationships/hyperlink" Target="https://www.gakkou.net/kou/view/index_303312.html" TargetMode="External" Id="rId725" /><Relationship Type="http://schemas.openxmlformats.org/officeDocument/2006/relationships/hyperlink" Target="https://www.gakkou.net/kou/view/index_303406.html" TargetMode="External" Id="rId726" /><Relationship Type="http://schemas.openxmlformats.org/officeDocument/2006/relationships/hyperlink" Target="https://www.gakkou.net/kou/view/index_303356.html" TargetMode="External" Id="rId727" /><Relationship Type="http://schemas.openxmlformats.org/officeDocument/2006/relationships/hyperlink" Target="https://www.gakkou.net/kou/view/index_303450.html" TargetMode="External" Id="rId728" /><Relationship Type="http://schemas.openxmlformats.org/officeDocument/2006/relationships/hyperlink" Target="https://www.gakkou.net/kou/view/index_303333.html" TargetMode="External" Id="rId729" /><Relationship Type="http://schemas.openxmlformats.org/officeDocument/2006/relationships/hyperlink" Target="https://www.gakkou.net/kou/view/index_303401.html" TargetMode="External" Id="rId730" /><Relationship Type="http://schemas.openxmlformats.org/officeDocument/2006/relationships/hyperlink" Target="https://www.gakkou.net/kou/view/index_303311.html" TargetMode="External" Id="rId731" /><Relationship Type="http://schemas.openxmlformats.org/officeDocument/2006/relationships/hyperlink" Target="https://www.gakkou.net/kou/view/index_303474.html" TargetMode="External" Id="rId732" /><Relationship Type="http://schemas.openxmlformats.org/officeDocument/2006/relationships/hyperlink" Target="https://www.gakkou.net/kou/view/index_303376.html" TargetMode="External" Id="rId733" /><Relationship Type="http://schemas.openxmlformats.org/officeDocument/2006/relationships/hyperlink" Target="https://www.gakkou.net/kou/view/index_303367.html" TargetMode="External" Id="rId734" /><Relationship Type="http://schemas.openxmlformats.org/officeDocument/2006/relationships/hyperlink" Target="https://www.gakkou.net/kou/view/index_303328.html" TargetMode="External" Id="rId735" /><Relationship Type="http://schemas.openxmlformats.org/officeDocument/2006/relationships/hyperlink" Target="https://www.gakkou.net/kou/view/index_303310.html" TargetMode="External" Id="rId736" /><Relationship Type="http://schemas.openxmlformats.org/officeDocument/2006/relationships/hyperlink" Target="https://www.gakkou.net/kou/view/index_303426.html" TargetMode="External" Id="rId737" /><Relationship Type="http://schemas.openxmlformats.org/officeDocument/2006/relationships/hyperlink" Target="https://www.gakkou.net/kou/view/index_303425.html" TargetMode="External" Id="rId738" /><Relationship Type="http://schemas.openxmlformats.org/officeDocument/2006/relationships/hyperlink" Target="https://www.gakkou.net/kou/view/index_303423.html" TargetMode="External" Id="rId739" /><Relationship Type="http://schemas.openxmlformats.org/officeDocument/2006/relationships/hyperlink" Target="https://www.gakkou.net/kou/view/index_306572.html" TargetMode="External" Id="rId740" /><Relationship Type="http://schemas.openxmlformats.org/officeDocument/2006/relationships/hyperlink" Target="https://www.gakkou.net/kou/view/index_303422.html" TargetMode="External" Id="rId741" /><Relationship Type="http://schemas.openxmlformats.org/officeDocument/2006/relationships/hyperlink" Target="https://www.gakkou.net/kou/view/index_303447.html" TargetMode="External" Id="rId742" /><Relationship Type="http://schemas.openxmlformats.org/officeDocument/2006/relationships/hyperlink" Target="https://www.gakkou.net/kou/view/index_303438.html" TargetMode="External" Id="rId743" /><Relationship Type="http://schemas.openxmlformats.org/officeDocument/2006/relationships/hyperlink" Target="https://www.gakkou.net/kou/view/index_303306.html" TargetMode="External" Id="rId744" /><Relationship Type="http://schemas.openxmlformats.org/officeDocument/2006/relationships/hyperlink" Target="https://www.gakkou.net/kou/view/index_303412.html" TargetMode="External" Id="rId745" /><Relationship Type="http://schemas.openxmlformats.org/officeDocument/2006/relationships/hyperlink" Target="https://www.gakkou.net/kou/view/index_303411.html" TargetMode="External" Id="rId746" /><Relationship Type="http://schemas.openxmlformats.org/officeDocument/2006/relationships/hyperlink" Target="https://www.gakkou.net/kou/view/index_303317.html" TargetMode="External" Id="rId747" /><Relationship Type="http://schemas.openxmlformats.org/officeDocument/2006/relationships/hyperlink" Target="https://www.gakkou.net/kou/view/index_303402.html" TargetMode="External" Id="rId748" /><Relationship Type="http://schemas.openxmlformats.org/officeDocument/2006/relationships/hyperlink" Target="https://www.gakkou.net/kou/view/index_303728.html" TargetMode="External" Id="rId749" /><Relationship Type="http://schemas.openxmlformats.org/officeDocument/2006/relationships/hyperlink" Target="https://www.gakkou.net/kou/view/index_303597.html" TargetMode="External" Id="rId750" /><Relationship Type="http://schemas.openxmlformats.org/officeDocument/2006/relationships/hyperlink" Target="https://www.gakkou.net/kou/view/index_303594.html" TargetMode="External" Id="rId751" /><Relationship Type="http://schemas.openxmlformats.org/officeDocument/2006/relationships/hyperlink" Target="https://www.gakkou.net/kou/view/index_303511.html" TargetMode="External" Id="rId752" /><Relationship Type="http://schemas.openxmlformats.org/officeDocument/2006/relationships/hyperlink" Target="https://www.gakkou.net/kou/view/index_303595.html" TargetMode="External" Id="rId753" /><Relationship Type="http://schemas.openxmlformats.org/officeDocument/2006/relationships/hyperlink" Target="https://www.gakkou.net/kou/view/index_303619.html" TargetMode="External" Id="rId754" /><Relationship Type="http://schemas.openxmlformats.org/officeDocument/2006/relationships/hyperlink" Target="https://www.gakkou.net/kou/view/index_303747.html" TargetMode="External" Id="rId755" /><Relationship Type="http://schemas.openxmlformats.org/officeDocument/2006/relationships/hyperlink" Target="https://www.gakkou.net/kou/view/index_303536.html" TargetMode="External" Id="rId756" /><Relationship Type="http://schemas.openxmlformats.org/officeDocument/2006/relationships/hyperlink" Target="https://www.gakkou.net/kou/view/index_303680.html" TargetMode="External" Id="rId757" /><Relationship Type="http://schemas.openxmlformats.org/officeDocument/2006/relationships/hyperlink" Target="https://www.gakkou.net/kou/view/index_303606.html" TargetMode="External" Id="rId758" /><Relationship Type="http://schemas.openxmlformats.org/officeDocument/2006/relationships/hyperlink" Target="https://www.gakkou.net/kou/view/index_303525.html" TargetMode="External" Id="rId759" /><Relationship Type="http://schemas.openxmlformats.org/officeDocument/2006/relationships/hyperlink" Target="https://www.gakkou.net/kou/view/index_303593.html" TargetMode="External" Id="rId760" /><Relationship Type="http://schemas.openxmlformats.org/officeDocument/2006/relationships/hyperlink" Target="https://www.gakkou.net/kou/view/index_303614.html" TargetMode="External" Id="rId761" /><Relationship Type="http://schemas.openxmlformats.org/officeDocument/2006/relationships/hyperlink" Target="https://www.gakkou.net/kou/view/index_303581.html" TargetMode="External" Id="rId762" /><Relationship Type="http://schemas.openxmlformats.org/officeDocument/2006/relationships/hyperlink" Target="https://www.gakkou.net/kou/view/index_303550.html" TargetMode="External" Id="rId763" /><Relationship Type="http://schemas.openxmlformats.org/officeDocument/2006/relationships/hyperlink" Target="https://www.gakkou.net/kou/view/index_303476.html" TargetMode="External" Id="rId764" /><Relationship Type="http://schemas.openxmlformats.org/officeDocument/2006/relationships/hyperlink" Target="https://www.gakkou.net/kou/view/index_303587.html" TargetMode="External" Id="rId765" /><Relationship Type="http://schemas.openxmlformats.org/officeDocument/2006/relationships/hyperlink" Target="https://www.gakkou.net/kou/view/index_303726.html" TargetMode="External" Id="rId766" /><Relationship Type="http://schemas.openxmlformats.org/officeDocument/2006/relationships/hyperlink" Target="https://www.gakkou.net/kou/view/index_303602.html" TargetMode="External" Id="rId767" /><Relationship Type="http://schemas.openxmlformats.org/officeDocument/2006/relationships/hyperlink" Target="https://www.gakkou.net/kou/view/index_303712.html" TargetMode="External" Id="rId768" /><Relationship Type="http://schemas.openxmlformats.org/officeDocument/2006/relationships/hyperlink" Target="https://www.gakkou.net/kou/view/index_303677.html" TargetMode="External" Id="rId769" /><Relationship Type="http://schemas.openxmlformats.org/officeDocument/2006/relationships/hyperlink" Target="https://www.gakkou.net/kou/view/index_303635.html" TargetMode="External" Id="rId770" /><Relationship Type="http://schemas.openxmlformats.org/officeDocument/2006/relationships/hyperlink" Target="https://www.gakkou.net/kou/view/index_303739.html" TargetMode="External" Id="rId771" /><Relationship Type="http://schemas.openxmlformats.org/officeDocument/2006/relationships/hyperlink" Target="https://www.gakkou.net/kou/view/index_303706.html" TargetMode="External" Id="rId772" /><Relationship Type="http://schemas.openxmlformats.org/officeDocument/2006/relationships/hyperlink" Target="https://www.gakkou.net/kou/view/index_303722.html" TargetMode="External" Id="rId773" /><Relationship Type="http://schemas.openxmlformats.org/officeDocument/2006/relationships/hyperlink" Target="https://www.gakkou.net/kou/view/index_303685.html" TargetMode="External" Id="rId774" /><Relationship Type="http://schemas.openxmlformats.org/officeDocument/2006/relationships/hyperlink" Target="https://www.gakkou.net/kou/view/index_303572.html" TargetMode="External" Id="rId775" /><Relationship Type="http://schemas.openxmlformats.org/officeDocument/2006/relationships/hyperlink" Target="https://www.gakkou.net/kou/view/index_303610.html" TargetMode="External" Id="rId776" /><Relationship Type="http://schemas.openxmlformats.org/officeDocument/2006/relationships/hyperlink" Target="https://www.gakkou.net/kou/view/index_303623.html" TargetMode="External" Id="rId777" /><Relationship Type="http://schemas.openxmlformats.org/officeDocument/2006/relationships/hyperlink" Target="https://www.gakkou.net/kou/view/index_303702.html" TargetMode="External" Id="rId778" /><Relationship Type="http://schemas.openxmlformats.org/officeDocument/2006/relationships/hyperlink" Target="https://www.gakkou.net/kou/view/index_303490.html" TargetMode="External" Id="rId779" /><Relationship Type="http://schemas.openxmlformats.org/officeDocument/2006/relationships/hyperlink" Target="https://www.gakkou.net/kou/view/index_303621.html" TargetMode="External" Id="rId780" /><Relationship Type="http://schemas.openxmlformats.org/officeDocument/2006/relationships/hyperlink" Target="https://www.gakkou.net/kou/view/index_303578.html" TargetMode="External" Id="rId781" /><Relationship Type="http://schemas.openxmlformats.org/officeDocument/2006/relationships/hyperlink" Target="https://www.gakkou.net/kou/view/index_303605.html" TargetMode="External" Id="rId782" /><Relationship Type="http://schemas.openxmlformats.org/officeDocument/2006/relationships/hyperlink" Target="https://www.gakkou.net/kou/view/index_303628.html" TargetMode="External" Id="rId783" /><Relationship Type="http://schemas.openxmlformats.org/officeDocument/2006/relationships/hyperlink" Target="https://www.gakkou.net/kou/view/index_303502.html" TargetMode="External" Id="rId784" /><Relationship Type="http://schemas.openxmlformats.org/officeDocument/2006/relationships/hyperlink" Target="https://www.gakkou.net/kou/view/index_303629.html" TargetMode="External" Id="rId785" /><Relationship Type="http://schemas.openxmlformats.org/officeDocument/2006/relationships/hyperlink" Target="https://www.gakkou.net/kou/view/index_303480.html" TargetMode="External" Id="rId786" /><Relationship Type="http://schemas.openxmlformats.org/officeDocument/2006/relationships/hyperlink" Target="https://www.gakkou.net/kou/view/index_303558.html" TargetMode="External" Id="rId787" /><Relationship Type="http://schemas.openxmlformats.org/officeDocument/2006/relationships/hyperlink" Target="https://www.gakkou.net/kou/view/index_303613.html" TargetMode="External" Id="rId788" /><Relationship Type="http://schemas.openxmlformats.org/officeDocument/2006/relationships/hyperlink" Target="https://www.gakkou.net/kou/view/index_303616.html" TargetMode="External" Id="rId789" /><Relationship Type="http://schemas.openxmlformats.org/officeDocument/2006/relationships/hyperlink" Target="https://www.gakkou.net/kou/view/index_303598.html" TargetMode="External" Id="rId790" /><Relationship Type="http://schemas.openxmlformats.org/officeDocument/2006/relationships/hyperlink" Target="https://www.gakkou.net/kou/view/index_303566.html" TargetMode="External" Id="rId791" /><Relationship Type="http://schemas.openxmlformats.org/officeDocument/2006/relationships/hyperlink" Target="https://www.gakkou.net/kou/view/index_303609.html" TargetMode="External" Id="rId792" /><Relationship Type="http://schemas.openxmlformats.org/officeDocument/2006/relationships/hyperlink" Target="https://www.gakkou.net/kou/view/index_303586.html" TargetMode="External" Id="rId793" /><Relationship Type="http://schemas.openxmlformats.org/officeDocument/2006/relationships/hyperlink" Target="https://www.gakkou.net/kou/view/index_303612.html" TargetMode="External" Id="rId794" /><Relationship Type="http://schemas.openxmlformats.org/officeDocument/2006/relationships/hyperlink" Target="https://www.gakkou.net/kou/view/index_303577.html" TargetMode="External" Id="rId795" /><Relationship Type="http://schemas.openxmlformats.org/officeDocument/2006/relationships/hyperlink" Target="https://www.gakkou.net/kou/view/index_306756.html" TargetMode="External" Id="rId796" /><Relationship Type="http://schemas.openxmlformats.org/officeDocument/2006/relationships/hyperlink" Target="https://www.gakkou.net/kou/view/index_303611.html" TargetMode="External" Id="rId797" /><Relationship Type="http://schemas.openxmlformats.org/officeDocument/2006/relationships/hyperlink" Target="https://www.gakkou.net/kou/view/index_303640.html" TargetMode="External" Id="rId798" /><Relationship Type="http://schemas.openxmlformats.org/officeDocument/2006/relationships/hyperlink" Target="https://www.gakkou.net/kou/view/index_303513.html" TargetMode="External" Id="rId799" /><Relationship Type="http://schemas.openxmlformats.org/officeDocument/2006/relationships/hyperlink" Target="https://www.gakkou.net/kou/view/index_303519.html" TargetMode="External" Id="rId800" /><Relationship Type="http://schemas.openxmlformats.org/officeDocument/2006/relationships/hyperlink" Target="https://www.gakkou.net/kou/view/index_303478.html" TargetMode="External" Id="rId801" /><Relationship Type="http://schemas.openxmlformats.org/officeDocument/2006/relationships/hyperlink" Target="https://www.gakkou.net/kou/view/index_303695.html" TargetMode="External" Id="rId802" /><Relationship Type="http://schemas.openxmlformats.org/officeDocument/2006/relationships/hyperlink" Target="https://www.gakkou.net/kou/view/index_303556.html" TargetMode="External" Id="rId80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0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架電リスト（北海道・東北・関東・中部22都道県／803校）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北海道</t>
        </is>
      </c>
      <c r="C5" s="5" t="inlineStr">
        <is>
          <t>旭川市</t>
        </is>
      </c>
      <c r="D5" s="5" t="inlineStr">
        <is>
          <t>旭川志峯高等学校</t>
        </is>
      </c>
      <c r="E5" s="6" t="inlineStr">
        <is>
          <t>0166-48-1221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旧称は旭川大学高校。ハローワーク旭川の名簿（R7.6）とJS日本の学校の番号が一致</t>
        </is>
      </c>
      <c r="N5" s="11" t="inlineStr">
        <is>
          <t>https://jsite.mhlw.go.jp/hokkaido-hellowork/content/contents/002280302.pdf ; https://school.js88.com/scl_h/22052950</t>
        </is>
      </c>
      <c r="O5" s="12" t="inlineStr">
        <is>
          <t>開く</t>
        </is>
      </c>
    </row>
    <row r="6">
      <c r="A6" s="4" t="n">
        <v>2</v>
      </c>
      <c r="B6" s="5" t="inlineStr">
        <is>
          <t>北海道</t>
        </is>
      </c>
      <c r="C6" s="5" t="inlineStr">
        <is>
          <t>旭川市</t>
        </is>
      </c>
      <c r="D6" s="5" t="inlineStr">
        <is>
          <t>旭川実業高等学校</t>
        </is>
      </c>
      <c r="E6" s="6" t="inlineStr">
        <is>
          <t>0166-51-1246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ハローワーク名簿とJS日本の学校・みんなの高校情報の番号が一致</t>
        </is>
      </c>
      <c r="N6" s="11" t="inlineStr">
        <is>
          <t>https://jsite.mhlw.go.jp/hokkaido-hellowork/content/contents/002280302.pdf ; https://school.js88.com/scl_h/22052940</t>
        </is>
      </c>
      <c r="O6" s="12" t="inlineStr">
        <is>
          <t>開く</t>
        </is>
      </c>
    </row>
    <row r="7">
      <c r="A7" s="4" t="n">
        <v>3</v>
      </c>
      <c r="B7" s="5" t="inlineStr">
        <is>
          <t>北海道</t>
        </is>
      </c>
      <c r="C7" s="5" t="inlineStr">
        <is>
          <t>旭川市</t>
        </is>
      </c>
      <c r="D7" s="5" t="inlineStr">
        <is>
          <t>旭川藤星高等学校</t>
        </is>
      </c>
      <c r="E7" s="6" t="inlineStr">
        <is>
          <t>0166-51-8125</t>
        </is>
      </c>
      <c r="F7" s="13" t="inlineStr">
        <is>
          <t>中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JS日本の学校のみで確認。公式サイトは asahikawa-tosei.jp</t>
        </is>
      </c>
      <c r="N7" s="11" t="inlineStr">
        <is>
          <t>https://school.js88.com/scl_h/22052920</t>
        </is>
      </c>
      <c r="O7" s="12" t="inlineStr">
        <is>
          <t>開く</t>
        </is>
      </c>
    </row>
    <row r="8">
      <c r="A8" s="4" t="n">
        <v>4</v>
      </c>
      <c r="B8" s="5" t="inlineStr">
        <is>
          <t>北海道</t>
        </is>
      </c>
      <c r="C8" s="5" t="inlineStr">
        <is>
          <t>旭川市</t>
        </is>
      </c>
      <c r="D8" s="5" t="inlineStr">
        <is>
          <t>旭川明成高等学校</t>
        </is>
      </c>
      <c r="E8" s="6" t="inlineStr">
        <is>
          <t>0166-51-3220</t>
        </is>
      </c>
      <c r="F8" s="7" t="inlineStr">
        <is>
          <t>高</t>
        </is>
      </c>
      <c r="G8" s="5" t="inlineStr">
        <is>
          <t>総合学科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ハローワーク名簿とJS日本の学校の番号が一致</t>
        </is>
      </c>
      <c r="N8" s="11" t="inlineStr">
        <is>
          <t>https://jsite.mhlw.go.jp/hokkaido-hellowork/content/contents/002280302.pdf ; https://school.js88.com/scl_h/22053120</t>
        </is>
      </c>
      <c r="O8" s="12" t="inlineStr">
        <is>
          <t>開く</t>
        </is>
      </c>
    </row>
    <row r="9">
      <c r="A9" s="4" t="n">
        <v>5</v>
      </c>
      <c r="B9" s="5" t="inlineStr">
        <is>
          <t>北海道</t>
        </is>
      </c>
      <c r="C9" s="5" t="inlineStr">
        <is>
          <t>旭川市</t>
        </is>
      </c>
      <c r="D9" s="5" t="inlineStr">
        <is>
          <t>旭川龍谷高等学校</t>
        </is>
      </c>
      <c r="E9" s="6" t="inlineStr">
        <is>
          <t>0166-39-2700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JS日本の学校と道私学協会の資料（2023）の番号が一致</t>
        </is>
      </c>
      <c r="N9" s="11" t="inlineStr">
        <is>
          <t>https://school.js88.com/scl_h/22052930 ; https://www.doshigaku.jp/pdf/2023_transfe_10.pdf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北海道</t>
        </is>
      </c>
      <c r="C10" s="5" t="inlineStr">
        <is>
          <t>函館市</t>
        </is>
      </c>
      <c r="D10" s="5" t="inlineStr">
        <is>
          <t>遺愛女子高等学校（青山学院大学教育提携校）</t>
        </is>
      </c>
      <c r="E10" s="6" t="inlineStr">
        <is>
          <t>0138-51-0418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公式パンフレットで確認。学院の代表番号（中学校と共通）</t>
        </is>
      </c>
      <c r="N10" s="11" t="inlineStr">
        <is>
          <t>https://www.iaijoshi-h.ed.jp/wp-content/uploads/2022/07/2023遺愛女子高校パンフレット.pdf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北海道</t>
        </is>
      </c>
      <c r="C11" s="5" t="inlineStr">
        <is>
          <t>札幌市豊平区</t>
        </is>
      </c>
      <c r="D11" s="5" t="inlineStr">
        <is>
          <t>池上学院高等学校</t>
        </is>
      </c>
      <c r="E11" s="6" t="inlineStr">
        <is>
          <t>011-811-5297</t>
        </is>
      </c>
      <c r="F11" s="13" t="inlineStr">
        <is>
          <t>中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通信制・札幌本校の番号。入学相談用フリーダイヤル0120-195-315の記載もあり</t>
        </is>
      </c>
      <c r="N11" s="11" t="inlineStr">
        <is>
          <t>https://www.minkou.jp/hischool/school/330/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北海道</t>
        </is>
      </c>
      <c r="C12" s="5" t="inlineStr">
        <is>
          <t>小樽市</t>
        </is>
      </c>
      <c r="D12" s="5" t="inlineStr">
        <is>
          <t>小樽双葉高等学校</t>
        </is>
      </c>
      <c r="E12" s="6" t="inlineStr">
        <is>
          <t>0134-32-1828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JS日本の学校と道私学協会の資料の番号が一致。通信制課程の職員室は0134-31-3100</t>
        </is>
      </c>
      <c r="N12" s="11" t="inlineStr">
        <is>
          <t>https://school.js88.com/scl_h/22052880 ; https://www.doshigaku.jp/pdf/2023_transfe_10.pdf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北海道</t>
        </is>
      </c>
      <c r="C13" s="5" t="inlineStr">
        <is>
          <t>小樽市</t>
        </is>
      </c>
      <c r="D13" s="5" t="inlineStr">
        <is>
          <t>小樽明峰高等学校</t>
        </is>
      </c>
      <c r="E13" s="6" t="inlineStr">
        <is>
          <t>0134-22-7755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JS日本の学校と札幌市中学校の資料の番号が一致</t>
        </is>
      </c>
      <c r="N13" s="11" t="inlineStr">
        <is>
          <t>https://school.js88.com/scl_h/22052890/ ; https://www16.sapporo-c.ed.jp/sakaeminami-j/attach/get2/4692/0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北海道</t>
        </is>
      </c>
      <c r="C14" s="5" t="inlineStr">
        <is>
          <t>帯広市</t>
        </is>
      </c>
      <c r="D14" s="5" t="inlineStr">
        <is>
          <t>帯広大谷高等学校</t>
        </is>
      </c>
      <c r="E14" s="6" t="inlineStr">
        <is>
          <t>0155-33-5811</t>
        </is>
      </c>
      <c r="F14" s="13" t="inlineStr">
        <is>
          <t>中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2018年の高文連資料のみで確認。最新かは未確認</t>
        </is>
      </c>
      <c r="N14" s="11" t="inlineStr">
        <is>
          <t>https://www.koubunren-volunteer.hokkaido-c.ed.jp/wysiwyg/file/download/1/16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北海道</t>
        </is>
      </c>
      <c r="C15" s="5" t="inlineStr">
        <is>
          <t>帯広市</t>
        </is>
      </c>
      <c r="D15" s="5" t="inlineStr">
        <is>
          <t>帯広北高等学校</t>
        </is>
      </c>
      <c r="E15" s="6" t="inlineStr">
        <is>
          <t>0155-47-0121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JS日本の学校とみんなの高校情報の番号が一致</t>
        </is>
      </c>
      <c r="N15" s="11" t="inlineStr">
        <is>
          <t>https://school.js88.com/scl_h/22053070 ; https://www.minkou.jp/hischool/school/1042/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北海道</t>
        </is>
      </c>
      <c r="C16" s="5" t="inlineStr">
        <is>
          <t>室蘭市</t>
        </is>
      </c>
      <c r="D16" s="5" t="inlineStr">
        <is>
          <t>海星学院高等学校</t>
        </is>
      </c>
      <c r="E16" s="6" t="inlineStr">
        <is>
          <t>0143-46-8888</t>
        </is>
      </c>
      <c r="F16" s="13" t="inlineStr">
        <is>
          <t>中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JS日本の学校のみで確認</t>
        </is>
      </c>
      <c r="N16" s="11" t="inlineStr">
        <is>
          <t>https://school.js88.com/scl_h/22053040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北海道</t>
        </is>
      </c>
      <c r="C17" s="5" t="inlineStr">
        <is>
          <t>北見市</t>
        </is>
      </c>
      <c r="D17" s="5" t="inlineStr">
        <is>
          <t>北見藤高等学校</t>
        </is>
      </c>
      <c r="E17" s="6" t="inlineStr">
        <is>
          <t>0157-23-3212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JS日本の学校とYahoo!マップで一致</t>
        </is>
      </c>
      <c r="N17" s="11" t="inlineStr">
        <is>
          <t>https://school.js88.com/scl_h/22052980 ; https://map.yahoo.co.jp/v3/place/F1bCf-OH6f6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北海道</t>
        </is>
      </c>
      <c r="C18" s="5" t="inlineStr">
        <is>
          <t>深川市</t>
        </is>
      </c>
      <c r="D18" s="5" t="inlineStr">
        <is>
          <t>クラーク記念国際高等学校</t>
        </is>
      </c>
      <c r="E18" s="6" t="inlineStr">
        <is>
          <t>0164-24-2001</t>
        </is>
      </c>
      <c r="F18" s="13" t="inlineStr">
        <is>
          <t>中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深川市の本校の番号。全国にキャンパスあり</t>
        </is>
      </c>
      <c r="N18" s="11" t="inlineStr">
        <is>
          <t>https://www.minkou.jp/hischool/school/1635/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北海道</t>
        </is>
      </c>
      <c r="C19" s="5" t="inlineStr">
        <is>
          <t>苫小牧市</t>
        </is>
      </c>
      <c r="D19" s="5" t="inlineStr">
        <is>
          <t>駒澤大学附属苫小牧高等学校</t>
        </is>
      </c>
      <c r="E19" s="6" t="inlineStr">
        <is>
          <t>0144-32-6291</t>
        </is>
      </c>
      <c r="F19" s="13" t="inlineStr">
        <is>
          <t>中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JS日本の学校のみで確認</t>
        </is>
      </c>
      <c r="N19" s="11" t="inlineStr">
        <is>
          <t>https://school.js88.com/scl_h/22053010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北海道</t>
        </is>
      </c>
      <c r="C20" s="5" t="inlineStr">
        <is>
          <t>札幌市東区</t>
        </is>
      </c>
      <c r="D20" s="5" t="inlineStr">
        <is>
          <t>札幌大谷高等学校</t>
        </is>
      </c>
      <c r="E20" s="6" t="inlineStr">
        <is>
          <t>011-731-2451</t>
        </is>
      </c>
      <c r="F20" s="7" t="inlineStr">
        <is>
          <t>高</t>
        </is>
      </c>
      <c r="G20" s="5" t="inlineStr">
        <is>
          <t>普通科・専門学科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札幌市の一覧とJS日本の学校で一致。中学校と共通</t>
        </is>
      </c>
      <c r="N20" s="11" t="inlineStr">
        <is>
          <t>https://www.city.sapporo.jp/higashi/about/ins_school.html ; https://school.js88.com/scl_h/22052680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北海道</t>
        </is>
      </c>
      <c r="C21" s="5" t="inlineStr">
        <is>
          <t>札幌市東区</t>
        </is>
      </c>
      <c r="D21" s="5" t="inlineStr">
        <is>
          <t>札幌光星高等学校</t>
        </is>
      </c>
      <c r="E21" s="6" t="inlineStr">
        <is>
          <t>011-711-7161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公式資料に「代表」と記載</t>
        </is>
      </c>
      <c r="N21" s="11" t="inlineStr">
        <is>
          <t>https://www.sapporokosei.ac.jp/common/img/content/content_20260428_165448.pdf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北海道</t>
        </is>
      </c>
      <c r="C22" s="5" t="inlineStr">
        <is>
          <t>札幌市南区</t>
        </is>
      </c>
      <c r="D22" s="5" t="inlineStr">
        <is>
          <t>札幌新陽高等学校</t>
        </is>
      </c>
      <c r="E22" s="6" t="inlineStr">
        <is>
          <t>011-821-6161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札幌市の一覧とJS日本の学校で一致</t>
        </is>
      </c>
      <c r="N22" s="11" t="inlineStr">
        <is>
          <t>https://www.city.sapporo.jp/minami/shisetsu/sonota.html ; https://school.js88.com/scl_h/22052720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北海道</t>
        </is>
      </c>
      <c r="C23" s="5" t="inlineStr">
        <is>
          <t>和寒町</t>
        </is>
      </c>
      <c r="D23" s="5" t="inlineStr">
        <is>
          <t>札幌自由が丘学園三和高等学校</t>
        </is>
      </c>
      <c r="E23" s="14" t="n"/>
      <c r="F23" s="15" t="inlineStr">
        <is>
          <t>要調査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和寒本校の番号を特定できず。候補：011-792-1468（公式では札幌学習センター）／011-743-1267。校名変更の可能性あり</t>
        </is>
      </c>
      <c r="N23" s="11" t="inlineStr">
        <is>
          <t>https://sanwa71.sakura.ne.jp/contact/ ; https://www.mapion.co.jp/phonebook/M11004/01464/ILSP0000041214_ipclm/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北海道</t>
        </is>
      </c>
      <c r="C24" s="5" t="inlineStr">
        <is>
          <t>札幌市中央区</t>
        </is>
      </c>
      <c r="D24" s="5" t="inlineStr">
        <is>
          <t>札幌静修高等学校</t>
        </is>
      </c>
      <c r="E24" s="6" t="inlineStr">
        <is>
          <t>011-521-0234</t>
        </is>
      </c>
      <c r="F24" s="13" t="inlineStr">
        <is>
          <t>中</t>
        </is>
      </c>
      <c r="G24" s="5" t="inlineStr">
        <is>
          <t>普通科・専門学科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JS日本の学校のみで確認</t>
        </is>
      </c>
      <c r="N24" s="11" t="inlineStr">
        <is>
          <t>https://school.js88.com/scl_h/22052690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北海道</t>
        </is>
      </c>
      <c r="C25" s="5" t="inlineStr">
        <is>
          <t>札幌市北区</t>
        </is>
      </c>
      <c r="D25" s="5" t="inlineStr">
        <is>
          <t>札幌創成高等学校</t>
        </is>
      </c>
      <c r="E25" s="6" t="inlineStr">
        <is>
          <t>011-726-1578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道私学協会の資料と札幌市中学校の配布資料で一致</t>
        </is>
      </c>
      <c r="N25" s="11" t="inlineStr">
        <is>
          <t>https://www.doshigaku.jp/pdf/2023_transfe_10.pdf ; https://school.js88.com/scl_h/22049910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北海道</t>
        </is>
      </c>
      <c r="C26" s="5" t="inlineStr">
        <is>
          <t>札幌市豊平区</t>
        </is>
      </c>
      <c r="D26" s="5" t="inlineStr">
        <is>
          <t>札幌第一高等学校</t>
        </is>
      </c>
      <c r="E26" s="6" t="inlineStr">
        <is>
          <t>011-851-9361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公式サイトで「代表」と確認。入試事務局は011-851-6729</t>
        </is>
      </c>
      <c r="N26" s="11" t="inlineStr">
        <is>
          <t>https://www.kibou.ac.jp/daiichi/introduction/access/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北海道</t>
        </is>
      </c>
      <c r="C27" s="5" t="inlineStr">
        <is>
          <t>北広島市</t>
        </is>
      </c>
      <c r="D27" s="5" t="inlineStr">
        <is>
          <t>札幌日本大学高等学校</t>
        </is>
      </c>
      <c r="E27" s="6" t="inlineStr">
        <is>
          <t>011-375-2611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複数資料で一致。中高併設</t>
        </is>
      </c>
      <c r="N27" s="11" t="inlineStr">
        <is>
          <t>https://school.js88.com/scl_h/22053100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北海道</t>
        </is>
      </c>
      <c r="C28" s="5" t="inlineStr">
        <is>
          <t>札幌市東区</t>
        </is>
      </c>
      <c r="D28" s="5" t="inlineStr">
        <is>
          <t>札幌北斗高等学校</t>
        </is>
      </c>
      <c r="E28" s="6" t="inlineStr">
        <is>
          <t>011-711-6121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札幌市東区の学校一覧と地図サイトで一致</t>
        </is>
      </c>
      <c r="N28" s="11" t="inlineStr">
        <is>
          <t>https://www.city.sapporo.jp/higashi/about/ins_school.html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北海道</t>
        </is>
      </c>
      <c r="C29" s="5" t="inlineStr">
        <is>
          <t>札幌市西区</t>
        </is>
      </c>
      <c r="D29" s="5" t="inlineStr">
        <is>
          <t>札幌山の手高等学校</t>
        </is>
      </c>
      <c r="E29" s="6" t="inlineStr">
        <is>
          <t>011-611-7301</t>
        </is>
      </c>
      <c r="F29" s="7" t="inlineStr">
        <is>
          <t>高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代表番号。札幌市立中学校の配布資料と一致</t>
        </is>
      </c>
      <c r="N29" s="11" t="inlineStr">
        <is>
          <t>https://school.js88.com/scl_h/22052710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北海道</t>
        </is>
      </c>
      <c r="C30" s="5" t="inlineStr">
        <is>
          <t>札幌市中央区</t>
        </is>
      </c>
      <c r="D30" s="5" t="inlineStr">
        <is>
          <t>札幌龍谷学園高等学校</t>
        </is>
      </c>
      <c r="E30" s="6" t="inlineStr">
        <is>
          <t>011-631-4386</t>
        </is>
      </c>
      <c r="F30" s="13" t="inlineStr">
        <is>
          <t>中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札幌市立中学校の配布チラシで確認。公式サイトでは未確認</t>
        </is>
      </c>
      <c r="N30" s="11" t="inlineStr">
        <is>
          <t>https://www16.sapporo-c.ed.jp/kiyota-j/attach/get2/2208/0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北海道</t>
        </is>
      </c>
      <c r="C31" s="5" t="inlineStr">
        <is>
          <t>芽室町</t>
        </is>
      </c>
      <c r="D31" s="5" t="inlineStr">
        <is>
          <t>白樺学園高等学校</t>
        </is>
      </c>
      <c r="E31" s="6" t="inlineStr">
        <is>
          <t>0155-62-7411</t>
        </is>
      </c>
      <c r="F31" s="7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中高併設</t>
        </is>
      </c>
      <c r="N31" s="11" t="inlineStr">
        <is>
          <t>https://school.js88.com/scl_h/22053060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北海道</t>
        </is>
      </c>
      <c r="C32" s="5" t="inlineStr">
        <is>
          <t>芦別市</t>
        </is>
      </c>
      <c r="D32" s="5" t="inlineStr">
        <is>
          <t>星槎国際高等学校</t>
        </is>
      </c>
      <c r="E32" s="6" t="inlineStr">
        <is>
          <t>0124-24-6101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芦別の本部校の番号（公式サイト）。全国にキャンパスあり</t>
        </is>
      </c>
      <c r="N32" s="11" t="inlineStr">
        <is>
          <t>https://seisa.ed.jp/ashibetsu/access/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北海道</t>
        </is>
      </c>
      <c r="C33" s="5" t="inlineStr">
        <is>
          <t>函館市</t>
        </is>
      </c>
      <c r="D33" s="5" t="inlineStr">
        <is>
          <t>清尚学院高等学校</t>
        </is>
      </c>
      <c r="E33" s="6" t="inlineStr">
        <is>
          <t>0138-41-6584</t>
        </is>
      </c>
      <c r="F33" s="13" t="inlineStr">
        <is>
          <t>中</t>
        </is>
      </c>
      <c r="G33" s="5" t="inlineStr">
        <is>
          <t>専門学科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JS日本の学校のみで確認</t>
        </is>
      </c>
      <c r="N33" s="11" t="inlineStr">
        <is>
          <t>https://school.js88.com/scl_h/22052840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北海道</t>
        </is>
      </c>
      <c r="C34" s="5" t="inlineStr">
        <is>
          <t>札幌市南区</t>
        </is>
      </c>
      <c r="D34" s="5" t="inlineStr">
        <is>
          <t>東海大学付属札幌高等学校</t>
        </is>
      </c>
      <c r="E34" s="6" t="inlineStr">
        <is>
          <t>011-571-5175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複数資料で一致</t>
        </is>
      </c>
      <c r="N34" s="11" t="inlineStr">
        <is>
          <t>https://school.js88.com/scl_h/22052760/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北海道</t>
        </is>
      </c>
      <c r="C35" s="5" t="inlineStr">
        <is>
          <t>苫小牧市</t>
        </is>
      </c>
      <c r="D35" s="5" t="inlineStr">
        <is>
          <t>苫小牧中央高等学校</t>
        </is>
      </c>
      <c r="E35" s="6" t="inlineStr">
        <is>
          <t>0144-74-4200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公式サイト：事務室。職員室は0144-74-4300</t>
        </is>
      </c>
      <c r="N35" s="11" t="inlineStr">
        <is>
          <t>https://haragakuen.ac.jp/access/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北海道</t>
        </is>
      </c>
      <c r="C36" s="5" t="inlineStr">
        <is>
          <t>千歳市</t>
        </is>
      </c>
      <c r="D36" s="5" t="inlineStr">
        <is>
          <t>日本航空高等学校 北海道</t>
        </is>
      </c>
      <c r="E36" s="6" t="inlineStr">
        <is>
          <t>0123-28-1155</t>
        </is>
      </c>
      <c r="F36" s="7" t="inlineStr">
        <is>
          <t>高</t>
        </is>
      </c>
      <c r="G36" s="5" t="inlineStr">
        <is>
          <t>専門学科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千歳市の北海道キャンパスの番号。日本航空大学校とは別</t>
        </is>
      </c>
      <c r="N36" s="11" t="inlineStr">
        <is>
          <t>https://school.js88.com/scl_h/34055718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北海道</t>
        </is>
      </c>
      <c r="C37" s="5" t="inlineStr">
        <is>
          <t>函館市</t>
        </is>
      </c>
      <c r="D37" s="5" t="inlineStr">
        <is>
          <t>函館大谷高等学校</t>
        </is>
      </c>
      <c r="E37" s="6" t="inlineStr">
        <is>
          <t>0138-52-1834</t>
        </is>
      </c>
      <c r="F37" s="13" t="inlineStr">
        <is>
          <t>中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JS日本の学校のみで確認</t>
        </is>
      </c>
      <c r="N37" s="11" t="inlineStr">
        <is>
          <t>https://school.js88.com/scl_h/22052800/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北海道</t>
        </is>
      </c>
      <c r="C38" s="5" t="inlineStr">
        <is>
          <t>函館市</t>
        </is>
      </c>
      <c r="D38" s="5" t="inlineStr">
        <is>
          <t>函館大妻高等学校</t>
        </is>
      </c>
      <c r="E38" s="6" t="inlineStr">
        <is>
          <t>0138-52-1890</t>
        </is>
      </c>
      <c r="F38" s="13" t="inlineStr">
        <is>
          <t>中</t>
        </is>
      </c>
      <c r="G38" s="5" t="inlineStr">
        <is>
          <t>普通科・専門学科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みんなの高校情報のみで確認</t>
        </is>
      </c>
      <c r="N38" s="11" t="inlineStr">
        <is>
          <t>https://www.minkou.jp/hischool/school/deviation/3622/?c=1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北海道</t>
        </is>
      </c>
      <c r="C39" s="5" t="inlineStr">
        <is>
          <t>函館市</t>
        </is>
      </c>
      <c r="D39" s="5" t="inlineStr">
        <is>
          <t>函館白百合学園高等学校</t>
        </is>
      </c>
      <c r="E39" s="6" t="inlineStr">
        <is>
          <t>0138-55-6682</t>
        </is>
      </c>
      <c r="F39" s="7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中高共通の代表番号</t>
        </is>
      </c>
      <c r="N39" s="11" t="inlineStr">
        <is>
          <t>https://school.js88.com/scl_h/22052830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北海道</t>
        </is>
      </c>
      <c r="C40" s="5" t="inlineStr">
        <is>
          <t>函館市</t>
        </is>
      </c>
      <c r="D40" s="5" t="inlineStr">
        <is>
          <t>函館大学付属柏稜高等学校</t>
        </is>
      </c>
      <c r="E40" s="6" t="inlineStr">
        <is>
          <t>0138-51-1481</t>
        </is>
      </c>
      <c r="F40" s="7" t="inlineStr">
        <is>
          <t>高</t>
        </is>
      </c>
      <c r="G40" s="5" t="inlineStr">
        <is>
          <t>普通科・専門学科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JS日本の学校とみんなの高校情報で一致</t>
        </is>
      </c>
      <c r="N40" s="11" t="inlineStr">
        <is>
          <t>https://school.js88.com/scl_h/22052850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北海道</t>
        </is>
      </c>
      <c r="C41" s="5" t="inlineStr">
        <is>
          <t>函館市</t>
        </is>
      </c>
      <c r="D41" s="5" t="inlineStr">
        <is>
          <t>函館大学付属有斗高等学校</t>
        </is>
      </c>
      <c r="E41" s="6" t="inlineStr">
        <is>
          <t>0138-57-1381</t>
        </is>
      </c>
      <c r="F41" s="7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複数の進学情報サイトで一致</t>
        </is>
      </c>
      <c r="N41" s="11" t="inlineStr">
        <is>
          <t>https://school.js88.com/scl_h/22052810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北海道</t>
        </is>
      </c>
      <c r="C42" s="5" t="inlineStr">
        <is>
          <t>函館市</t>
        </is>
      </c>
      <c r="D42" s="5" t="inlineStr">
        <is>
          <t>函館ラ・サール高等学校</t>
        </is>
      </c>
      <c r="E42" s="6" t="inlineStr">
        <is>
          <t>0138-52-0365</t>
        </is>
      </c>
      <c r="F42" s="7" t="inlineStr">
        <is>
          <t>高</t>
        </is>
      </c>
      <c r="G42" s="5" t="inlineStr">
        <is>
          <t>普通科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中高共通。複数サイトで一致</t>
        </is>
      </c>
      <c r="N42" s="11" t="inlineStr">
        <is>
          <t>https://school.js88.com/scl_h/22052860?page=6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北海道</t>
        </is>
      </c>
      <c r="C43" s="5" t="inlineStr">
        <is>
          <t>札幌市北区</t>
        </is>
      </c>
      <c r="D43" s="5" t="inlineStr">
        <is>
          <t>藤女子高等学校</t>
        </is>
      </c>
      <c r="E43" s="6" t="inlineStr">
        <is>
          <t>011-707-5001</t>
        </is>
      </c>
      <c r="F43" s="7" t="inlineStr">
        <is>
          <t>高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公式の募集要項PDFと道私学協会の資料で一致</t>
        </is>
      </c>
      <c r="N43" s="11" t="inlineStr">
        <is>
          <t>https://www.fuji-gjshs.jp/20020/files/2026kou_youkou.pdf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北海道</t>
        </is>
      </c>
      <c r="C44" s="5" t="inlineStr">
        <is>
          <t>釧路市</t>
        </is>
      </c>
      <c r="D44" s="5" t="inlineStr">
        <is>
          <t>武修館高等学校</t>
        </is>
      </c>
      <c r="E44" s="6" t="inlineStr">
        <is>
          <t>0154-47-3211</t>
        </is>
      </c>
      <c r="F44" s="7" t="inlineStr">
        <is>
          <t>高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JS日本の学校とみんなの高校情報で一致。中学校は別番号（0154-47-3220）</t>
        </is>
      </c>
      <c r="N44" s="11" t="inlineStr">
        <is>
          <t>https://school.js88.com/scl_h/22053090/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北海道</t>
        </is>
      </c>
      <c r="C45" s="5" t="inlineStr">
        <is>
          <t>小樽市</t>
        </is>
      </c>
      <c r="D45" s="5" t="inlineStr">
        <is>
          <t>北照高等学校</t>
        </is>
      </c>
      <c r="E45" s="6" t="inlineStr">
        <is>
          <t>0134-32-0331</t>
        </is>
      </c>
      <c r="F45" s="7" t="inlineStr">
        <is>
          <t>高</t>
        </is>
      </c>
      <c r="G45" s="5" t="inlineStr">
        <is>
          <t>普通科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複数サイトと公式PDFで一致</t>
        </is>
      </c>
      <c r="N45" s="11" t="inlineStr">
        <is>
          <t>https://school.js88.com/scl_h/22052870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北海道</t>
        </is>
      </c>
      <c r="C46" s="5" t="inlineStr">
        <is>
          <t>札幌市中央区</t>
        </is>
      </c>
      <c r="D46" s="5" t="inlineStr">
        <is>
          <t>北星学園女子高等学校</t>
        </is>
      </c>
      <c r="E46" s="6" t="inlineStr">
        <is>
          <t>011-561-7153</t>
        </is>
      </c>
      <c r="F46" s="7" t="inlineStr">
        <is>
          <t>高</t>
        </is>
      </c>
      <c r="G46" s="5" t="inlineStr">
        <is>
          <t>普通科・専門学科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学校情報サイトと札幌市中学校の掲載資料で一致</t>
        </is>
      </c>
      <c r="N46" s="11" t="inlineStr">
        <is>
          <t>https://school.js88.com/scl_h/22052670?page=9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北海道</t>
        </is>
      </c>
      <c r="C47" s="5" t="inlineStr">
        <is>
          <t>札幌市厚別区</t>
        </is>
      </c>
      <c r="D47" s="5" t="inlineStr">
        <is>
          <t>北星学園大学附属高等学校</t>
        </is>
      </c>
      <c r="E47" s="6" t="inlineStr">
        <is>
          <t>011-897-2881</t>
        </is>
      </c>
      <c r="F47" s="7" t="inlineStr">
        <is>
          <t>高</t>
        </is>
      </c>
      <c r="G47" s="5" t="inlineStr">
        <is>
          <t>普通科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JS日本の学校とみんなの高校情報で一致</t>
        </is>
      </c>
      <c r="N47" s="11" t="inlineStr">
        <is>
          <t>https://school.js88.com/scl_h/22052660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北海道</t>
        </is>
      </c>
      <c r="C48" s="5" t="inlineStr">
        <is>
          <t>余市町</t>
        </is>
      </c>
      <c r="D48" s="5" t="inlineStr">
        <is>
          <t>北星学園余市高等学校</t>
        </is>
      </c>
      <c r="E48" s="6" t="inlineStr">
        <is>
          <t>0135-23-2165</t>
        </is>
      </c>
      <c r="F48" s="13" t="inlineStr">
        <is>
          <t>中</t>
        </is>
      </c>
      <c r="G48" s="5" t="inlineStr">
        <is>
          <t>普通科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公式PDF（2026年5月）では「事務室 0135-23-2166」の記載あり。要確認</t>
        </is>
      </c>
      <c r="N48" s="11" t="inlineStr">
        <is>
          <t>https://school.js88.com/scl_h/22052900/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北海道</t>
        </is>
      </c>
      <c r="C49" s="5" t="inlineStr">
        <is>
          <t>札幌市清田区</t>
        </is>
      </c>
      <c r="D49" s="5" t="inlineStr">
        <is>
          <t>北嶺高等学校</t>
        </is>
      </c>
      <c r="E49" s="6" t="inlineStr">
        <is>
          <t>011-883-4651</t>
        </is>
      </c>
      <c r="F49" s="7" t="inlineStr">
        <is>
          <t>高</t>
        </is>
      </c>
      <c r="G49" s="5" t="inlineStr">
        <is>
          <t>普通科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inlineStr">
        <is>
          <t>中高共通。複数サイトで一致</t>
        </is>
      </c>
      <c r="N49" s="11" t="inlineStr">
        <is>
          <t>https://school.js88.com/scl_h/22053110 ; https://www.inter-edu.com/schools/school/321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北海道</t>
        </is>
      </c>
      <c r="C50" s="5" t="inlineStr">
        <is>
          <t>札幌市豊平区</t>
        </is>
      </c>
      <c r="D50" s="5" t="inlineStr">
        <is>
          <t>北海学園札幌高等学校</t>
        </is>
      </c>
      <c r="E50" s="6" t="inlineStr">
        <is>
          <t>011-841-1161</t>
        </is>
      </c>
      <c r="F50" s="7" t="inlineStr">
        <is>
          <t>高</t>
        </is>
      </c>
      <c r="G50" s="5" t="inlineStr">
        <is>
          <t>普通科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公式サイトで「代表」と確認。北海高校・北海学園大学と同じ代表番号のため、学校名を伝えて取り次ぎを依頼</t>
        </is>
      </c>
      <c r="N50" s="11" t="inlineStr">
        <is>
          <t>https://www.hgs.ed.jp/about/index.html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北海道</t>
        </is>
      </c>
      <c r="C51" s="5" t="inlineStr">
        <is>
          <t>札幌市豊平区</t>
        </is>
      </c>
      <c r="D51" s="5" t="inlineStr">
        <is>
          <t>北海高等学校</t>
        </is>
      </c>
      <c r="E51" s="6" t="inlineStr">
        <is>
          <t>011-841-1161</t>
        </is>
      </c>
      <c r="F51" s="13" t="inlineStr">
        <is>
          <t>中</t>
        </is>
      </c>
      <c r="G51" s="5" t="inlineStr">
        <is>
          <t>普通科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北海学園の共通代表番号。学校名を伝えて取り次ぎを依頼</t>
        </is>
      </c>
      <c r="N51" s="11" t="inlineStr">
        <is>
          <t>https://school.js88.com/scl_h/22052590 ; https://www.hokkai.ed.jp/sub/access.html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北海道</t>
        </is>
      </c>
      <c r="C52" s="5" t="inlineStr">
        <is>
          <t>室蘭市</t>
        </is>
      </c>
      <c r="D52" s="5" t="inlineStr">
        <is>
          <t>北海道大谷室蘭高等学校</t>
        </is>
      </c>
      <c r="E52" s="6" t="inlineStr">
        <is>
          <t>0143-44-5641</t>
        </is>
      </c>
      <c r="F52" s="13" t="inlineStr">
        <is>
          <t>中</t>
        </is>
      </c>
      <c r="G52" s="5" t="inlineStr">
        <is>
          <t>普通科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学校情報サイト1件のみで確認</t>
        </is>
      </c>
      <c r="N52" s="11" t="inlineStr">
        <is>
          <t>https://school.js88.com/scl_h/22052990?page=6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北海道</t>
        </is>
      </c>
      <c r="C53" s="5" t="inlineStr">
        <is>
          <t>札幌市手稲区</t>
        </is>
      </c>
      <c r="D53" s="5" t="inlineStr">
        <is>
          <t>北海道科学大学高等学校</t>
        </is>
      </c>
      <c r="E53" s="6" t="inlineStr">
        <is>
          <t>011-699-6987</t>
        </is>
      </c>
      <c r="F53" s="7" t="inlineStr">
        <is>
          <t>高</t>
        </is>
      </c>
      <c r="G53" s="5" t="inlineStr">
        <is>
          <t>普通科・専門学科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inlineStr">
        <is>
          <t>札幌市の一覧で確認。大学の番号とは別</t>
        </is>
      </c>
      <c r="N53" s="11" t="inlineStr">
        <is>
          <t>https://www.city.sapporo.jp/teine/shisetsu/school.html ; https://school.js88.com/scl_h/22052630/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北海道</t>
        </is>
      </c>
      <c r="C54" s="5" t="inlineStr">
        <is>
          <t>清水町</t>
        </is>
      </c>
      <c r="D54" s="5" t="inlineStr">
        <is>
          <t>北海道芸術高等学校</t>
        </is>
      </c>
      <c r="E54" s="6" t="inlineStr">
        <is>
          <t>0135-48-5131</t>
        </is>
      </c>
      <c r="F54" s="13" t="inlineStr">
        <is>
          <t>中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inlineStr">
        <is>
          <t>【所在地注意】本校は2015年に清水町から仁木町へ移転済み。番号は仁木本校のもの</t>
        </is>
      </c>
      <c r="N54" s="11" t="inlineStr">
        <is>
          <t>https://www.kyokei.ac.jp/contact/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北海道</t>
        </is>
      </c>
      <c r="C55" s="5" t="inlineStr">
        <is>
          <t>白老町</t>
        </is>
      </c>
      <c r="D55" s="5" t="inlineStr">
        <is>
          <t>北海道栄高等学校</t>
        </is>
      </c>
      <c r="E55" s="6" t="inlineStr">
        <is>
          <t>0144-82-2185</t>
        </is>
      </c>
      <c r="F55" s="13" t="inlineStr">
        <is>
          <t>中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inlineStr">
        <is>
          <t>白老町。苫小牧市への移転計画の報道あり（移転後は番号が変わる可能性）</t>
        </is>
      </c>
      <c r="N55" s="11" t="inlineStr">
        <is>
          <t>https://school.js88.com/scl_h/22053020/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北海道</t>
        </is>
      </c>
      <c r="C56" s="5" t="inlineStr">
        <is>
          <t>恵庭市</t>
        </is>
      </c>
      <c r="D56" s="5" t="inlineStr">
        <is>
          <t>北海道文教大学附属高等学校</t>
        </is>
      </c>
      <c r="E56" s="6" t="inlineStr">
        <is>
          <t>0123-25-5570</t>
        </is>
      </c>
      <c r="F56" s="7" t="inlineStr">
        <is>
          <t>高</t>
        </is>
      </c>
      <c r="G56" s="5" t="inlineStr">
        <is>
          <t>普通科・専門学科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複数サイトで一致</t>
        </is>
      </c>
      <c r="N56" s="11" t="inlineStr">
        <is>
          <t>https://school.js88.com/scl_h/22052730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北海道</t>
        </is>
      </c>
      <c r="C57" s="5" t="inlineStr">
        <is>
          <t>江別市</t>
        </is>
      </c>
      <c r="D57" s="5" t="inlineStr">
        <is>
          <t>酪農学園大学附属とわの森三愛高等学校</t>
        </is>
      </c>
      <c r="E57" s="6" t="inlineStr">
        <is>
          <t>011-386-3111</t>
        </is>
      </c>
      <c r="F57" s="13" t="inlineStr">
        <is>
          <t>中</t>
        </is>
      </c>
      <c r="G57" s="5" t="inlineStr">
        <is>
          <t>普通科・専門学科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inlineStr">
        <is>
          <t>代表番号。通信制課程は011-388-4831</t>
        </is>
      </c>
      <c r="N57" s="11" t="inlineStr">
        <is>
          <t>https://school.js88.com/scl_h/22052750/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北海道</t>
        </is>
      </c>
      <c r="C58" s="5" t="inlineStr">
        <is>
          <t>江別市</t>
        </is>
      </c>
      <c r="D58" s="5" t="inlineStr">
        <is>
          <t>立命館慶祥高等学校</t>
        </is>
      </c>
      <c r="E58" s="6" t="inlineStr">
        <is>
          <t>011-381-8888</t>
        </is>
      </c>
      <c r="F58" s="7" t="inlineStr">
        <is>
          <t>高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中高共通。札幌市立中学校の配布資料と一致</t>
        </is>
      </c>
      <c r="N58" s="11" t="inlineStr">
        <is>
          <t>https://www.minkou.jp/junior/school/6019/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北海道</t>
        </is>
      </c>
      <c r="C59" s="5" t="inlineStr">
        <is>
          <t>稚内市</t>
        </is>
      </c>
      <c r="D59" s="5" t="inlineStr">
        <is>
          <t>稚内大谷高等学校</t>
        </is>
      </c>
      <c r="E59" s="6" t="inlineStr">
        <is>
          <t>0162-32-2660</t>
        </is>
      </c>
      <c r="F59" s="13" t="inlineStr">
        <is>
          <t>中</t>
        </is>
      </c>
      <c r="G59" s="5" t="inlineStr">
        <is>
          <t>普通科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学校情報サイト1件のみで確認</t>
        </is>
      </c>
      <c r="N59" s="11" t="inlineStr">
        <is>
          <t>https://school.js88.com/scl_h/22052960</t>
        </is>
      </c>
      <c r="O59" s="12" t="inlineStr">
        <is>
          <t>開く</t>
        </is>
      </c>
    </row>
    <row r="60">
      <c r="A60" s="4" t="n">
        <v>56</v>
      </c>
      <c r="B60" s="5" t="inlineStr">
        <is>
          <t>青森県</t>
        </is>
      </c>
      <c r="C60" s="5" t="inlineStr">
        <is>
          <t>青森市</t>
        </is>
      </c>
      <c r="D60" s="5" t="inlineStr">
        <is>
          <t>青森明の星高等学校</t>
        </is>
      </c>
      <c r="E60" s="6" t="inlineStr">
        <is>
          <t>017-741-0121</t>
        </is>
      </c>
      <c r="F60" s="7" t="inlineStr">
        <is>
          <t>高</t>
        </is>
      </c>
      <c r="G60" s="5" t="inlineStr">
        <is>
          <t>普通科・専門学科</t>
        </is>
      </c>
      <c r="H60" s="8" t="n"/>
      <c r="I60" s="9" t="n"/>
      <c r="J60" s="9" t="inlineStr">
        <is>
          <t>未架電</t>
        </is>
      </c>
      <c r="K60" s="8" t="n"/>
      <c r="L60" s="9" t="n"/>
      <c r="M60" s="10" t="inlineStr">
        <is>
          <t>公式サイトで確認。中学校と共通。017-741-0123は短大の番号なので注意</t>
        </is>
      </c>
      <c r="N60" s="11" t="inlineStr">
        <is>
          <t>https://www.aomoriakenohoshi.ed.jp/ ; https://www.mapion.co.jp/phonebook/M11004/02201/ILSP0000041805_ipclm/</t>
        </is>
      </c>
      <c r="O60" s="12" t="inlineStr">
        <is>
          <t>開く</t>
        </is>
      </c>
    </row>
    <row r="61">
      <c r="A61" s="4" t="n">
        <v>57</v>
      </c>
      <c r="B61" s="5" t="inlineStr">
        <is>
          <t>青森県</t>
        </is>
      </c>
      <c r="C61" s="5" t="inlineStr">
        <is>
          <t>青森市</t>
        </is>
      </c>
      <c r="D61" s="5" t="inlineStr">
        <is>
          <t>青森山田高等学校</t>
        </is>
      </c>
      <c r="E61" s="6" t="inlineStr">
        <is>
          <t>017-739-2001</t>
        </is>
      </c>
      <c r="F61" s="7" t="inlineStr">
        <is>
          <t>高</t>
        </is>
      </c>
      <c r="G61" s="5" t="inlineStr">
        <is>
          <t>普通科・専門学科</t>
        </is>
      </c>
      <c r="H61" s="8" t="n"/>
      <c r="I61" s="9" t="n"/>
      <c r="J61" s="9" t="inlineStr">
        <is>
          <t>未架電</t>
        </is>
      </c>
      <c r="K61" s="8" t="n"/>
      <c r="L61" s="9" t="n"/>
      <c r="M61" s="10" t="inlineStr">
        <is>
          <t>全日制の番号。青森県の一覧ほか複数で一致。通信制は別番号（017-728-5030・未検証）</t>
        </is>
      </c>
      <c r="N61" s="11" t="inlineStr">
        <is>
          <t>https://www.pref.aomori.lg.jp/soshiki/soumu/gakuji/files/R5_kou.pdf ; https://studychain.jp/koukoudb/school/82/</t>
        </is>
      </c>
      <c r="O61" s="12" t="inlineStr">
        <is>
          <t>開く</t>
        </is>
      </c>
    </row>
    <row r="62">
      <c r="A62" s="4" t="n">
        <v>58</v>
      </c>
      <c r="B62" s="5" t="inlineStr">
        <is>
          <t>青森県</t>
        </is>
      </c>
      <c r="C62" s="5" t="inlineStr">
        <is>
          <t>八戸市</t>
        </is>
      </c>
      <c r="D62" s="5" t="inlineStr">
        <is>
          <t>向陵高等学校</t>
        </is>
      </c>
      <c r="E62" s="6" t="inlineStr">
        <is>
          <t>0178-44-3866</t>
        </is>
      </c>
      <c r="F62" s="13" t="inlineStr">
        <is>
          <t>中</t>
        </is>
      </c>
      <c r="G62" s="5" t="inlineStr">
        <is>
          <t>普通科</t>
        </is>
      </c>
      <c r="H62" s="8" t="n"/>
      <c r="I62" s="9" t="n"/>
      <c r="J62" s="9" t="inlineStr">
        <is>
          <t>未架電</t>
        </is>
      </c>
      <c r="K62" s="8" t="n"/>
      <c r="L62" s="9" t="n"/>
      <c r="M62" s="10" t="inlineStr">
        <is>
          <t>JS日本の学校のみで確認。千葉学園と同じ系列</t>
        </is>
      </c>
      <c r="N62" s="11" t="inlineStr">
        <is>
          <t>https://school.js88.com/scl_h/22027860/</t>
        </is>
      </c>
      <c r="O62" s="12" t="inlineStr">
        <is>
          <t>開く</t>
        </is>
      </c>
    </row>
    <row r="63">
      <c r="A63" s="4" t="n">
        <v>59</v>
      </c>
      <c r="B63" s="5" t="inlineStr">
        <is>
          <t>青森県</t>
        </is>
      </c>
      <c r="C63" s="5" t="inlineStr">
        <is>
          <t>五所川原市</t>
        </is>
      </c>
      <c r="D63" s="5" t="inlineStr">
        <is>
          <t>五所川原第一高等学校</t>
        </is>
      </c>
      <c r="E63" s="6" t="inlineStr">
        <is>
          <t>0173-34-2347</t>
        </is>
      </c>
      <c r="F63" s="7" t="inlineStr">
        <is>
          <t>高</t>
        </is>
      </c>
      <c r="G63" s="5" t="inlineStr">
        <is>
          <t>普通科</t>
        </is>
      </c>
      <c r="H63" s="8" t="n"/>
      <c r="I63" s="9" t="n"/>
      <c r="J63" s="9" t="inlineStr">
        <is>
          <t>未架電</t>
        </is>
      </c>
      <c r="K63" s="8" t="n"/>
      <c r="L63" s="9" t="n"/>
      <c r="M63" s="10" t="inlineStr">
        <is>
          <t>全日制の番号。職員室直通は0173-34-3635、通信制課程は0173-26-6662</t>
        </is>
      </c>
      <c r="N63" s="11" t="inlineStr">
        <is>
          <t>https://www.mapion.co.jp/phonebook/M11004/02205/ILSP0000040727_ipclm/ ; https://www.pref.aomori.lg.jp/soshiki/soumu/gakuji/files/R4_kou.pdf</t>
        </is>
      </c>
      <c r="O63" s="12" t="inlineStr">
        <is>
          <t>開く</t>
        </is>
      </c>
    </row>
    <row r="64">
      <c r="A64" s="4" t="n">
        <v>60</v>
      </c>
      <c r="B64" s="5" t="inlineStr">
        <is>
          <t>青森県</t>
        </is>
      </c>
      <c r="C64" s="5" t="inlineStr">
        <is>
          <t>弘前市</t>
        </is>
      </c>
      <c r="D64" s="5" t="inlineStr">
        <is>
          <t>柴田学園大学附属柴田学園高等学校</t>
        </is>
      </c>
      <c r="E64" s="6" t="inlineStr">
        <is>
          <t>0172-32-0135</t>
        </is>
      </c>
      <c r="F64" s="7" t="inlineStr">
        <is>
          <t>高</t>
        </is>
      </c>
      <c r="G64" s="5" t="inlineStr">
        <is>
          <t>普通科・専門学科</t>
        </is>
      </c>
      <c r="H64" s="8" t="n"/>
      <c r="I64" s="9" t="n"/>
      <c r="J64" s="9" t="inlineStr">
        <is>
          <t>未架電</t>
        </is>
      </c>
      <c r="K64" s="8" t="n"/>
      <c r="L64" s="9" t="n"/>
      <c r="M64" s="10" t="inlineStr">
        <is>
          <t>公式サイトで確認。0172-32-6151は短大の番号なので注意</t>
        </is>
      </c>
      <c r="N64" s="11" t="inlineStr">
        <is>
          <t>https://hs.shibata.ac.jp/access/ ; https://school.js88.com/scl_h/22027720</t>
        </is>
      </c>
      <c r="O64" s="12" t="inlineStr">
        <is>
          <t>開く</t>
        </is>
      </c>
    </row>
    <row r="65">
      <c r="A65" s="4" t="n">
        <v>61</v>
      </c>
      <c r="B65" s="5" t="inlineStr">
        <is>
          <t>青森県</t>
        </is>
      </c>
      <c r="C65" s="5" t="inlineStr">
        <is>
          <t>鶴田町</t>
        </is>
      </c>
      <c r="D65" s="5" t="inlineStr">
        <is>
          <t>下山学園高等学校</t>
        </is>
      </c>
      <c r="E65" s="6" t="inlineStr">
        <is>
          <t>0173-23-5541</t>
        </is>
      </c>
      <c r="F65" s="7" t="inlineStr">
        <is>
          <t>高</t>
        </is>
      </c>
      <c r="G65" s="5" t="inlineStr">
        <is>
          <t>普通科・専門学科</t>
        </is>
      </c>
      <c r="H65" s="8" t="n"/>
      <c r="I65" s="9" t="n"/>
      <c r="J65" s="9" t="inlineStr">
        <is>
          <t>未架電</t>
        </is>
      </c>
      <c r="K65" s="8" t="n"/>
      <c r="L65" s="9" t="n"/>
      <c r="M65" s="10" t="inlineStr">
        <is>
          <t>2つの情報源で一致</t>
        </is>
      </c>
      <c r="N65" s="11" t="inlineStr">
        <is>
          <t>https://school.js88.com/scl_h/22027820?page=7 ; https://www.navitime.co.jp/category/0504/02384/</t>
        </is>
      </c>
      <c r="O65" s="12" t="inlineStr">
        <is>
          <t>開く</t>
        </is>
      </c>
    </row>
    <row r="66">
      <c r="A66" s="4" t="n">
        <v>62</v>
      </c>
      <c r="B66" s="5" t="inlineStr">
        <is>
          <t>青森県</t>
        </is>
      </c>
      <c r="C66" s="5" t="inlineStr">
        <is>
          <t>平内町</t>
        </is>
      </c>
      <c r="D66" s="5" t="inlineStr">
        <is>
          <t>松風塾高等学校</t>
        </is>
      </c>
      <c r="E66" s="6" t="inlineStr">
        <is>
          <t>017-756-2817</t>
        </is>
      </c>
      <c r="F66" s="7" t="inlineStr">
        <is>
          <t>高</t>
        </is>
      </c>
      <c r="G66" s="5" t="inlineStr">
        <is>
          <t>普通科</t>
        </is>
      </c>
      <c r="H66" s="8" t="n"/>
      <c r="I66" s="9" t="n"/>
      <c r="J66" s="9" t="inlineStr">
        <is>
          <t>未架電</t>
        </is>
      </c>
      <c r="K66" s="8" t="n"/>
      <c r="L66" s="9" t="n"/>
      <c r="M66" s="10" t="inlineStr">
        <is>
          <t>青森県の一覧（R6）と学校情報サイトで一致</t>
        </is>
      </c>
      <c r="N66" s="11" t="inlineStr">
        <is>
          <t>https://www.pref.aomori.lg.jp/soshiki/kodomo/kenmin/files/R6_kou.pdf ; https://school.js88.com/scl_h/22027830?page=7</t>
        </is>
      </c>
      <c r="O66" s="12" t="inlineStr">
        <is>
          <t>開く</t>
        </is>
      </c>
    </row>
    <row r="67">
      <c r="A67" s="4" t="n">
        <v>63</v>
      </c>
      <c r="B67" s="5" t="inlineStr">
        <is>
          <t>青森県</t>
        </is>
      </c>
      <c r="C67" s="5" t="inlineStr">
        <is>
          <t>八戸市</t>
        </is>
      </c>
      <c r="D67" s="5" t="inlineStr">
        <is>
          <t>千葉学園高等学校</t>
        </is>
      </c>
      <c r="E67" s="6" t="inlineStr">
        <is>
          <t>0178-43-4321</t>
        </is>
      </c>
      <c r="F67" s="7" t="inlineStr">
        <is>
          <t>高</t>
        </is>
      </c>
      <c r="G67" s="5" t="inlineStr">
        <is>
          <t>専門学科</t>
        </is>
      </c>
      <c r="H67" s="8" t="n"/>
      <c r="I67" s="9" t="n"/>
      <c r="J67" s="9" t="inlineStr">
        <is>
          <t>未架電</t>
        </is>
      </c>
      <c r="K67" s="8" t="n"/>
      <c r="L67" s="9" t="n"/>
      <c r="M67" s="10" t="inlineStr">
        <is>
          <t>青森県の一覧・マピオン・学校情報サイトで一致</t>
        </is>
      </c>
      <c r="N67" s="11" t="inlineStr">
        <is>
          <t>https://www.pref.aomori.lg.jp/soshiki/kodomo/kenmin/files/R6_kou.pdf ; https://www.mapion.co.jp/phonebook/M11004/02203/ILSP0000041720_ipclm/</t>
        </is>
      </c>
      <c r="O67" s="12" t="inlineStr">
        <is>
          <t>開く</t>
        </is>
      </c>
    </row>
    <row r="68">
      <c r="A68" s="4" t="n">
        <v>64</v>
      </c>
      <c r="B68" s="5" t="inlineStr">
        <is>
          <t>青森県</t>
        </is>
      </c>
      <c r="C68" s="5" t="inlineStr">
        <is>
          <t>青森市</t>
        </is>
      </c>
      <c r="D68" s="5" t="inlineStr">
        <is>
          <t>東奥学園高等学校</t>
        </is>
      </c>
      <c r="E68" s="6" t="inlineStr">
        <is>
          <t>017-775-2121</t>
        </is>
      </c>
      <c r="F68" s="7" t="inlineStr">
        <is>
          <t>高</t>
        </is>
      </c>
      <c r="G68" s="5" t="inlineStr">
        <is>
          <t>普通科・専門学科</t>
        </is>
      </c>
      <c r="H68" s="8" t="n"/>
      <c r="I68" s="9" t="n"/>
      <c r="J68" s="9" t="inlineStr">
        <is>
          <t>未架電</t>
        </is>
      </c>
      <c r="K68" s="8" t="n"/>
      <c r="L68" s="9" t="n"/>
      <c r="M68" s="10" t="inlineStr">
        <is>
          <t>公式サイトで確認。通信制課程も同じ番号</t>
        </is>
      </c>
      <c r="N68" s="11" t="inlineStr">
        <is>
          <t>https://www.toogakuen.ac.jp/</t>
        </is>
      </c>
      <c r="O68" s="12" t="inlineStr">
        <is>
          <t>開く</t>
        </is>
      </c>
    </row>
    <row r="69">
      <c r="A69" s="4" t="n">
        <v>65</v>
      </c>
      <c r="B69" s="5" t="inlineStr">
        <is>
          <t>青森県</t>
        </is>
      </c>
      <c r="C69" s="5" t="inlineStr">
        <is>
          <t>弘前市</t>
        </is>
      </c>
      <c r="D69" s="5" t="inlineStr">
        <is>
          <t>東奥義塾高等学校</t>
        </is>
      </c>
      <c r="E69" s="6" t="inlineStr">
        <is>
          <t>0172-92-4111</t>
        </is>
      </c>
      <c r="F69" s="7" t="inlineStr">
        <is>
          <t>高</t>
        </is>
      </c>
      <c r="G69" s="5" t="inlineStr">
        <is>
          <t>普通科</t>
        </is>
      </c>
      <c r="H69" s="8" t="n"/>
      <c r="I69" s="9" t="n"/>
      <c r="J69" s="9" t="inlineStr">
        <is>
          <t>未架電</t>
        </is>
      </c>
      <c r="K69" s="8" t="n"/>
      <c r="L69" s="9" t="n"/>
      <c r="M69" s="10" t="inlineStr">
        <is>
          <t>青森県の私立高校一覧と学校情報サイトで一致</t>
        </is>
      </c>
      <c r="N69" s="11" t="inlineStr">
        <is>
          <t>https://www.pref.aomori.lg.jp/soshiki/soumu/gakuji/files/R5_kou.pdf ; https://school.js88.com/scl_h/22027700</t>
        </is>
      </c>
      <c r="O69" s="12" t="inlineStr">
        <is>
          <t>開く</t>
        </is>
      </c>
    </row>
    <row r="70">
      <c r="A70" s="4" t="n">
        <v>66</v>
      </c>
      <c r="B70" s="5" t="inlineStr">
        <is>
          <t>青森県</t>
        </is>
      </c>
      <c r="C70" s="5" t="inlineStr">
        <is>
          <t>八戸市</t>
        </is>
      </c>
      <c r="D70" s="5" t="inlineStr">
        <is>
          <t>八戸学院光星高等学校</t>
        </is>
      </c>
      <c r="E70" s="6" t="inlineStr">
        <is>
          <t>0178-33-4151</t>
        </is>
      </c>
      <c r="F70" s="7" t="inlineStr">
        <is>
          <t>高</t>
        </is>
      </c>
      <c r="G70" s="5" t="inlineStr">
        <is>
          <t>普通科・専門学科</t>
        </is>
      </c>
      <c r="H70" s="8" t="n"/>
      <c r="I70" s="9" t="n"/>
      <c r="J70" s="9" t="inlineStr">
        <is>
          <t>未架電</t>
        </is>
      </c>
      <c r="K70" s="8" t="n"/>
      <c r="L70" s="9" t="n"/>
      <c r="M70" s="10" t="inlineStr">
        <is>
          <t>公式サイトで確認。入試関係（総務部直通）は0178-35-2043</t>
        </is>
      </c>
      <c r="N70" s="11" t="inlineStr">
        <is>
          <t>https://kh.hachinohe-u.ac.jp/scinfo/summary/</t>
        </is>
      </c>
      <c r="O70" s="12" t="inlineStr">
        <is>
          <t>開く</t>
        </is>
      </c>
    </row>
    <row r="71">
      <c r="A71" s="4" t="n">
        <v>67</v>
      </c>
      <c r="B71" s="5" t="inlineStr">
        <is>
          <t>青森県</t>
        </is>
      </c>
      <c r="C71" s="5" t="inlineStr">
        <is>
          <t>野辺地町</t>
        </is>
      </c>
      <c r="D71" s="5" t="inlineStr">
        <is>
          <t>八戸学院野辺地西高等学校</t>
        </is>
      </c>
      <c r="E71" s="6" t="inlineStr">
        <is>
          <t>0175-64-4166</t>
        </is>
      </c>
      <c r="F71" s="13" t="inlineStr">
        <is>
          <t>中</t>
        </is>
      </c>
      <c r="G71" s="5" t="inlineStr">
        <is>
          <t>総合学科</t>
        </is>
      </c>
      <c r="H71" s="8" t="n"/>
      <c r="I71" s="9" t="n"/>
      <c r="J71" s="9" t="inlineStr">
        <is>
          <t>未架電</t>
        </is>
      </c>
      <c r="K71" s="8" t="n"/>
      <c r="L71" s="9" t="n"/>
      <c r="M71" s="10" t="inlineStr">
        <is>
          <t>野辺地町の本校。JS日本の学校のみで確認</t>
        </is>
      </c>
      <c r="N71" s="11" t="inlineStr">
        <is>
          <t>https://school.js88.com/scl_h/22027840</t>
        </is>
      </c>
      <c r="O71" s="12" t="inlineStr">
        <is>
          <t>開く</t>
        </is>
      </c>
    </row>
    <row r="72">
      <c r="A72" s="4" t="n">
        <v>68</v>
      </c>
      <c r="B72" s="5" t="inlineStr">
        <is>
          <t>青森県</t>
        </is>
      </c>
      <c r="C72" s="5" t="inlineStr">
        <is>
          <t>八戸市</t>
        </is>
      </c>
      <c r="D72" s="5" t="inlineStr">
        <is>
          <t>八戸工業大学第一高等学校</t>
        </is>
      </c>
      <c r="E72" s="6" t="inlineStr">
        <is>
          <t>0178-33-5121</t>
        </is>
      </c>
      <c r="F72" s="7" t="inlineStr">
        <is>
          <t>高</t>
        </is>
      </c>
      <c r="G72" s="5" t="inlineStr">
        <is>
          <t>普通科・専門学科</t>
        </is>
      </c>
      <c r="H72" s="8" t="n"/>
      <c r="I72" s="9" t="n"/>
      <c r="J72" s="9" t="inlineStr">
        <is>
          <t>未架電</t>
        </is>
      </c>
      <c r="K72" s="8" t="n"/>
      <c r="L72" s="9" t="n"/>
      <c r="M72" s="10" t="inlineStr">
        <is>
          <t>代表番号。2つの情報源で一致</t>
        </is>
      </c>
      <c r="N72" s="11" t="inlineStr">
        <is>
          <t>https://school.js88.com/scl_h/22027800 ; https://map.yahoo.co.jp/v3/place/dGZMNK1nstI</t>
        </is>
      </c>
      <c r="O72" s="12" t="inlineStr">
        <is>
          <t>開く</t>
        </is>
      </c>
    </row>
    <row r="73">
      <c r="A73" s="4" t="n">
        <v>69</v>
      </c>
      <c r="B73" s="5" t="inlineStr">
        <is>
          <t>青森県</t>
        </is>
      </c>
      <c r="C73" s="5" t="inlineStr">
        <is>
          <t>八戸市</t>
        </is>
      </c>
      <c r="D73" s="5" t="inlineStr">
        <is>
          <t>八戸工業大学第二高等学校</t>
        </is>
      </c>
      <c r="E73" s="6" t="inlineStr">
        <is>
          <t>0178-25-4311</t>
        </is>
      </c>
      <c r="F73" s="7" t="inlineStr">
        <is>
          <t>高</t>
        </is>
      </c>
      <c r="G73" s="5" t="inlineStr">
        <is>
          <t>普通科</t>
        </is>
      </c>
      <c r="H73" s="8" t="n"/>
      <c r="I73" s="9" t="n"/>
      <c r="J73" s="9" t="inlineStr">
        <is>
          <t>未架電</t>
        </is>
      </c>
      <c r="K73" s="8" t="n"/>
      <c r="L73" s="9" t="n"/>
      <c r="M73" s="10" t="inlineStr">
        <is>
          <t>公式サイトで確認。附属中学校と共通</t>
        </is>
      </c>
      <c r="N73" s="11" t="inlineStr">
        <is>
          <t>https://www.kodai2-h.ed.jp/access</t>
        </is>
      </c>
      <c r="O73" s="12" t="inlineStr">
        <is>
          <t>開く</t>
        </is>
      </c>
    </row>
    <row r="74">
      <c r="A74" s="4" t="n">
        <v>70</v>
      </c>
      <c r="B74" s="5" t="inlineStr">
        <is>
          <t>青森県</t>
        </is>
      </c>
      <c r="C74" s="5" t="inlineStr">
        <is>
          <t>八戸市</t>
        </is>
      </c>
      <c r="D74" s="5" t="inlineStr">
        <is>
          <t>八戸聖ウルスラ学院高等学校</t>
        </is>
      </c>
      <c r="E74" s="6" t="inlineStr">
        <is>
          <t>0178-27-2245</t>
        </is>
      </c>
      <c r="F74" s="7" t="inlineStr">
        <is>
          <t>高</t>
        </is>
      </c>
      <c r="G74" s="5" t="inlineStr">
        <is>
          <t>普通科・専門学科</t>
        </is>
      </c>
      <c r="H74" s="8" t="n"/>
      <c r="I74" s="9" t="n"/>
      <c r="J74" s="9" t="inlineStr">
        <is>
          <t>未架電</t>
        </is>
      </c>
      <c r="K74" s="8" t="n"/>
      <c r="L74" s="9" t="n"/>
      <c r="M74" s="10" t="inlineStr">
        <is>
          <t>中高共通の番号</t>
        </is>
      </c>
      <c r="N74" s="11" t="inlineStr">
        <is>
          <t>https://unesco-sdgs.mext.go.jp/stakeholders/hachinohe-st-ursula-junior-and-senior-high-school ; https://studychain.jp/koukoudb/school/4086/</t>
        </is>
      </c>
      <c r="O74" s="12" t="inlineStr">
        <is>
          <t>開く</t>
        </is>
      </c>
    </row>
    <row r="75">
      <c r="A75" s="4" t="n">
        <v>71</v>
      </c>
      <c r="B75" s="5" t="inlineStr">
        <is>
          <t>青森県</t>
        </is>
      </c>
      <c r="C75" s="5" t="inlineStr">
        <is>
          <t>弘前市</t>
        </is>
      </c>
      <c r="D75" s="5" t="inlineStr">
        <is>
          <t>弘前学院聖愛高等学校</t>
        </is>
      </c>
      <c r="E75" s="6" t="inlineStr">
        <is>
          <t>0172-87-1411</t>
        </is>
      </c>
      <c r="F75" s="7" t="inlineStr">
        <is>
          <t>高</t>
        </is>
      </c>
      <c r="G75" s="5" t="inlineStr">
        <is>
          <t>普通科</t>
        </is>
      </c>
      <c r="H75" s="8" t="n"/>
      <c r="I75" s="9" t="n"/>
      <c r="J75" s="9" t="inlineStr">
        <is>
          <t>未架電</t>
        </is>
      </c>
      <c r="K75" s="8" t="n"/>
      <c r="L75" s="9" t="n"/>
      <c r="M75" s="10" t="inlineStr">
        <is>
          <t>青森県の私立高校一覧（R4・R6版）で確認</t>
        </is>
      </c>
      <c r="N75" s="11" t="inlineStr">
        <is>
          <t>https://www.pref.aomori.lg.jp/soshiki/kodomo/kenmin/files/R6_kou.pdf</t>
        </is>
      </c>
      <c r="O75" s="12" t="inlineStr">
        <is>
          <t>開く</t>
        </is>
      </c>
    </row>
    <row r="76">
      <c r="A76" s="4" t="n">
        <v>72</v>
      </c>
      <c r="B76" s="5" t="inlineStr">
        <is>
          <t>青森県</t>
        </is>
      </c>
      <c r="C76" s="5" t="inlineStr">
        <is>
          <t>弘前市</t>
        </is>
      </c>
      <c r="D76" s="5" t="inlineStr">
        <is>
          <t>弘前東高等学校</t>
        </is>
      </c>
      <c r="E76" s="6" t="inlineStr">
        <is>
          <t>0172-27-6487</t>
        </is>
      </c>
      <c r="F76" s="7" t="inlineStr">
        <is>
          <t>高</t>
        </is>
      </c>
      <c r="G76" s="5" t="inlineStr">
        <is>
          <t>普通科・専門学科</t>
        </is>
      </c>
      <c r="H76" s="8" t="n"/>
      <c r="I76" s="9" t="n"/>
      <c r="J76" s="9" t="inlineStr">
        <is>
          <t>未架電</t>
        </is>
      </c>
      <c r="K76" s="8" t="n"/>
      <c r="L76" s="9" t="n"/>
      <c r="M76" s="10" t="inlineStr">
        <is>
          <t>公式サイトと青森県の一覧で一致</t>
        </is>
      </c>
      <c r="N76" s="11" t="inlineStr">
        <is>
          <t>https://hirosakihigashi-th.ed.jp/ ; https://www.pref.aomori.lg.jp/soshiki/soumu/gakuji/files/R5_kou.pdf</t>
        </is>
      </c>
      <c r="O76" s="12" t="inlineStr">
        <is>
          <t>開く</t>
        </is>
      </c>
    </row>
    <row r="77">
      <c r="A77" s="4" t="n">
        <v>73</v>
      </c>
      <c r="B77" s="5" t="inlineStr">
        <is>
          <t>岩手県</t>
        </is>
      </c>
      <c r="C77" s="5" t="inlineStr">
        <is>
          <t>一関市</t>
        </is>
      </c>
      <c r="D77" s="5" t="inlineStr">
        <is>
          <t>一関学院高等学校</t>
        </is>
      </c>
      <c r="E77" s="6" t="inlineStr">
        <is>
          <t>0191-23-4240</t>
        </is>
      </c>
      <c r="F77" s="7" t="inlineStr">
        <is>
          <t>高</t>
        </is>
      </c>
      <c r="G77" s="5" t="inlineStr">
        <is>
          <t>普通科</t>
        </is>
      </c>
      <c r="H77" s="8" t="n"/>
      <c r="I77" s="9" t="n"/>
      <c r="J77" s="9" t="inlineStr">
        <is>
          <t>未架電</t>
        </is>
      </c>
      <c r="K77" s="8" t="n"/>
      <c r="L77" s="9" t="n"/>
      <c r="M77" s="10" t="inlineStr">
        <is>
          <t>公式サイトで確認（全日制・通信制共通、受付8:30〜17:00）。職員室は0191-23-3906</t>
        </is>
      </c>
      <c r="N77" s="11" t="inlineStr">
        <is>
          <t>https://ichinoseki-gakuin.jp/contact/index.html ; https://www.mapion.co.jp/phonebook/M11004/03209/ILSP0000041169_ipclm/</t>
        </is>
      </c>
      <c r="O77" s="12" t="inlineStr">
        <is>
          <t>開く</t>
        </is>
      </c>
    </row>
    <row r="78">
      <c r="A78" s="4" t="n">
        <v>74</v>
      </c>
      <c r="B78" s="5" t="inlineStr">
        <is>
          <t>岩手県</t>
        </is>
      </c>
      <c r="C78" s="5" t="inlineStr">
        <is>
          <t>一関市</t>
        </is>
      </c>
      <c r="D78" s="5" t="inlineStr">
        <is>
          <t>一関修紅高等学校</t>
        </is>
      </c>
      <c r="E78" s="6" t="inlineStr">
        <is>
          <t>0191-23-3096</t>
        </is>
      </c>
      <c r="F78" s="7" t="inlineStr">
        <is>
          <t>高</t>
        </is>
      </c>
      <c r="G78" s="5" t="inlineStr">
        <is>
          <t>普通科</t>
        </is>
      </c>
      <c r="H78" s="8" t="n"/>
      <c r="I78" s="9" t="n"/>
      <c r="J78" s="9" t="inlineStr">
        <is>
          <t>未架電</t>
        </is>
      </c>
      <c r="K78" s="8" t="n"/>
      <c r="L78" s="9" t="n"/>
      <c r="M78" s="10" t="inlineStr">
        <is>
          <t>公式サイトで確認。一部サイトの0191-23-3271は旧番号の可能性あり</t>
        </is>
      </c>
      <c r="N78" s="11" t="inlineStr">
        <is>
          <t>https://shuko.ed.jp/profile/ ; https://www.mapion.co.jp/phonebook/M11004/03209/ILSP0000041931_ipclm/</t>
        </is>
      </c>
      <c r="O78" s="12" t="inlineStr">
        <is>
          <t>開く</t>
        </is>
      </c>
    </row>
    <row r="79">
      <c r="A79" s="4" t="n">
        <v>75</v>
      </c>
      <c r="B79" s="5" t="inlineStr">
        <is>
          <t>岩手県</t>
        </is>
      </c>
      <c r="C79" s="5" t="inlineStr">
        <is>
          <t>盛岡市</t>
        </is>
      </c>
      <c r="D79" s="5" t="inlineStr">
        <is>
          <t>岩手高等学校</t>
        </is>
      </c>
      <c r="E79" s="6" t="inlineStr">
        <is>
          <t>019-624-4445</t>
        </is>
      </c>
      <c r="F79" s="7" t="inlineStr">
        <is>
          <t>高</t>
        </is>
      </c>
      <c r="G79" s="5" t="inlineStr">
        <is>
          <t>普通科</t>
        </is>
      </c>
      <c r="H79" s="8" t="n"/>
      <c r="I79" s="9" t="n"/>
      <c r="J79" s="9" t="inlineStr">
        <is>
          <t>未架電</t>
        </is>
      </c>
      <c r="K79" s="8" t="n"/>
      <c r="L79" s="9" t="n"/>
      <c r="M79" s="10" t="inlineStr">
        <is>
          <t>公式サイトで確認。中高共通の番号。男子校</t>
        </is>
      </c>
      <c r="N79" s="11" t="inlineStr">
        <is>
          <t>https://iwate-jh.ed.jp/ ; https://map.yahoo.co.jp/v3/place/RvEksJmg4Wo</t>
        </is>
      </c>
      <c r="O79" s="12" t="inlineStr">
        <is>
          <t>開く</t>
        </is>
      </c>
    </row>
    <row r="80">
      <c r="A80" s="4" t="n">
        <v>76</v>
      </c>
      <c r="B80" s="5" t="inlineStr">
        <is>
          <t>岩手県</t>
        </is>
      </c>
      <c r="C80" s="5" t="inlineStr">
        <is>
          <t>盛岡市</t>
        </is>
      </c>
      <c r="D80" s="5" t="inlineStr">
        <is>
          <t>岩手女子高等学校</t>
        </is>
      </c>
      <c r="E80" s="6" t="inlineStr">
        <is>
          <t>019-623-6467</t>
        </is>
      </c>
      <c r="F80" s="7" t="inlineStr">
        <is>
          <t>高</t>
        </is>
      </c>
      <c r="G80" s="5" t="inlineStr">
        <is>
          <t>普通科・専門学科</t>
        </is>
      </c>
      <c r="H80" s="8" t="n"/>
      <c r="I80" s="9" t="n"/>
      <c r="J80" s="9" t="inlineStr">
        <is>
          <t>未架電</t>
        </is>
      </c>
      <c r="K80" s="8" t="n"/>
      <c r="L80" s="9" t="n"/>
      <c r="M80" s="10" t="inlineStr">
        <is>
          <t>公式サイトで確認</t>
        </is>
      </c>
      <c r="N80" s="11" t="inlineStr">
        <is>
          <t>https://iwatejoshi-h.ed.jp/access/index.html ; https://school.js88.com/scl_h/22028650</t>
        </is>
      </c>
      <c r="O80" s="12" t="inlineStr">
        <is>
          <t>開く</t>
        </is>
      </c>
    </row>
    <row r="81">
      <c r="A81" s="4" t="n">
        <v>77</v>
      </c>
      <c r="B81" s="5" t="inlineStr">
        <is>
          <t>岩手県</t>
        </is>
      </c>
      <c r="C81" s="5" t="inlineStr">
        <is>
          <t>盛岡市</t>
        </is>
      </c>
      <c r="D81" s="5" t="inlineStr">
        <is>
          <t>江南義塾盛岡高等学校</t>
        </is>
      </c>
      <c r="E81" s="6" t="inlineStr">
        <is>
          <t>019-646-1866</t>
        </is>
      </c>
      <c r="F81" s="7" t="inlineStr">
        <is>
          <t>高</t>
        </is>
      </c>
      <c r="G81" s="5" t="inlineStr">
        <is>
          <t>普通科</t>
        </is>
      </c>
      <c r="H81" s="8" t="n"/>
      <c r="I81" s="9" t="n"/>
      <c r="J81" s="9" t="inlineStr">
        <is>
          <t>未架電</t>
        </is>
      </c>
      <c r="K81" s="8" t="n"/>
      <c r="L81" s="9" t="n"/>
      <c r="M81" s="10" t="inlineStr">
        <is>
          <t>公式サイトの事務室の番号（通信制・盛岡本校）。職員室は019-656-1550</t>
        </is>
      </c>
      <c r="N81" s="11" t="inlineStr">
        <is>
          <t>http://kounan-h.jp/ ; https://school.js88.com/scl_h/22028670/</t>
        </is>
      </c>
      <c r="O81" s="12" t="inlineStr">
        <is>
          <t>開く</t>
        </is>
      </c>
    </row>
    <row r="82">
      <c r="A82" s="4" t="n">
        <v>78</v>
      </c>
      <c r="B82" s="5" t="inlineStr">
        <is>
          <t>岩手県</t>
        </is>
      </c>
      <c r="C82" s="5" t="inlineStr">
        <is>
          <t>北上市</t>
        </is>
      </c>
      <c r="D82" s="5" t="inlineStr">
        <is>
          <t>専修大学北上高等学校</t>
        </is>
      </c>
      <c r="E82" s="6" t="inlineStr">
        <is>
          <t>0197-63-2341</t>
        </is>
      </c>
      <c r="F82" s="7" t="inlineStr">
        <is>
          <t>高</t>
        </is>
      </c>
      <c r="G82" s="5" t="inlineStr">
        <is>
          <t>普通科・専門学科</t>
        </is>
      </c>
      <c r="H82" s="8" t="n"/>
      <c r="I82" s="9" t="n"/>
      <c r="J82" s="9" t="inlineStr">
        <is>
          <t>未架電</t>
        </is>
      </c>
      <c r="K82" s="8" t="n"/>
      <c r="L82" s="9" t="n"/>
      <c r="M82" s="10" t="inlineStr">
        <is>
          <t>公式サイトに「代表」と記載</t>
        </is>
      </c>
      <c r="N82" s="11" t="inlineStr">
        <is>
          <t>https://www.minkou.jp/hischool/school/2478/ ; https://school.js88.com/scl_h/22028730</t>
        </is>
      </c>
      <c r="O82" s="12" t="inlineStr">
        <is>
          <t>開く</t>
        </is>
      </c>
    </row>
    <row r="83">
      <c r="A83" s="4" t="n">
        <v>79</v>
      </c>
      <c r="B83" s="5" t="inlineStr">
        <is>
          <t>岩手県</t>
        </is>
      </c>
      <c r="C83" s="5" t="inlineStr">
        <is>
          <t>花巻市</t>
        </is>
      </c>
      <c r="D83" s="5" t="inlineStr">
        <is>
          <t>花巻東高等学校</t>
        </is>
      </c>
      <c r="E83" s="6" t="inlineStr">
        <is>
          <t>0198-41-1135</t>
        </is>
      </c>
      <c r="F83" s="7" t="inlineStr">
        <is>
          <t>高</t>
        </is>
      </c>
      <c r="G83" s="5" t="inlineStr">
        <is>
          <t>普通科</t>
        </is>
      </c>
      <c r="H83" s="8" t="n"/>
      <c r="I83" s="9" t="n"/>
      <c r="J83" s="9" t="inlineStr">
        <is>
          <t>未架電</t>
        </is>
      </c>
      <c r="K83" s="8" t="n"/>
      <c r="L83" s="9" t="n"/>
      <c r="M83" s="10" t="inlineStr">
        <is>
          <t>公式サイトの事務室の番号。職員室は0198-24-2825</t>
        </is>
      </c>
      <c r="N83" s="11" t="inlineStr">
        <is>
          <t>https://www.hanamakihigashi-h.jp/contact/index.php ; https://www.mapion.co.jp/phonebook/M11004/03205/ILSP0000041838_ipclm/</t>
        </is>
      </c>
      <c r="O83" s="12" t="inlineStr">
        <is>
          <t>開く</t>
        </is>
      </c>
    </row>
    <row r="84">
      <c r="A84" s="4" t="n">
        <v>80</v>
      </c>
      <c r="B84" s="5" t="inlineStr">
        <is>
          <t>岩手県</t>
        </is>
      </c>
      <c r="C84" s="5" t="inlineStr">
        <is>
          <t>奥州市</t>
        </is>
      </c>
      <c r="D84" s="5" t="inlineStr">
        <is>
          <t>水沢第一高等学校</t>
        </is>
      </c>
      <c r="E84" s="6" t="inlineStr">
        <is>
          <t>0197-24-6171</t>
        </is>
      </c>
      <c r="F84" s="7" t="inlineStr">
        <is>
          <t>高</t>
        </is>
      </c>
      <c r="G84" s="5" t="inlineStr">
        <is>
          <t>普通科・専門学科</t>
        </is>
      </c>
      <c r="H84" s="8" t="n"/>
      <c r="I84" s="9" t="n"/>
      <c r="J84" s="9" t="inlineStr">
        <is>
          <t>未架電</t>
        </is>
      </c>
      <c r="K84" s="8" t="n"/>
      <c r="L84" s="9" t="n"/>
      <c r="M84" s="10" t="inlineStr">
        <is>
          <t>公式サイトで確認。県立水沢高校（0197-24-3152）とは別の学校なので注意</t>
        </is>
      </c>
      <c r="N84" s="11" t="inlineStr">
        <is>
          <t>https://mizuichi.ed.jp/contact/index.html ; https://www.mapion.co.jp/phonebook/M11004/03215/ILSP0000041877_ipclm/</t>
        </is>
      </c>
      <c r="O84" s="12" t="inlineStr">
        <is>
          <t>開く</t>
        </is>
      </c>
    </row>
    <row r="85">
      <c r="A85" s="4" t="n">
        <v>81</v>
      </c>
      <c r="B85" s="5" t="inlineStr">
        <is>
          <t>岩手県</t>
        </is>
      </c>
      <c r="C85" s="5" t="inlineStr">
        <is>
          <t>盛岡市</t>
        </is>
      </c>
      <c r="D85" s="5" t="inlineStr">
        <is>
          <t>盛岡白百合学園高等学校</t>
        </is>
      </c>
      <c r="E85" s="6" t="inlineStr">
        <is>
          <t>019-661-6330</t>
        </is>
      </c>
      <c r="F85" s="7" t="inlineStr">
        <is>
          <t>高</t>
        </is>
      </c>
      <c r="G85" s="5" t="inlineStr">
        <is>
          <t>普通科</t>
        </is>
      </c>
      <c r="H85" s="8" t="n"/>
      <c r="I85" s="9" t="n"/>
      <c r="J85" s="9" t="inlineStr">
        <is>
          <t>未架電</t>
        </is>
      </c>
      <c r="K85" s="8" t="n"/>
      <c r="L85" s="9" t="n"/>
      <c r="M85" s="10" t="inlineStr">
        <is>
          <t>中高共通の代表番号。共学化の可能性あり（校名・体制を要確認）</t>
        </is>
      </c>
      <c r="N85" s="11" t="inlineStr">
        <is>
          <t>https://msgsp.jp/admission/ ; https://www.mapion.co.jp/phonebook/M11004/03201/ILSP0000040814_ipclm/</t>
        </is>
      </c>
      <c r="O85" s="12" t="inlineStr">
        <is>
          <t>開く</t>
        </is>
      </c>
    </row>
    <row r="86">
      <c r="A86" s="4" t="n">
        <v>82</v>
      </c>
      <c r="B86" s="5" t="inlineStr">
        <is>
          <t>岩手県</t>
        </is>
      </c>
      <c r="C86" s="5" t="inlineStr">
        <is>
          <t>盛岡市</t>
        </is>
      </c>
      <c r="D86" s="5" t="inlineStr">
        <is>
          <t>盛岡スコーレ高等学校</t>
        </is>
      </c>
      <c r="E86" s="6" t="inlineStr">
        <is>
          <t>019-636-0827</t>
        </is>
      </c>
      <c r="F86" s="13" t="inlineStr">
        <is>
          <t>中</t>
        </is>
      </c>
      <c r="G86" s="5" t="inlineStr">
        <is>
          <t>総合学科</t>
        </is>
      </c>
      <c r="H86" s="8" t="n"/>
      <c r="I86" s="9" t="n"/>
      <c r="J86" s="9" t="inlineStr">
        <is>
          <t>未架電</t>
        </is>
      </c>
      <c r="K86" s="8" t="n"/>
      <c r="L86" s="9" t="n"/>
      <c r="M86" s="10" t="inlineStr">
        <is>
          <t>JS日本の学校のみで確認。019-681-0831は高校生レストラン専用の番号</t>
        </is>
      </c>
      <c r="N86" s="11" t="inlineStr">
        <is>
          <t>https://school.js88.com/scl_h/22028690?page=7</t>
        </is>
      </c>
      <c r="O86" s="12" t="inlineStr">
        <is>
          <t>開く</t>
        </is>
      </c>
    </row>
    <row r="87">
      <c r="A87" s="4" t="n">
        <v>83</v>
      </c>
      <c r="B87" s="5" t="inlineStr">
        <is>
          <t>岩手県</t>
        </is>
      </c>
      <c r="C87" s="5" t="inlineStr">
        <is>
          <t>盛岡市</t>
        </is>
      </c>
      <c r="D87" s="5" t="inlineStr">
        <is>
          <t>盛岡誠桜高等学校</t>
        </is>
      </c>
      <c r="E87" s="6" t="inlineStr">
        <is>
          <t>019-661-3633</t>
        </is>
      </c>
      <c r="F87" s="7" t="inlineStr">
        <is>
          <t>高</t>
        </is>
      </c>
      <c r="G87" s="5" t="inlineStr">
        <is>
          <t>普通科・専門学科</t>
        </is>
      </c>
      <c r="H87" s="8" t="n"/>
      <c r="I87" s="9" t="n"/>
      <c r="J87" s="9" t="inlineStr">
        <is>
          <t>未架電</t>
        </is>
      </c>
      <c r="K87" s="8" t="n"/>
      <c r="L87" s="9" t="n"/>
      <c r="M87" s="10" t="inlineStr">
        <is>
          <t>公式サイトで確認</t>
        </is>
      </c>
      <c r="N87" s="11" t="inlineStr">
        <is>
          <t>https://www.morioka-seio.ed.jp/about_school/ ; https://www.mapion.co.jp/phonebook/M11004/03201/ILSP0000040690_ipclm/</t>
        </is>
      </c>
      <c r="O87" s="12" t="inlineStr">
        <is>
          <t>開く</t>
        </is>
      </c>
    </row>
    <row r="88">
      <c r="A88" s="4" t="n">
        <v>84</v>
      </c>
      <c r="B88" s="5" t="inlineStr">
        <is>
          <t>岩手県</t>
        </is>
      </c>
      <c r="C88" s="5" t="inlineStr">
        <is>
          <t>盛岡市</t>
        </is>
      </c>
      <c r="D88" s="5" t="inlineStr">
        <is>
          <t>盛岡大学附属高等学校</t>
        </is>
      </c>
      <c r="E88" s="6" t="inlineStr">
        <is>
          <t>019-641-1121</t>
        </is>
      </c>
      <c r="F88" s="13" t="inlineStr">
        <is>
          <t>中</t>
        </is>
      </c>
      <c r="G88" s="5" t="inlineStr">
        <is>
          <t>普通科</t>
        </is>
      </c>
      <c r="H88" s="8" t="n"/>
      <c r="I88" s="9" t="n"/>
      <c r="J88" s="9" t="inlineStr">
        <is>
          <t>未架電</t>
        </is>
      </c>
      <c r="K88" s="8" t="n"/>
      <c r="L88" s="9" t="n"/>
      <c r="M88" s="10" t="inlineStr">
        <is>
          <t>JS日本の学校のみで確認。019-688-5656は法人本部の番号</t>
        </is>
      </c>
      <c r="N88" s="11" t="inlineStr">
        <is>
          <t>https://school.js88.com/scl_h/22028680/</t>
        </is>
      </c>
      <c r="O88" s="12" t="inlineStr">
        <is>
          <t>開く</t>
        </is>
      </c>
    </row>
    <row r="89">
      <c r="A89" s="4" t="n">
        <v>85</v>
      </c>
      <c r="B89" s="5" t="inlineStr">
        <is>
          <t>岩手県</t>
        </is>
      </c>
      <c r="C89" s="5" t="inlineStr">
        <is>
          <t>盛岡市</t>
        </is>
      </c>
      <c r="D89" s="5" t="inlineStr">
        <is>
          <t>盛岡中央高等学校</t>
        </is>
      </c>
      <c r="E89" s="6" t="inlineStr">
        <is>
          <t>019-641-0458</t>
        </is>
      </c>
      <c r="F89" s="7" t="inlineStr">
        <is>
          <t>高</t>
        </is>
      </c>
      <c r="G89" s="5" t="inlineStr">
        <is>
          <t>普通科</t>
        </is>
      </c>
      <c r="H89" s="8" t="n"/>
      <c r="I89" s="9" t="n"/>
      <c r="J89" s="9" t="inlineStr">
        <is>
          <t>未架電</t>
        </is>
      </c>
      <c r="K89" s="8" t="n"/>
      <c r="L89" s="9" t="n"/>
      <c r="M89" s="10" t="inlineStr">
        <is>
          <t>2つの情報源で一致。附属中学校は別番号（019-641-0505）</t>
        </is>
      </c>
      <c r="N89" s="11" t="inlineStr">
        <is>
          <t>https://school.js88.com/scl_h/22028700?page=9 ; https://www.inter-edu.com/schools/school/1760</t>
        </is>
      </c>
      <c r="O89" s="12" t="inlineStr">
        <is>
          <t>開く</t>
        </is>
      </c>
    </row>
    <row r="90">
      <c r="A90" s="4" t="n">
        <v>86</v>
      </c>
      <c r="B90" s="5" t="inlineStr">
        <is>
          <t>宮城県</t>
        </is>
      </c>
      <c r="C90" s="5" t="inlineStr">
        <is>
          <t>大崎市</t>
        </is>
      </c>
      <c r="D90" s="5" t="inlineStr">
        <is>
          <t>大崎中央高等学校</t>
        </is>
      </c>
      <c r="E90" s="6" t="inlineStr">
        <is>
          <t>0229-22-2030</t>
        </is>
      </c>
      <c r="F90" s="7" t="inlineStr">
        <is>
          <t>高</t>
        </is>
      </c>
      <c r="G90" s="5" t="inlineStr">
        <is>
          <t>普通科</t>
        </is>
      </c>
      <c r="H90" s="8" t="n"/>
      <c r="I90" s="9" t="n"/>
      <c r="J90" s="9" t="inlineStr">
        <is>
          <t>未架電</t>
        </is>
      </c>
      <c r="K90" s="8" t="n"/>
      <c r="L90" s="9" t="n"/>
      <c r="M90" s="10" t="inlineStr">
        <is>
          <t>公式サイトで確認</t>
        </is>
      </c>
      <c r="N90" s="11" t="inlineStr">
        <is>
          <t>http://www.osakichuo.ed.jp/access.html ; https://www.pref.miyagi.jp/documents/6697/r6_meibo.pdf</t>
        </is>
      </c>
      <c r="O90" s="12" t="inlineStr">
        <is>
          <t>開く</t>
        </is>
      </c>
    </row>
    <row r="91">
      <c r="A91" s="4" t="n">
        <v>87</v>
      </c>
      <c r="B91" s="5" t="inlineStr">
        <is>
          <t>宮城県</t>
        </is>
      </c>
      <c r="C91" s="5" t="inlineStr">
        <is>
          <t>仙台市青葉区</t>
        </is>
      </c>
      <c r="D91" s="5" t="inlineStr">
        <is>
          <t>尚絅学院高等学校</t>
        </is>
      </c>
      <c r="E91" s="6" t="inlineStr">
        <is>
          <t>022-264-5881</t>
        </is>
      </c>
      <c r="F91" s="7" t="inlineStr">
        <is>
          <t>高</t>
        </is>
      </c>
      <c r="G91" s="5" t="inlineStr">
        <is>
          <t>普通科</t>
        </is>
      </c>
      <c r="H91" s="8" t="n"/>
      <c r="I91" s="9" t="n"/>
      <c r="J91" s="9" t="inlineStr">
        <is>
          <t>未架電</t>
        </is>
      </c>
      <c r="K91" s="8" t="n"/>
      <c r="L91" s="9" t="n"/>
      <c r="M91" s="10" t="inlineStr">
        <is>
          <t>公式サイトで確認。中高共通。名取市の尚絅学院大学（022-381-3300）とは別</t>
        </is>
      </c>
      <c r="N91" s="11" t="inlineStr">
        <is>
          <t>https://ap.shokei.jp/access/ ; https://school.js88.com/scl_h/22029620</t>
        </is>
      </c>
      <c r="O91" s="12" t="inlineStr">
        <is>
          <t>開く</t>
        </is>
      </c>
    </row>
    <row r="92">
      <c r="A92" s="4" t="n">
        <v>88</v>
      </c>
      <c r="B92" s="5" t="inlineStr">
        <is>
          <t>宮城県</t>
        </is>
      </c>
      <c r="C92" s="5" t="inlineStr">
        <is>
          <t>仙台市若林区</t>
        </is>
      </c>
      <c r="D92" s="5" t="inlineStr">
        <is>
          <t>聖ウルスラ学院英智高等学校</t>
        </is>
      </c>
      <c r="E92" s="6" t="inlineStr">
        <is>
          <t>022-286-3557</t>
        </is>
      </c>
      <c r="F92" s="7" t="inlineStr">
        <is>
          <t>高</t>
        </is>
      </c>
      <c r="G92" s="5" t="inlineStr">
        <is>
          <t>普通科</t>
        </is>
      </c>
      <c r="H92" s="8" t="n"/>
      <c r="I92" s="9" t="n"/>
      <c r="J92" s="9" t="inlineStr">
        <is>
          <t>未架電</t>
        </is>
      </c>
      <c r="K92" s="8" t="n"/>
      <c r="L92" s="9" t="n"/>
      <c r="M92" s="10" t="inlineStr">
        <is>
          <t>宮城県の名簿（R7）と学校情報サイトで一致。小・中学校課程は別番号（022-286-6461）</t>
        </is>
      </c>
      <c r="N92" s="11" t="inlineStr">
        <is>
          <t>https://www.pref.miyagi.jp/documents/6697/r7_meibo.pdf ; https://school.js88.com/scl_h/22029880/</t>
        </is>
      </c>
      <c r="O92" s="12" t="inlineStr">
        <is>
          <t>開く</t>
        </is>
      </c>
    </row>
    <row r="93">
      <c r="A93" s="4" t="n">
        <v>89</v>
      </c>
      <c r="B93" s="5" t="inlineStr">
        <is>
          <t>宮城県</t>
        </is>
      </c>
      <c r="C93" s="5" t="inlineStr">
        <is>
          <t>仙台市青葉区</t>
        </is>
      </c>
      <c r="D93" s="5" t="inlineStr">
        <is>
          <t>聖ドミニコ学院高等学校</t>
        </is>
      </c>
      <c r="E93" s="6" t="inlineStr">
        <is>
          <t>022-222-6337</t>
        </is>
      </c>
      <c r="F93" s="13" t="inlineStr">
        <is>
          <t>中</t>
        </is>
      </c>
      <c r="G93" s="5" t="inlineStr">
        <is>
          <t>普通科</t>
        </is>
      </c>
      <c r="H93" s="8" t="n"/>
      <c r="I93" s="9" t="n"/>
      <c r="J93" s="9" t="inlineStr">
        <is>
          <t>未架電</t>
        </is>
      </c>
      <c r="K93" s="8" t="n"/>
      <c r="L93" s="9" t="n"/>
      <c r="M93" s="10" t="inlineStr">
        <is>
          <t>JS日本の学校のみで確認。中学校と共通</t>
        </is>
      </c>
      <c r="N93" s="11" t="inlineStr">
        <is>
          <t>https://school.js88.com/scl_h/22029890/</t>
        </is>
      </c>
      <c r="O93" s="12" t="inlineStr">
        <is>
          <t>開く</t>
        </is>
      </c>
    </row>
    <row r="94">
      <c r="A94" s="4" t="n">
        <v>90</v>
      </c>
      <c r="B94" s="5" t="inlineStr">
        <is>
          <t>宮城県</t>
        </is>
      </c>
      <c r="C94" s="5" t="inlineStr">
        <is>
          <t>仙台市若林区</t>
        </is>
      </c>
      <c r="D94" s="5" t="inlineStr">
        <is>
          <t>聖和学園高等学校</t>
        </is>
      </c>
      <c r="E94" s="6" t="inlineStr">
        <is>
          <t>022-257-7777</t>
        </is>
      </c>
      <c r="F94" s="7" t="inlineStr">
        <is>
          <t>高</t>
        </is>
      </c>
      <c r="G94" s="5" t="inlineStr">
        <is>
          <t>普通科</t>
        </is>
      </c>
      <c r="H94" s="8" t="n"/>
      <c r="I94" s="9" t="n"/>
      <c r="J94" s="9" t="inlineStr">
        <is>
          <t>未架電</t>
        </is>
      </c>
      <c r="K94" s="8" t="n"/>
      <c r="L94" s="9" t="n"/>
      <c r="M94" s="10" t="inlineStr">
        <is>
          <t>公式サイトで確認（薬師堂キャンパス）。三神峯キャンパスは022-304-2030</t>
        </is>
      </c>
      <c r="N94" s="11" t="inlineStr">
        <is>
          <t>https://highschool.seiwa.ac.jp/access/</t>
        </is>
      </c>
      <c r="O94" s="12" t="inlineStr">
        <is>
          <t>開く</t>
        </is>
      </c>
    </row>
    <row r="95">
      <c r="A95" s="4" t="n">
        <v>91</v>
      </c>
      <c r="B95" s="5" t="inlineStr">
        <is>
          <t>宮城県</t>
        </is>
      </c>
      <c r="C95" s="5" t="inlineStr">
        <is>
          <t>仙台市宮城野区</t>
        </is>
      </c>
      <c r="D95" s="5" t="inlineStr">
        <is>
          <t>仙台育英学園高等学校</t>
        </is>
      </c>
      <c r="E95" s="6" t="inlineStr">
        <is>
          <t>022-256-4141</t>
        </is>
      </c>
      <c r="F95" s="7" t="inlineStr">
        <is>
          <t>高</t>
        </is>
      </c>
      <c r="G95" s="5" t="inlineStr">
        <is>
          <t>普通科</t>
        </is>
      </c>
      <c r="H95" s="8" t="n"/>
      <c r="I95" s="9" t="n"/>
      <c r="J95" s="9" t="inlineStr">
        <is>
          <t>未架電</t>
        </is>
      </c>
      <c r="K95" s="8" t="n"/>
      <c r="L95" s="9" t="n"/>
      <c r="M95" s="10" t="inlineStr">
        <is>
          <t>公式サイトで確認（宮城野校舎の代表）。多賀城校舎は022-368-4111、入試広報部は022-353-6103</t>
        </is>
      </c>
      <c r="N95" s="11" t="inlineStr">
        <is>
          <t>https://www.sendaiikuei.ed.jp/hs/access/</t>
        </is>
      </c>
      <c r="O95" s="12" t="inlineStr">
        <is>
          <t>開く</t>
        </is>
      </c>
    </row>
    <row r="96">
      <c r="A96" s="4" t="n">
        <v>92</v>
      </c>
      <c r="B96" s="5" t="inlineStr">
        <is>
          <t>宮城県</t>
        </is>
      </c>
      <c r="C96" s="5" t="inlineStr">
        <is>
          <t>仙台市泉区</t>
        </is>
      </c>
      <c r="D96" s="5" t="inlineStr">
        <is>
          <t>仙台白百合学園高等学校</t>
        </is>
      </c>
      <c r="E96" s="6" t="inlineStr">
        <is>
          <t>022-777-5777</t>
        </is>
      </c>
      <c r="F96" s="7" t="inlineStr">
        <is>
          <t>高</t>
        </is>
      </c>
      <c r="G96" s="5" t="inlineStr">
        <is>
          <t>普通科</t>
        </is>
      </c>
      <c r="H96" s="8" t="n"/>
      <c r="I96" s="9" t="n"/>
      <c r="J96" s="9" t="inlineStr">
        <is>
          <t>未架電</t>
        </is>
      </c>
      <c r="K96" s="8" t="n"/>
      <c r="L96" s="9" t="n"/>
      <c r="M96" s="10" t="inlineStr">
        <is>
          <t>公式サイトで確認。中高共通。仙台白百合女子大学とは別</t>
        </is>
      </c>
      <c r="N96" s="11" t="inlineStr">
        <is>
          <t>https://jh.sendaishirayuri.net/ ; https://www.miyagi-chukouren.com/post/</t>
        </is>
      </c>
      <c r="O96" s="12" t="inlineStr">
        <is>
          <t>開く</t>
        </is>
      </c>
    </row>
    <row r="97">
      <c r="A97" s="4" t="n">
        <v>93</v>
      </c>
      <c r="B97" s="5" t="inlineStr">
        <is>
          <t>宮城県</t>
        </is>
      </c>
      <c r="C97" s="5" t="inlineStr">
        <is>
          <t>仙台市太白区</t>
        </is>
      </c>
      <c r="D97" s="5" t="inlineStr">
        <is>
          <t>仙台城南高等学校</t>
        </is>
      </c>
      <c r="E97" s="6" t="inlineStr">
        <is>
          <t>022-305-2111</t>
        </is>
      </c>
      <c r="F97" s="7" t="inlineStr">
        <is>
          <t>高</t>
        </is>
      </c>
      <c r="G97" s="5" t="inlineStr">
        <is>
          <t>普通科・専門学科</t>
        </is>
      </c>
      <c r="H97" s="8" t="n"/>
      <c r="I97" s="9" t="n"/>
      <c r="J97" s="9" t="inlineStr">
        <is>
          <t>未架電</t>
        </is>
      </c>
      <c r="K97" s="8" t="n"/>
      <c r="L97" s="9" t="n"/>
      <c r="M97" s="10" t="inlineStr">
        <is>
          <t>学校情報サイト2件で一致、公式サイトでは未確認</t>
        </is>
      </c>
      <c r="N97" s="11" t="inlineStr">
        <is>
          <t>https://school.js88.com/scl_h/22029900</t>
        </is>
      </c>
      <c r="O97" s="12" t="inlineStr">
        <is>
          <t>開く</t>
        </is>
      </c>
    </row>
    <row r="98">
      <c r="A98" s="4" t="n">
        <v>94</v>
      </c>
      <c r="B98" s="5" t="inlineStr">
        <is>
          <t>宮城県</t>
        </is>
      </c>
      <c r="C98" s="5" t="inlineStr">
        <is>
          <t>仙台市青葉区</t>
        </is>
      </c>
      <c r="D98" s="5" t="inlineStr">
        <is>
          <t>仙台大学附属明成高等学校</t>
        </is>
      </c>
      <c r="E98" s="6" t="inlineStr">
        <is>
          <t>022-278-6131</t>
        </is>
      </c>
      <c r="F98" s="7" t="inlineStr">
        <is>
          <t>高</t>
        </is>
      </c>
      <c r="G98" s="5" t="inlineStr">
        <is>
          <t>普通科・専門学科</t>
        </is>
      </c>
      <c r="H98" s="8" t="n"/>
      <c r="I98" s="9" t="n"/>
      <c r="J98" s="9" t="inlineStr">
        <is>
          <t>未架電</t>
        </is>
      </c>
      <c r="K98" s="8" t="n"/>
      <c r="L98" s="9" t="n"/>
      <c r="M98" s="10" t="inlineStr">
        <is>
          <t>公式の令和8年度募集要項で確認。法人事務所（022-278-9136）とは別</t>
        </is>
      </c>
      <c r="N98" s="11" t="inlineStr">
        <is>
          <t>https://www.hgm.ed.jp/dnt2/_meisei/access/nic_img/7/files/r8bosyuyokopdf.pdf</t>
        </is>
      </c>
      <c r="O98" s="12" t="inlineStr">
        <is>
          <t>開く</t>
        </is>
      </c>
    </row>
    <row r="99">
      <c r="A99" s="4" t="n">
        <v>95</v>
      </c>
      <c r="B99" s="5" t="inlineStr">
        <is>
          <t>宮城県</t>
        </is>
      </c>
      <c r="C99" s="5" t="inlineStr">
        <is>
          <t>仙台市宮城野区</t>
        </is>
      </c>
      <c r="D99" s="5" t="inlineStr">
        <is>
          <t>東北学院高等学校</t>
        </is>
      </c>
      <c r="E99" s="6" t="inlineStr">
        <is>
          <t>022-786-1231</t>
        </is>
      </c>
      <c r="F99" s="7" t="inlineStr">
        <is>
          <t>高</t>
        </is>
      </c>
      <c r="G99" s="5" t="inlineStr">
        <is>
          <t>普通科</t>
        </is>
      </c>
      <c r="H99" s="8" t="n"/>
      <c r="I99" s="9" t="n"/>
      <c r="J99" s="9" t="inlineStr">
        <is>
          <t>未架電</t>
        </is>
      </c>
      <c r="K99" s="8" t="n"/>
      <c r="L99" s="9" t="n"/>
      <c r="M99" s="10" t="inlineStr">
        <is>
          <t>公式資料に「代表」と記載。中学校と共通</t>
        </is>
      </c>
      <c r="N99" s="11" t="inlineStr">
        <is>
          <t>https://www.jhs.tohoku-gakuin.ac.jp/admission/files/guidebook.pdf</t>
        </is>
      </c>
      <c r="O99" s="12" t="inlineStr">
        <is>
          <t>開く</t>
        </is>
      </c>
    </row>
    <row r="100">
      <c r="A100" s="4" t="n">
        <v>96</v>
      </c>
      <c r="B100" s="5" t="inlineStr">
        <is>
          <t>宮城県</t>
        </is>
      </c>
      <c r="C100" s="5" t="inlineStr">
        <is>
          <t>仙台市泉区</t>
        </is>
      </c>
      <c r="D100" s="5" t="inlineStr">
        <is>
          <t>東北学院榴ケ岡高等学校</t>
        </is>
      </c>
      <c r="E100" s="6" t="inlineStr">
        <is>
          <t>022-372-6611</t>
        </is>
      </c>
      <c r="F100" s="7" t="inlineStr">
        <is>
          <t>高</t>
        </is>
      </c>
      <c r="G100" s="5" t="inlineStr">
        <is>
          <t>普通科</t>
        </is>
      </c>
      <c r="H100" s="8" t="n"/>
      <c r="I100" s="9" t="n"/>
      <c r="J100" s="9" t="inlineStr">
        <is>
          <t>未架電</t>
        </is>
      </c>
      <c r="K100" s="8" t="n"/>
      <c r="L100" s="9" t="n"/>
      <c r="M100" s="10" t="inlineStr">
        <is>
          <t>公式パンフレットと入試要項で一致</t>
        </is>
      </c>
      <c r="N100" s="11" t="inlineStr">
        <is>
          <t>https://www.tutuji.tohoku-gakuin.ac.jp/admission/files/pamphlet.pdf ; https://www.tutuji.tohoku-gakuin.ac.jp/admission/data/second/youkou.pdf</t>
        </is>
      </c>
      <c r="O100" s="12" t="inlineStr">
        <is>
          <t>開く</t>
        </is>
      </c>
    </row>
    <row r="101">
      <c r="A101" s="4" t="n">
        <v>97</v>
      </c>
      <c r="B101" s="5" t="inlineStr">
        <is>
          <t>宮城県</t>
        </is>
      </c>
      <c r="C101" s="5" t="inlineStr">
        <is>
          <t>仙台市青葉区</t>
        </is>
      </c>
      <c r="D101" s="5" t="inlineStr">
        <is>
          <t>東北高等学校</t>
        </is>
      </c>
      <c r="E101" s="6" t="inlineStr">
        <is>
          <t>022-234-6361</t>
        </is>
      </c>
      <c r="F101" s="7" t="inlineStr">
        <is>
          <t>高</t>
        </is>
      </c>
      <c r="G101" s="5" t="inlineStr">
        <is>
          <t>普通科</t>
        </is>
      </c>
      <c r="H101" s="8" t="n"/>
      <c r="I101" s="9" t="n"/>
      <c r="J101" s="9" t="inlineStr">
        <is>
          <t>未架電</t>
        </is>
      </c>
      <c r="K101" s="8" t="n"/>
      <c r="L101" s="9" t="n"/>
      <c r="M101" s="10" t="inlineStr">
        <is>
          <t>小松島キャンパスの代表。泉キャンパスは022-379-6001、入試広報センターは022-234-2351</t>
        </is>
      </c>
      <c r="N101" s="11" t="inlineStr">
        <is>
          <t>https://www.tohoku.ed.jp/access/ ; https://school.js88.com/scl_h/22029570</t>
        </is>
      </c>
      <c r="O101" s="12" t="inlineStr">
        <is>
          <t>開く</t>
        </is>
      </c>
    </row>
    <row r="102">
      <c r="A102" s="4" t="n">
        <v>98</v>
      </c>
      <c r="B102" s="5" t="inlineStr">
        <is>
          <t>宮城県</t>
        </is>
      </c>
      <c r="C102" s="5" t="inlineStr">
        <is>
          <t>仙台市泉区</t>
        </is>
      </c>
      <c r="D102" s="5" t="inlineStr">
        <is>
          <t>東北生活文化大学高等学校</t>
        </is>
      </c>
      <c r="E102" s="6" t="inlineStr">
        <is>
          <t>022-272-7511</t>
        </is>
      </c>
      <c r="F102" s="7" t="inlineStr">
        <is>
          <t>高</t>
        </is>
      </c>
      <c r="G102" s="5" t="inlineStr">
        <is>
          <t>普通科・専門学科</t>
        </is>
      </c>
      <c r="H102" s="8" t="n"/>
      <c r="I102" s="9" t="n"/>
      <c r="J102" s="9" t="inlineStr">
        <is>
          <t>未架電</t>
        </is>
      </c>
      <c r="K102" s="8" t="n"/>
      <c r="L102" s="9" t="n"/>
      <c r="M102" s="10" t="inlineStr">
        <is>
          <t>公式サイトに「代表」と記載。入試広報室は022-272-7522</t>
        </is>
      </c>
      <c r="N102" s="11" t="inlineStr">
        <is>
          <t>https://www.seibun.ed.jp/contact/</t>
        </is>
      </c>
      <c r="O102" s="12" t="inlineStr">
        <is>
          <t>開く</t>
        </is>
      </c>
    </row>
    <row r="103">
      <c r="A103" s="4" t="n">
        <v>99</v>
      </c>
      <c r="B103" s="5" t="inlineStr">
        <is>
          <t>宮城県</t>
        </is>
      </c>
      <c r="C103" s="5" t="inlineStr">
        <is>
          <t>気仙沼市</t>
        </is>
      </c>
      <c r="D103" s="5" t="inlineStr">
        <is>
          <t>東陵高等学校</t>
        </is>
      </c>
      <c r="E103" s="6" t="inlineStr">
        <is>
          <t>0226-23-3100</t>
        </is>
      </c>
      <c r="F103" s="7" t="inlineStr">
        <is>
          <t>高</t>
        </is>
      </c>
      <c r="G103" s="5" t="inlineStr">
        <is>
          <t>普通科</t>
        </is>
      </c>
      <c r="H103" s="8" t="n"/>
      <c r="I103" s="9" t="n"/>
      <c r="J103" s="9" t="inlineStr">
        <is>
          <t>未架電</t>
        </is>
      </c>
      <c r="K103" s="8" t="n"/>
      <c r="L103" s="9" t="n"/>
      <c r="M103" s="10" t="inlineStr">
        <is>
          <t>宮城県の資料と学校情報サイトで一致</t>
        </is>
      </c>
      <c r="N103" s="11" t="inlineStr">
        <is>
          <t>https://www.pref.miyagi.jp/documents/17663/09kannaigakkouitiran.pdf ; https://school.js88.com/scl_h/22029940</t>
        </is>
      </c>
      <c r="O103" s="12" t="inlineStr">
        <is>
          <t>開く</t>
        </is>
      </c>
    </row>
    <row r="104">
      <c r="A104" s="4" t="n">
        <v>100</v>
      </c>
      <c r="B104" s="5" t="inlineStr">
        <is>
          <t>宮城県</t>
        </is>
      </c>
      <c r="C104" s="5" t="inlineStr">
        <is>
          <t>仙台市青葉区</t>
        </is>
      </c>
      <c r="D104" s="5" t="inlineStr">
        <is>
          <t>常盤木学園高等学校</t>
        </is>
      </c>
      <c r="E104" s="6" t="inlineStr">
        <is>
          <t>022-263-1755</t>
        </is>
      </c>
      <c r="F104" s="13" t="inlineStr">
        <is>
          <t>中</t>
        </is>
      </c>
      <c r="G104" s="5" t="inlineStr">
        <is>
          <t>普通科・専門学科</t>
        </is>
      </c>
      <c r="H104" s="8" t="n"/>
      <c r="I104" s="9" t="n"/>
      <c r="J104" s="9" t="inlineStr">
        <is>
          <t>未架電</t>
        </is>
      </c>
      <c r="K104" s="8" t="n"/>
      <c r="L104" s="9" t="n"/>
      <c r="M104" s="10" t="inlineStr">
        <is>
          <t>公式サイトでは職員室の番号。事務室（法人）は022-263-1751で、こちらを代表とするサイトもあり</t>
        </is>
      </c>
      <c r="N104" s="11" t="inlineStr">
        <is>
          <t>https://www.tokiwagi.ed.jp/ ; https://www.mapion.co.jp/phonebook/M11004/04101/ILSP0000041493_ipclm/</t>
        </is>
      </c>
      <c r="O104" s="12" t="inlineStr">
        <is>
          <t>開く</t>
        </is>
      </c>
    </row>
    <row r="105">
      <c r="A105" s="4" t="n">
        <v>101</v>
      </c>
      <c r="B105" s="5" t="inlineStr">
        <is>
          <t>宮城県</t>
        </is>
      </c>
      <c r="C105" s="5" t="inlineStr">
        <is>
          <t>七ヶ宿町</t>
        </is>
      </c>
      <c r="D105" s="5" t="inlineStr">
        <is>
          <t>西山学院高等学校</t>
        </is>
      </c>
      <c r="E105" s="6" t="inlineStr">
        <is>
          <t>0224-37-2131</t>
        </is>
      </c>
      <c r="F105" s="13" t="inlineStr">
        <is>
          <t>中</t>
        </is>
      </c>
      <c r="G105" s="5" t="inlineStr">
        <is>
          <t>普通科</t>
        </is>
      </c>
      <c r="H105" s="8" t="n"/>
      <c r="I105" s="9" t="n"/>
      <c r="J105" s="9" t="inlineStr">
        <is>
          <t>未架電</t>
        </is>
      </c>
      <c r="K105" s="8" t="n"/>
      <c r="L105" s="9" t="n"/>
      <c r="M105" s="10" t="inlineStr">
        <is>
          <t>七ヶ宿町の本校。学校情報サイト2件で一致、公式サイトでは未確認。全寮制</t>
        </is>
      </c>
      <c r="N105" s="11" t="inlineStr">
        <is>
          <t>https://school.js88.com/scl_h/22029950</t>
        </is>
      </c>
      <c r="O105" s="12" t="inlineStr">
        <is>
          <t>開く</t>
        </is>
      </c>
    </row>
    <row r="106">
      <c r="A106" s="4" t="n">
        <v>102</v>
      </c>
      <c r="B106" s="5" t="inlineStr">
        <is>
          <t>宮城県</t>
        </is>
      </c>
      <c r="C106" s="5" t="inlineStr">
        <is>
          <t>大崎市</t>
        </is>
      </c>
      <c r="D106" s="5" t="inlineStr">
        <is>
          <t>古川学園高等学校</t>
        </is>
      </c>
      <c r="E106" s="6" t="inlineStr">
        <is>
          <t>0229-22-2545</t>
        </is>
      </c>
      <c r="F106" s="13" t="inlineStr">
        <is>
          <t>中</t>
        </is>
      </c>
      <c r="G106" s="5" t="inlineStr">
        <is>
          <t>普通科・専門学科</t>
        </is>
      </c>
      <c r="H106" s="8" t="n"/>
      <c r="I106" s="9" t="n"/>
      <c r="J106" s="9" t="inlineStr">
        <is>
          <t>未架電</t>
        </is>
      </c>
      <c r="K106" s="8" t="n"/>
      <c r="L106" s="9" t="n"/>
      <c r="M106" s="10" t="inlineStr">
        <is>
          <t>学校情報サイト2件で一致、公式サイトでは未確認。中学校と共通</t>
        </is>
      </c>
      <c r="N106" s="11" t="inlineStr">
        <is>
          <t>https://school.js88.com/scl_h/22029920 ; https://www.minkou.jp/hischool/school/university/4189/</t>
        </is>
      </c>
      <c r="O106" s="12" t="inlineStr">
        <is>
          <t>開く</t>
        </is>
      </c>
    </row>
    <row r="107">
      <c r="A107" s="4" t="n">
        <v>103</v>
      </c>
      <c r="B107" s="5" t="inlineStr">
        <is>
          <t>宮城県</t>
        </is>
      </c>
      <c r="C107" s="5" t="inlineStr">
        <is>
          <t>仙台市青葉区</t>
        </is>
      </c>
      <c r="D107" s="5" t="inlineStr">
        <is>
          <t>宮城学院高等学校</t>
        </is>
      </c>
      <c r="E107" s="6" t="inlineStr">
        <is>
          <t>022-279-1331</t>
        </is>
      </c>
      <c r="F107" s="7" t="inlineStr">
        <is>
          <t>高</t>
        </is>
      </c>
      <c r="G107" s="5" t="inlineStr">
        <is>
          <t>普通科</t>
        </is>
      </c>
      <c r="H107" s="8" t="n"/>
      <c r="I107" s="9" t="n"/>
      <c r="J107" s="9" t="inlineStr">
        <is>
          <t>未架電</t>
        </is>
      </c>
      <c r="K107" s="8" t="n"/>
      <c r="L107" s="9" t="n"/>
      <c r="M107" s="10" t="inlineStr">
        <is>
          <t>宮城県私立中学高等学校連合会ほかで「代表」として一致。法人代表（022-279-1311）とは別</t>
        </is>
      </c>
      <c r="N107" s="11" t="inlineStr">
        <is>
          <t>https://www.miyagi-chukouren.com/post/ ; https://www.mapion.co.jp/phonebook/M11004/04101/ILSP0000041377_ipclm/</t>
        </is>
      </c>
      <c r="O107" s="12" t="inlineStr">
        <is>
          <t>開く</t>
        </is>
      </c>
    </row>
    <row r="108">
      <c r="A108" s="4" t="n">
        <v>104</v>
      </c>
      <c r="B108" s="5" t="inlineStr">
        <is>
          <t>秋田県</t>
        </is>
      </c>
      <c r="C108" s="5" t="inlineStr">
        <is>
          <t>大仙市</t>
        </is>
      </c>
      <c r="D108" s="5" t="inlineStr">
        <is>
          <t>秋田修英高等学校</t>
        </is>
      </c>
      <c r="E108" s="6" t="inlineStr">
        <is>
          <t>0187-63-2622</t>
        </is>
      </c>
      <c r="F108" s="7" t="inlineStr">
        <is>
          <t>高</t>
        </is>
      </c>
      <c r="G108" s="5" t="inlineStr">
        <is>
          <t>普通科・総合学科</t>
        </is>
      </c>
      <c r="H108" s="8" t="n"/>
      <c r="I108" s="9" t="n"/>
      <c r="J108" s="9" t="inlineStr">
        <is>
          <t>未架電</t>
        </is>
      </c>
      <c r="K108" s="8" t="n"/>
      <c r="L108" s="9" t="n"/>
      <c r="M108" s="10" t="inlineStr">
        <is>
          <t>Yahoo!マップと学校情報サイトで一致</t>
        </is>
      </c>
      <c r="N108" s="11" t="inlineStr">
        <is>
          <t>https://map.yahoo.co.jp/v3/place/bojoJz7KkxU ; https://school.js88.com/scl_h/22030520</t>
        </is>
      </c>
      <c r="O108" s="12" t="inlineStr">
        <is>
          <t>開く</t>
        </is>
      </c>
    </row>
    <row r="109">
      <c r="A109" s="4" t="n">
        <v>105</v>
      </c>
      <c r="B109" s="5" t="inlineStr">
        <is>
          <t>秋田県</t>
        </is>
      </c>
      <c r="C109" s="5" t="inlineStr">
        <is>
          <t>秋田市</t>
        </is>
      </c>
      <c r="D109" s="5" t="inlineStr">
        <is>
          <t>秋田令和高等学校</t>
        </is>
      </c>
      <c r="E109" s="6" t="inlineStr">
        <is>
          <t>018-833-1353</t>
        </is>
      </c>
      <c r="F109" s="13" t="inlineStr">
        <is>
          <t>中</t>
        </is>
      </c>
      <c r="G109" s="5" t="inlineStr">
        <is>
          <t>普通科</t>
        </is>
      </c>
      <c r="H109" s="8" t="n"/>
      <c r="I109" s="9" t="n"/>
      <c r="J109" s="9" t="inlineStr">
        <is>
          <t>未架電</t>
        </is>
      </c>
      <c r="K109" s="8" t="n"/>
      <c r="L109" s="9" t="n"/>
      <c r="M109" s="10" t="inlineStr">
        <is>
          <t>秋田県の高等学校一覧（R5）で確認。最新版では未確認</t>
        </is>
      </c>
      <c r="N109" s="11" t="inlineStr">
        <is>
          <t>https://www.pref.akita.lg.jp/uploads/public/archive_0000049957_00/R5秋田県高等学校一覧.pdf</t>
        </is>
      </c>
      <c r="O109" s="12" t="inlineStr">
        <is>
          <t>開く</t>
        </is>
      </c>
    </row>
    <row r="110">
      <c r="A110" s="4" t="n">
        <v>106</v>
      </c>
      <c r="B110" s="5" t="inlineStr">
        <is>
          <t>秋田県</t>
        </is>
      </c>
      <c r="C110" s="5" t="inlineStr">
        <is>
          <t>秋田市</t>
        </is>
      </c>
      <c r="D110" s="5" t="inlineStr">
        <is>
          <t>国学館高等学校</t>
        </is>
      </c>
      <c r="E110" s="6" t="inlineStr">
        <is>
          <t>018-833-6361</t>
        </is>
      </c>
      <c r="F110" s="7" t="inlineStr">
        <is>
          <t>高</t>
        </is>
      </c>
      <c r="G110" s="5" t="inlineStr">
        <is>
          <t>普通科・専門学科</t>
        </is>
      </c>
      <c r="H110" s="8" t="n"/>
      <c r="I110" s="9" t="n"/>
      <c r="J110" s="9" t="inlineStr">
        <is>
          <t>未架電</t>
        </is>
      </c>
      <c r="K110" s="8" t="n"/>
      <c r="L110" s="9" t="n"/>
      <c r="M110" s="10" t="inlineStr">
        <is>
          <t>秋田県の高等学校一覧（複数年度）で一致</t>
        </is>
      </c>
      <c r="N110" s="11" t="inlineStr">
        <is>
          <t>https://www.pref.akita.lg.jp/uploads/public/archive_0000049957_00/R5秋田県高等学校一覧.pdf</t>
        </is>
      </c>
      <c r="O110" s="12" t="inlineStr">
        <is>
          <t>開く</t>
        </is>
      </c>
    </row>
    <row r="111">
      <c r="A111" s="4" t="n">
        <v>107</v>
      </c>
      <c r="B111" s="5" t="inlineStr">
        <is>
          <t>秋田県</t>
        </is>
      </c>
      <c r="C111" s="5" t="inlineStr">
        <is>
          <t>秋田市</t>
        </is>
      </c>
      <c r="D111" s="5" t="inlineStr">
        <is>
          <t>聖霊女子短期大学付属高等学校</t>
        </is>
      </c>
      <c r="E111" s="6" t="inlineStr">
        <is>
          <t>018-833-7311</t>
        </is>
      </c>
      <c r="F111" s="7" t="inlineStr">
        <is>
          <t>高</t>
        </is>
      </c>
      <c r="G111" s="5" t="inlineStr">
        <is>
          <t>普通科</t>
        </is>
      </c>
      <c r="H111" s="8" t="n"/>
      <c r="I111" s="9" t="n"/>
      <c r="J111" s="9" t="inlineStr">
        <is>
          <t>未架電</t>
        </is>
      </c>
      <c r="K111" s="8" t="n"/>
      <c r="L111" s="9" t="n"/>
      <c r="M111" s="10" t="inlineStr">
        <is>
          <t>【校名変更】2024年4月から「聖霊学園高等学校」。018-845-4111は短大の番号なので注意</t>
        </is>
      </c>
      <c r="N111" s="11" t="inlineStr">
        <is>
          <t>https://school.js88.com/scl_h/22030490 ; https://akitajet.com/wiki/Seirei_Senior_High_School</t>
        </is>
      </c>
      <c r="O111" s="12" t="inlineStr">
        <is>
          <t>開く</t>
        </is>
      </c>
    </row>
    <row r="112">
      <c r="A112" s="4" t="n">
        <v>108</v>
      </c>
      <c r="B112" s="5" t="inlineStr">
        <is>
          <t>秋田県</t>
        </is>
      </c>
      <c r="C112" s="5" t="inlineStr">
        <is>
          <t>秋田市</t>
        </is>
      </c>
      <c r="D112" s="5" t="inlineStr">
        <is>
          <t>明桜高等学校</t>
        </is>
      </c>
      <c r="E112" s="6" t="inlineStr">
        <is>
          <t>018-836-2471</t>
        </is>
      </c>
      <c r="F112" s="7" t="inlineStr">
        <is>
          <t>高</t>
        </is>
      </c>
      <c r="G112" s="5" t="inlineStr">
        <is>
          <t>普通科</t>
        </is>
      </c>
      <c r="H112" s="8" t="n"/>
      <c r="I112" s="9" t="n"/>
      <c r="J112" s="9" t="inlineStr">
        <is>
          <t>未架電</t>
        </is>
      </c>
      <c r="K112" s="8" t="n"/>
      <c r="L112" s="9" t="n"/>
      <c r="M112" s="10" t="inlineStr">
        <is>
          <t>正式名称は「ノースアジア大学明桜高等学校」。秋田県の一覧（複数年度）で一致</t>
        </is>
      </c>
      <c r="N112" s="11" t="inlineStr">
        <is>
          <t>https://www.pref.akita.lg.jp/uploads/public/archive_0000049957_00/R5秋田県高等学校一覧.pdf</t>
        </is>
      </c>
      <c r="O112" s="12" t="inlineStr">
        <is>
          <t>開く</t>
        </is>
      </c>
    </row>
    <row r="113">
      <c r="A113" s="4" t="n">
        <v>109</v>
      </c>
      <c r="B113" s="5" t="inlineStr">
        <is>
          <t>山形県</t>
        </is>
      </c>
      <c r="C113" s="5" t="inlineStr">
        <is>
          <t>小国町</t>
        </is>
      </c>
      <c r="D113" s="5" t="inlineStr">
        <is>
          <t>基督教独立学園高等学校</t>
        </is>
      </c>
      <c r="E113" s="6" t="inlineStr">
        <is>
          <t>0238-65-2021</t>
        </is>
      </c>
      <c r="F113" s="7" t="inlineStr">
        <is>
          <t>高</t>
        </is>
      </c>
      <c r="G113" s="5" t="inlineStr">
        <is>
          <t>普通科</t>
        </is>
      </c>
      <c r="H113" s="8" t="n"/>
      <c r="I113" s="9" t="n"/>
      <c r="J113" s="9" t="inlineStr">
        <is>
          <t>未架電</t>
        </is>
      </c>
      <c r="K113" s="8" t="n"/>
      <c r="L113" s="9" t="n"/>
      <c r="M113" s="10" t="inlineStr">
        <is>
          <t>複数の情報源で一致</t>
        </is>
      </c>
      <c r="N113" s="11" t="inlineStr">
        <is>
          <t>https://school.js88.com/scl_h/22030920/ ; https://studychain.jp/koukoudb/school/1573/</t>
        </is>
      </c>
      <c r="O113" s="12" t="inlineStr">
        <is>
          <t>開く</t>
        </is>
      </c>
    </row>
    <row r="114">
      <c r="A114" s="4" t="n">
        <v>110</v>
      </c>
      <c r="B114" s="5" t="inlineStr">
        <is>
          <t>山形県</t>
        </is>
      </c>
      <c r="C114" s="5" t="inlineStr">
        <is>
          <t>米沢市</t>
        </is>
      </c>
      <c r="D114" s="5" t="inlineStr">
        <is>
          <t>九里学園高等学校</t>
        </is>
      </c>
      <c r="E114" s="6" t="inlineStr">
        <is>
          <t>0238-22-0091</t>
        </is>
      </c>
      <c r="F114" s="7" t="inlineStr">
        <is>
          <t>高</t>
        </is>
      </c>
      <c r="G114" s="5" t="inlineStr">
        <is>
          <t>普通科</t>
        </is>
      </c>
      <c r="H114" s="8" t="n"/>
      <c r="I114" s="9" t="n"/>
      <c r="J114" s="9" t="inlineStr">
        <is>
          <t>未架電</t>
        </is>
      </c>
      <c r="K114" s="8" t="n"/>
      <c r="L114" s="9" t="n"/>
      <c r="M114" s="10" t="inlineStr">
        <is>
          <t>学校情報サイトと山形県の学校法人名簿で一致</t>
        </is>
      </c>
      <c r="N114" s="11" t="inlineStr">
        <is>
          <t>https://school.js88.com/scl_h/22030900 ; https://www100.pref.yamagata.jp/documents/1101/r5meibo.pdf</t>
        </is>
      </c>
      <c r="O114" s="12" t="inlineStr">
        <is>
          <t>開く</t>
        </is>
      </c>
    </row>
    <row r="115">
      <c r="A115" s="4" t="n">
        <v>111</v>
      </c>
      <c r="B115" s="5" t="inlineStr">
        <is>
          <t>山形県</t>
        </is>
      </c>
      <c r="C115" s="5" t="inlineStr">
        <is>
          <t>酒田市</t>
        </is>
      </c>
      <c r="D115" s="5" t="inlineStr">
        <is>
          <t>酒田南高等学校</t>
        </is>
      </c>
      <c r="E115" s="6" t="inlineStr">
        <is>
          <t>0234-22-4733</t>
        </is>
      </c>
      <c r="F115" s="13" t="inlineStr">
        <is>
          <t>中</t>
        </is>
      </c>
      <c r="G115" s="5" t="inlineStr">
        <is>
          <t>普通科・専門学科</t>
        </is>
      </c>
      <c r="H115" s="8" t="n"/>
      <c r="I115" s="9" t="n"/>
      <c r="J115" s="9" t="inlineStr">
        <is>
          <t>未架電</t>
        </is>
      </c>
      <c r="K115" s="8" t="n"/>
      <c r="L115" s="9" t="n"/>
      <c r="M115" s="10" t="inlineStr">
        <is>
          <t>公式サイトの職員室の番号（浜田キャンパス）。事務室は0234-24-2900。一部サイトの0234-22-7341は旧キャンパスの番号の可能性あり</t>
        </is>
      </c>
      <c r="N115" s="11" t="inlineStr">
        <is>
          <t>https://www.sakataminami-h.ed.jp/contact/</t>
        </is>
      </c>
      <c r="O115" s="12" t="inlineStr">
        <is>
          <t>開く</t>
        </is>
      </c>
    </row>
    <row r="116">
      <c r="A116" s="4" t="n">
        <v>112</v>
      </c>
      <c r="B116" s="5" t="inlineStr">
        <is>
          <t>山形県</t>
        </is>
      </c>
      <c r="C116" s="5" t="inlineStr">
        <is>
          <t>新庄市</t>
        </is>
      </c>
      <c r="D116" s="5" t="inlineStr">
        <is>
          <t>新庄東高等学校</t>
        </is>
      </c>
      <c r="E116" s="6" t="inlineStr">
        <is>
          <t>0233-22-1562</t>
        </is>
      </c>
      <c r="F116" s="7" t="inlineStr">
        <is>
          <t>高</t>
        </is>
      </c>
      <c r="G116" s="5" t="inlineStr">
        <is>
          <t>普通科</t>
        </is>
      </c>
      <c r="H116" s="8" t="n"/>
      <c r="I116" s="9" t="n"/>
      <c r="J116" s="9" t="inlineStr">
        <is>
          <t>未架電</t>
        </is>
      </c>
      <c r="K116" s="8" t="n"/>
      <c r="L116" s="9" t="n"/>
      <c r="M116" s="10" t="inlineStr">
        <is>
          <t>公式サイトに「代表」と記載</t>
        </is>
      </c>
      <c r="N116" s="11" t="inlineStr">
        <is>
          <t>http://shinjo-east.com/access.html ; https://www.mapion.co.jp/phonebook/M11004/06205/ILSP0000041749_ipclm/</t>
        </is>
      </c>
      <c r="O116" s="12" t="inlineStr">
        <is>
          <t>開く</t>
        </is>
      </c>
    </row>
    <row r="117">
      <c r="A117" s="4" t="n">
        <v>113</v>
      </c>
      <c r="B117" s="5" t="inlineStr">
        <is>
          <t>山形県</t>
        </is>
      </c>
      <c r="C117" s="5" t="inlineStr">
        <is>
          <t>天童市</t>
        </is>
      </c>
      <c r="D117" s="5" t="inlineStr">
        <is>
          <t>創学館高等学校</t>
        </is>
      </c>
      <c r="E117" s="6" t="inlineStr">
        <is>
          <t>023-655-2321</t>
        </is>
      </c>
      <c r="F117" s="7" t="inlineStr">
        <is>
          <t>高</t>
        </is>
      </c>
      <c r="G117" s="5" t="inlineStr">
        <is>
          <t>専門学科</t>
        </is>
      </c>
      <c r="H117" s="8" t="n"/>
      <c r="I117" s="9" t="n"/>
      <c r="J117" s="9" t="inlineStr">
        <is>
          <t>未架電</t>
        </is>
      </c>
      <c r="K117" s="8" t="n"/>
      <c r="L117" s="9" t="n"/>
      <c r="M117" s="10" t="inlineStr">
        <is>
          <t>公式サイトと山形県の名簿で一致。023-655-2328は同じ法人の別の学校の番号なので注意</t>
        </is>
      </c>
      <c r="N117" s="11" t="inlineStr">
        <is>
          <t>https://sogaku.ed.jp/introduction/access ; https://www100.pref.yamagata.jp/documents/1101/r5meibo.pdf</t>
        </is>
      </c>
      <c r="O117" s="12" t="inlineStr">
        <is>
          <t>開く</t>
        </is>
      </c>
    </row>
    <row r="118">
      <c r="A118" s="4" t="n">
        <v>114</v>
      </c>
      <c r="B118" s="5" t="inlineStr">
        <is>
          <t>山形県</t>
        </is>
      </c>
      <c r="C118" s="5" t="inlineStr">
        <is>
          <t>鶴岡市</t>
        </is>
      </c>
      <c r="D118" s="5" t="inlineStr">
        <is>
          <t>鶴岡東高等学校</t>
        </is>
      </c>
      <c r="E118" s="6" t="inlineStr">
        <is>
          <t>0235-22-0223</t>
        </is>
      </c>
      <c r="F118" s="7" t="inlineStr">
        <is>
          <t>高</t>
        </is>
      </c>
      <c r="G118" s="5" t="inlineStr">
        <is>
          <t>普通科</t>
        </is>
      </c>
      <c r="H118" s="8" t="n"/>
      <c r="I118" s="9" t="n"/>
      <c r="J118" s="9" t="inlineStr">
        <is>
          <t>未架電</t>
        </is>
      </c>
      <c r="K118" s="8" t="n"/>
      <c r="L118" s="9" t="n"/>
      <c r="M118" s="10" t="inlineStr">
        <is>
          <t>学校情報サイト2件で一致</t>
        </is>
      </c>
      <c r="N118" s="11" t="inlineStr">
        <is>
          <t>https://school.js88.com/scl_h/22030940/</t>
        </is>
      </c>
      <c r="O118" s="12" t="inlineStr">
        <is>
          <t>開く</t>
        </is>
      </c>
    </row>
    <row r="119">
      <c r="A119" s="4" t="n">
        <v>115</v>
      </c>
      <c r="B119" s="5" t="inlineStr">
        <is>
          <t>山形県</t>
        </is>
      </c>
      <c r="C119" s="5" t="inlineStr">
        <is>
          <t>山形市</t>
        </is>
      </c>
      <c r="D119" s="5" t="inlineStr">
        <is>
          <t>東海大学山形高等学校</t>
        </is>
      </c>
      <c r="E119" s="6" t="inlineStr">
        <is>
          <t>023-688-3022</t>
        </is>
      </c>
      <c r="F119" s="7" t="inlineStr">
        <is>
          <t>高</t>
        </is>
      </c>
      <c r="G119" s="5" t="inlineStr">
        <is>
          <t>普通科</t>
        </is>
      </c>
      <c r="H119" s="8" t="n"/>
      <c r="I119" s="9" t="n"/>
      <c r="J119" s="9" t="inlineStr">
        <is>
          <t>未架電</t>
        </is>
      </c>
      <c r="K119" s="8" t="n"/>
      <c r="L119" s="9" t="n"/>
      <c r="M119" s="10" t="inlineStr">
        <is>
          <t>学校情報サイトと山形県の学校法人名簿で一致</t>
        </is>
      </c>
      <c r="N119" s="11" t="inlineStr">
        <is>
          <t>https://www.minkou.jp/hischool/school/2773/ ; https://www200.pref.yamagata.jp/documents/1101/r7meibo.pdf</t>
        </is>
      </c>
      <c r="O119" s="12" t="inlineStr">
        <is>
          <t>開く</t>
        </is>
      </c>
    </row>
    <row r="120">
      <c r="A120" s="4" t="n">
        <v>116</v>
      </c>
      <c r="B120" s="5" t="inlineStr">
        <is>
          <t>山形県</t>
        </is>
      </c>
      <c r="C120" s="5" t="inlineStr">
        <is>
          <t>山形市</t>
        </is>
      </c>
      <c r="D120" s="5" t="inlineStr">
        <is>
          <t>東北文教大学山形城北高等学校</t>
        </is>
      </c>
      <c r="E120" s="6" t="inlineStr">
        <is>
          <t>023-645-3377</t>
        </is>
      </c>
      <c r="F120" s="7" t="inlineStr">
        <is>
          <t>高</t>
        </is>
      </c>
      <c r="G120" s="5" t="inlineStr">
        <is>
          <t>普通科</t>
        </is>
      </c>
      <c r="H120" s="8" t="n"/>
      <c r="I120" s="9" t="n"/>
      <c r="J120" s="9" t="inlineStr">
        <is>
          <t>未架電</t>
        </is>
      </c>
      <c r="K120" s="8" t="n"/>
      <c r="L120" s="9" t="n"/>
      <c r="M120" s="10" t="inlineStr">
        <is>
          <t>公式サイトに「代表」と記載。023-688-2296は短大の番号なので注意</t>
        </is>
      </c>
      <c r="N120" s="11" t="inlineStr">
        <is>
          <t>https://www.johoku.ed.jp/school-life/</t>
        </is>
      </c>
      <c r="O120" s="12" t="inlineStr">
        <is>
          <t>開く</t>
        </is>
      </c>
    </row>
    <row r="121">
      <c r="A121" s="4" t="n">
        <v>117</v>
      </c>
      <c r="B121" s="5" t="inlineStr">
        <is>
          <t>山形県</t>
        </is>
      </c>
      <c r="C121" s="5" t="inlineStr">
        <is>
          <t>山形市</t>
        </is>
      </c>
      <c r="D121" s="5" t="inlineStr">
        <is>
          <t>日本大学山形高等学校</t>
        </is>
      </c>
      <c r="E121" s="6" t="inlineStr">
        <is>
          <t>023-641-6631</t>
        </is>
      </c>
      <c r="F121" s="7" t="inlineStr">
        <is>
          <t>高</t>
        </is>
      </c>
      <c r="G121" s="5" t="inlineStr">
        <is>
          <t>普通科</t>
        </is>
      </c>
      <c r="H121" s="8" t="n"/>
      <c r="I121" s="9" t="n"/>
      <c r="J121" s="9" t="inlineStr">
        <is>
          <t>未架電</t>
        </is>
      </c>
      <c r="K121" s="8" t="n"/>
      <c r="L121" s="9" t="n"/>
      <c r="M121" s="10" t="inlineStr">
        <is>
          <t>公式資料に「代表」と記載</t>
        </is>
      </c>
      <c r="N121" s="11" t="inlineStr">
        <is>
          <t>https://www.ymgt.hs.nihon-u.ac.jp/wp-content/uploads/2025/06/部活体験会2025チラシ.pdf</t>
        </is>
      </c>
      <c r="O121" s="12" t="inlineStr">
        <is>
          <t>開く</t>
        </is>
      </c>
    </row>
    <row r="122">
      <c r="A122" s="4" t="n">
        <v>118</v>
      </c>
      <c r="B122" s="5" t="inlineStr">
        <is>
          <t>山形県</t>
        </is>
      </c>
      <c r="C122" s="5" t="inlineStr">
        <is>
          <t>鶴岡市</t>
        </is>
      </c>
      <c r="D122" s="5" t="inlineStr">
        <is>
          <t>羽黒高等学校</t>
        </is>
      </c>
      <c r="E122" s="6" t="inlineStr">
        <is>
          <t>0235-62-2105</t>
        </is>
      </c>
      <c r="F122" s="7" t="inlineStr">
        <is>
          <t>高</t>
        </is>
      </c>
      <c r="G122" s="5" t="inlineStr">
        <is>
          <t>普通科・専門学科</t>
        </is>
      </c>
      <c r="H122" s="8" t="n"/>
      <c r="I122" s="9" t="n"/>
      <c r="J122" s="9" t="inlineStr">
        <is>
          <t>未架電</t>
        </is>
      </c>
      <c r="K122" s="8" t="n"/>
      <c r="L122" s="9" t="n"/>
      <c r="M122" s="10" t="inlineStr">
        <is>
          <t>公式サイトとマピオンで一致。0235-62-2103は法人の事業部の番号なので注意</t>
        </is>
      </c>
      <c r="N122" s="11" t="inlineStr">
        <is>
          <t>https://www.haguroko.ed.jp/ ; https://www.mapion.co.jp/phonebook/M11004/06203/ILSP0000041869_ipclm/</t>
        </is>
      </c>
      <c r="O122" s="12" t="inlineStr">
        <is>
          <t>開く</t>
        </is>
      </c>
    </row>
    <row r="123">
      <c r="A123" s="4" t="n">
        <v>119</v>
      </c>
      <c r="B123" s="5" t="inlineStr">
        <is>
          <t>山形県</t>
        </is>
      </c>
      <c r="C123" s="5" t="inlineStr">
        <is>
          <t>山形市</t>
        </is>
      </c>
      <c r="D123" s="5" t="inlineStr">
        <is>
          <t>山形学院高等学校</t>
        </is>
      </c>
      <c r="E123" s="6" t="inlineStr">
        <is>
          <t>023-641-4116</t>
        </is>
      </c>
      <c r="F123" s="7" t="inlineStr">
        <is>
          <t>高</t>
        </is>
      </c>
      <c r="G123" s="5" t="inlineStr">
        <is>
          <t>普通科・専門学科</t>
        </is>
      </c>
      <c r="H123" s="8" t="n"/>
      <c r="I123" s="9" t="n"/>
      <c r="J123" s="9" t="inlineStr">
        <is>
          <t>未架電</t>
        </is>
      </c>
      <c r="K123" s="8" t="n"/>
      <c r="L123" s="9" t="n"/>
      <c r="M123" s="10" t="inlineStr">
        <is>
          <t>公式サイトの事務室の番号。職員室は023-641-4115</t>
        </is>
      </c>
      <c r="N123" s="11" t="inlineStr">
        <is>
          <t>https://www.y-gakuin.ac.jp/about/ ; https://www200.pref.yamagata.jp/documents/1101/r7meibo.pdf</t>
        </is>
      </c>
      <c r="O123" s="12" t="inlineStr">
        <is>
          <t>開く</t>
        </is>
      </c>
    </row>
    <row r="124">
      <c r="A124" s="4" t="n">
        <v>120</v>
      </c>
      <c r="B124" s="5" t="inlineStr">
        <is>
          <t>山形県</t>
        </is>
      </c>
      <c r="C124" s="5" t="inlineStr">
        <is>
          <t>山形市</t>
        </is>
      </c>
      <c r="D124" s="5" t="inlineStr">
        <is>
          <t>山形明正高等学校</t>
        </is>
      </c>
      <c r="E124" s="6" t="inlineStr">
        <is>
          <t>023-631-2099</t>
        </is>
      </c>
      <c r="F124" s="7" t="inlineStr">
        <is>
          <t>高</t>
        </is>
      </c>
      <c r="G124" s="5" t="inlineStr">
        <is>
          <t>普通科・専門学科</t>
        </is>
      </c>
      <c r="H124" s="8" t="n"/>
      <c r="I124" s="9" t="n"/>
      <c r="J124" s="9" t="inlineStr">
        <is>
          <t>未架電</t>
        </is>
      </c>
      <c r="K124" s="8" t="n"/>
      <c r="L124" s="9" t="n"/>
      <c r="M124" s="10" t="inlineStr">
        <is>
          <t>山形県の学校法人名簿とYahoo!マップで一致</t>
        </is>
      </c>
      <c r="N124" s="11" t="inlineStr">
        <is>
          <t>https://www100.pref.yamagata.jp/documents/1101/r6meibo.pdf ; https://map.yahoo.co.jp/v3/place/MoZP1zgQvRE</t>
        </is>
      </c>
      <c r="O124" s="12" t="inlineStr">
        <is>
          <t>開く</t>
        </is>
      </c>
    </row>
    <row r="125">
      <c r="A125" s="4" t="n">
        <v>121</v>
      </c>
      <c r="B125" s="5" t="inlineStr">
        <is>
          <t>山形県</t>
        </is>
      </c>
      <c r="C125" s="5" t="inlineStr">
        <is>
          <t>山形市</t>
        </is>
      </c>
      <c r="D125" s="5" t="inlineStr">
        <is>
          <t>惺山高等学校</t>
        </is>
      </c>
      <c r="E125" s="6" t="inlineStr">
        <is>
          <t>023-643-0321</t>
        </is>
      </c>
      <c r="F125" s="7" t="inlineStr">
        <is>
          <t>高</t>
        </is>
      </c>
      <c r="G125" s="5" t="inlineStr">
        <is>
          <t>普通科・専門学科</t>
        </is>
      </c>
      <c r="H125" s="8" t="n"/>
      <c r="I125" s="9" t="n"/>
      <c r="J125" s="9" t="inlineStr">
        <is>
          <t>未架電</t>
        </is>
      </c>
      <c r="K125" s="8" t="n"/>
      <c r="L125" s="9" t="n"/>
      <c r="M125" s="10" t="inlineStr">
        <is>
          <t>【旧校名】2022年4月に山本学園高等学校から改称。通信制課程は023-679-3715</t>
        </is>
      </c>
      <c r="N125" s="11" t="inlineStr">
        <is>
          <t>https://school.js88.com/scl_h/22029820 ; https://www.minkou.jp/hischool/school/4893/</t>
        </is>
      </c>
      <c r="O125" s="12" t="inlineStr">
        <is>
          <t>開く</t>
        </is>
      </c>
    </row>
    <row r="126">
      <c r="A126" s="4" t="n">
        <v>122</v>
      </c>
      <c r="B126" s="5" t="inlineStr">
        <is>
          <t>山形県</t>
        </is>
      </c>
      <c r="C126" s="5" t="inlineStr">
        <is>
          <t>米沢市</t>
        </is>
      </c>
      <c r="D126" s="5" t="inlineStr">
        <is>
          <t>米沢中央高等学校</t>
        </is>
      </c>
      <c r="E126" s="6" t="inlineStr">
        <is>
          <t>0238-22-4223</t>
        </is>
      </c>
      <c r="F126" s="13" t="inlineStr">
        <is>
          <t>中</t>
        </is>
      </c>
      <c r="G126" s="5" t="inlineStr">
        <is>
          <t>普通科</t>
        </is>
      </c>
      <c r="H126" s="8" t="n"/>
      <c r="I126" s="9" t="n"/>
      <c r="J126" s="9" t="inlineStr">
        <is>
          <t>未架電</t>
        </is>
      </c>
      <c r="K126" s="8" t="n"/>
      <c r="L126" s="9" t="n"/>
      <c r="M126" s="10" t="inlineStr">
        <is>
          <t>学校情報サイト複数で一致、公式サイトでは未確認</t>
        </is>
      </c>
      <c r="N126" s="11" t="inlineStr">
        <is>
          <t>https://school.js88.com/scl_h/22030910?page=7 ; https://studychain.jp/koukoudb/school/5290/</t>
        </is>
      </c>
      <c r="O126" s="12" t="inlineStr">
        <is>
          <t>開く</t>
        </is>
      </c>
    </row>
    <row r="127">
      <c r="A127" s="4" t="n">
        <v>123</v>
      </c>
      <c r="B127" s="5" t="inlineStr">
        <is>
          <t>山形県</t>
        </is>
      </c>
      <c r="C127" s="5" t="inlineStr">
        <is>
          <t>酒田市</t>
        </is>
      </c>
      <c r="D127" s="5" t="inlineStr">
        <is>
          <t>和順館高等学校</t>
        </is>
      </c>
      <c r="E127" s="6" t="inlineStr">
        <is>
          <t>0234-26-1670</t>
        </is>
      </c>
      <c r="F127" s="7" t="inlineStr">
        <is>
          <t>高</t>
        </is>
      </c>
      <c r="G127" s="5" t="inlineStr">
        <is>
          <t>普通科</t>
        </is>
      </c>
      <c r="H127" s="8" t="n"/>
      <c r="I127" s="9" t="n"/>
      <c r="J127" s="9" t="inlineStr">
        <is>
          <t>未架電</t>
        </is>
      </c>
      <c r="K127" s="8" t="n"/>
      <c r="L127" s="9" t="n"/>
      <c r="M127" s="10" t="inlineStr">
        <is>
          <t>私立（酒田南高校と同じ学校法人）。通信制・単位制</t>
        </is>
      </c>
      <c r="N127" s="11" t="inlineStr">
        <is>
          <t>https://www.wajun-honbu.ac.jp/wajunkan/1.html ; https://www.mapion.co.jp/phonebook/M11004/06204/ILSP0000040809_ipclm/</t>
        </is>
      </c>
      <c r="O127" s="12" t="inlineStr">
        <is>
          <t>開く</t>
        </is>
      </c>
    </row>
    <row r="128">
      <c r="A128" s="4" t="n">
        <v>124</v>
      </c>
      <c r="B128" s="5" t="inlineStr">
        <is>
          <t>福島県</t>
        </is>
      </c>
      <c r="C128" s="5" t="inlineStr">
        <is>
          <t>会津若松市</t>
        </is>
      </c>
      <c r="D128" s="5" t="inlineStr">
        <is>
          <t>会津北嶺高等学校</t>
        </is>
      </c>
      <c r="E128" s="6" t="inlineStr">
        <is>
          <t>0242-22-1004</t>
        </is>
      </c>
      <c r="F128" s="7" t="inlineStr">
        <is>
          <t>高</t>
        </is>
      </c>
      <c r="G128" s="5" t="inlineStr">
        <is>
          <t>普通科・専門学科</t>
        </is>
      </c>
      <c r="H128" s="8" t="n"/>
      <c r="I128" s="9" t="n"/>
      <c r="J128" s="9" t="inlineStr">
        <is>
          <t>未架電</t>
        </is>
      </c>
      <c r="K128" s="8" t="n"/>
      <c r="L128" s="9" t="n"/>
      <c r="M128" s="10" t="inlineStr">
        <is>
          <t>会津若松市の資料と学校情報サイトで一致。2017年に若松第一高校から改称</t>
        </is>
      </c>
      <c r="N128" s="11" t="inlineStr">
        <is>
          <t>https://www.city.aizuwakamatsu.fukushima.jp/info/2024041000377/ ; https://school.js88.com/scl_h/22031860/</t>
        </is>
      </c>
      <c r="O128" s="12" t="inlineStr">
        <is>
          <t>開く</t>
        </is>
      </c>
    </row>
    <row r="129">
      <c r="A129" s="4" t="n">
        <v>125</v>
      </c>
      <c r="B129" s="5" t="inlineStr">
        <is>
          <t>福島県</t>
        </is>
      </c>
      <c r="C129" s="5" t="inlineStr">
        <is>
          <t>会津若松市</t>
        </is>
      </c>
      <c r="D129" s="5" t="inlineStr">
        <is>
          <t>会津若松ザベリオ学園高等学校</t>
        </is>
      </c>
      <c r="E129" s="6" t="inlineStr">
        <is>
          <t>0242-27-1970</t>
        </is>
      </c>
      <c r="F129" s="7" t="inlineStr">
        <is>
          <t>高</t>
        </is>
      </c>
      <c r="G129" s="5" t="inlineStr">
        <is>
          <t>普通科</t>
        </is>
      </c>
      <c r="H129" s="8" t="n"/>
      <c r="I129" s="9" t="n"/>
      <c r="J129" s="9" t="inlineStr">
        <is>
          <t>未架電</t>
        </is>
      </c>
      <c r="K129" s="8" t="n"/>
      <c r="L129" s="9" t="n"/>
      <c r="M129" s="10" t="inlineStr">
        <is>
          <t>公式サイトで確認。中高共通。一部の地図サイトではFAX（0242-27-3300）が電話番号として誤って載っているので注意</t>
        </is>
      </c>
      <c r="N129" s="11" t="inlineStr">
        <is>
          <t>https://www.aizu-xaverio.ed.jp/ ; https://www.city.aizuwakamatsu.fukushima.jp/info/2024041000384/</t>
        </is>
      </c>
      <c r="O129" s="12" t="inlineStr">
        <is>
          <t>開く</t>
        </is>
      </c>
    </row>
    <row r="130">
      <c r="A130" s="4" t="n">
        <v>126</v>
      </c>
      <c r="B130" s="5" t="inlineStr">
        <is>
          <t>福島県</t>
        </is>
      </c>
      <c r="C130" s="5" t="inlineStr">
        <is>
          <t>石川町</t>
        </is>
      </c>
      <c r="D130" s="5" t="inlineStr">
        <is>
          <t>石川高等学校</t>
        </is>
      </c>
      <c r="E130" s="6" t="inlineStr">
        <is>
          <t>0247-26-5151</t>
        </is>
      </c>
      <c r="F130" s="7" t="inlineStr">
        <is>
          <t>高</t>
        </is>
      </c>
      <c r="G130" s="5" t="inlineStr">
        <is>
          <t>普通科</t>
        </is>
      </c>
      <c r="H130" s="8" t="n"/>
      <c r="I130" s="9" t="n"/>
      <c r="J130" s="9" t="inlineStr">
        <is>
          <t>未架電</t>
        </is>
      </c>
      <c r="K130" s="8" t="n"/>
      <c r="L130" s="9" t="n"/>
      <c r="M130" s="10" t="inlineStr">
        <is>
          <t>私立（通称「学法石川」）。県立石川高校とは別なので注意。石川義塾中学校と共通</t>
        </is>
      </c>
      <c r="N130" s="11" t="inlineStr">
        <is>
          <t>https://ishikawa-gijuku.ac.jp/lp2020/ ; https://school.js88.com/scl_h/22031850</t>
        </is>
      </c>
      <c r="O130" s="12" t="inlineStr">
        <is>
          <t>開く</t>
        </is>
      </c>
    </row>
    <row r="131">
      <c r="A131" s="4" t="n">
        <v>127</v>
      </c>
      <c r="B131" s="5" t="inlineStr">
        <is>
          <t>福島県</t>
        </is>
      </c>
      <c r="C131" s="5" t="inlineStr">
        <is>
          <t>いわき市</t>
        </is>
      </c>
      <c r="D131" s="5" t="inlineStr">
        <is>
          <t>いわき秀英高等学校</t>
        </is>
      </c>
      <c r="E131" s="6" t="inlineStr">
        <is>
          <t>0246-75-2111</t>
        </is>
      </c>
      <c r="F131" s="7" t="inlineStr">
        <is>
          <t>高</t>
        </is>
      </c>
      <c r="G131" s="5" t="inlineStr">
        <is>
          <t>普通科</t>
        </is>
      </c>
      <c r="H131" s="8" t="n"/>
      <c r="I131" s="9" t="n"/>
      <c r="J131" s="9" t="inlineStr">
        <is>
          <t>未架電</t>
        </is>
      </c>
      <c r="K131" s="8" t="n"/>
      <c r="L131" s="9" t="n"/>
      <c r="M131" s="10" t="inlineStr">
        <is>
          <t>福島県の資料と学校情報サイトで一致</t>
        </is>
      </c>
      <c r="N131" s="11" t="inlineStr">
        <is>
          <t>https://www.pref.fukushima.lg.jp/uploaded/attachment/598705.pdf ; https://www.minkou.jp/junior/school/94497/</t>
        </is>
      </c>
      <c r="O131" s="12" t="inlineStr">
        <is>
          <t>開く</t>
        </is>
      </c>
    </row>
    <row r="132">
      <c r="A132" s="4" t="n">
        <v>128</v>
      </c>
      <c r="B132" s="5" t="inlineStr">
        <is>
          <t>福島県</t>
        </is>
      </c>
      <c r="C132" s="5" t="inlineStr">
        <is>
          <t>いわき市</t>
        </is>
      </c>
      <c r="D132" s="5" t="inlineStr">
        <is>
          <t>磐城第一高等学校</t>
        </is>
      </c>
      <c r="E132" s="6" t="inlineStr">
        <is>
          <t>0246-26-1251</t>
        </is>
      </c>
      <c r="F132" s="7" t="inlineStr">
        <is>
          <t>高</t>
        </is>
      </c>
      <c r="G132" s="5" t="inlineStr">
        <is>
          <t>普通科</t>
        </is>
      </c>
      <c r="H132" s="8" t="n"/>
      <c r="I132" s="9" t="n"/>
      <c r="J132" s="9" t="inlineStr">
        <is>
          <t>未架電</t>
        </is>
      </c>
      <c r="K132" s="8" t="n"/>
      <c r="L132" s="9" t="n"/>
      <c r="M132" s="10" t="inlineStr">
        <is>
          <t>公式サイトで確認。私立の女子校。県立磐城高校（0246-23-2566）とは別なので注意</t>
        </is>
      </c>
      <c r="N132" s="11" t="inlineStr">
        <is>
          <t>https://www.iwaki1-h.ed.jp/</t>
        </is>
      </c>
      <c r="O132" s="12" t="inlineStr">
        <is>
          <t>開く</t>
        </is>
      </c>
    </row>
    <row r="133">
      <c r="A133" s="4" t="n">
        <v>129</v>
      </c>
      <c r="B133" s="5" t="inlineStr">
        <is>
          <t>福島県</t>
        </is>
      </c>
      <c r="C133" s="5" t="inlineStr">
        <is>
          <t>いわき市</t>
        </is>
      </c>
      <c r="D133" s="5" t="inlineStr">
        <is>
          <t>磐城緑蔭高等学校</t>
        </is>
      </c>
      <c r="E133" s="6" t="inlineStr">
        <is>
          <t>0246-25-6341</t>
        </is>
      </c>
      <c r="F133" s="7" t="inlineStr">
        <is>
          <t>高</t>
        </is>
      </c>
      <c r="G133" s="5" t="inlineStr">
        <is>
          <t>普通科</t>
        </is>
      </c>
      <c r="H133" s="8" t="n"/>
      <c r="I133" s="9" t="n"/>
      <c r="J133" s="9" t="inlineStr">
        <is>
          <t>未架電</t>
        </is>
      </c>
      <c r="K133" s="8" t="n"/>
      <c r="L133" s="9" t="n"/>
      <c r="M133" s="10" t="inlineStr">
        <is>
          <t>福島県の資料と学校情報サイトで一致</t>
        </is>
      </c>
      <c r="N133" s="11" t="inlineStr">
        <is>
          <t>https://www.pref.fukushima.lg.jp/uploaded/attachment/598705.pdf ; https://school.js88.com/scl_h/22031900</t>
        </is>
      </c>
      <c r="O133" s="12" t="inlineStr">
        <is>
          <t>開く</t>
        </is>
      </c>
    </row>
    <row r="134">
      <c r="A134" s="4" t="n">
        <v>130</v>
      </c>
      <c r="B134" s="5" t="inlineStr">
        <is>
          <t>福島県</t>
        </is>
      </c>
      <c r="C134" s="5" t="inlineStr">
        <is>
          <t>郡山市</t>
        </is>
      </c>
      <c r="D134" s="5" t="inlineStr">
        <is>
          <t>郡山女子大学附属高等学校</t>
        </is>
      </c>
      <c r="E134" s="6" t="inlineStr">
        <is>
          <t>024-932-4848</t>
        </is>
      </c>
      <c r="F134" s="13" t="inlineStr">
        <is>
          <t>中</t>
        </is>
      </c>
      <c r="G134" s="5" t="inlineStr">
        <is>
          <t>普通科・専門学科</t>
        </is>
      </c>
      <c r="H134" s="8" t="n"/>
      <c r="I134" s="9" t="n"/>
      <c r="J134" s="9" t="inlineStr">
        <is>
          <t>未架電</t>
        </is>
      </c>
      <c r="K134" s="8" t="n"/>
      <c r="L134" s="9" t="n"/>
      <c r="M134" s="10" t="inlineStr">
        <is>
          <t>大学と共通の代表番号。高校に取り次いでもらう形になる可能性あり。公式サイトでは未確認</t>
        </is>
      </c>
      <c r="N134" s="11" t="inlineStr">
        <is>
          <t>https://school.js88.com/scl_h/22031810/</t>
        </is>
      </c>
      <c r="O134" s="12" t="inlineStr">
        <is>
          <t>開く</t>
        </is>
      </c>
    </row>
    <row r="135">
      <c r="A135" s="4" t="n">
        <v>131</v>
      </c>
      <c r="B135" s="5" t="inlineStr">
        <is>
          <t>福島県</t>
        </is>
      </c>
      <c r="C135" s="5" t="inlineStr">
        <is>
          <t>福島市</t>
        </is>
      </c>
      <c r="D135" s="5" t="inlineStr">
        <is>
          <t>桜の聖母学院高等学校</t>
        </is>
      </c>
      <c r="E135" s="6" t="inlineStr">
        <is>
          <t>024-535-3141</t>
        </is>
      </c>
      <c r="F135" s="7" t="inlineStr">
        <is>
          <t>高</t>
        </is>
      </c>
      <c r="G135" s="5" t="inlineStr">
        <is>
          <t>普通科・専門学科</t>
        </is>
      </c>
      <c r="H135" s="8" t="n"/>
      <c r="I135" s="9" t="n"/>
      <c r="J135" s="9" t="inlineStr">
        <is>
          <t>未架電</t>
        </is>
      </c>
      <c r="K135" s="8" t="n"/>
      <c r="L135" s="9" t="n"/>
      <c r="M135" s="10" t="inlineStr">
        <is>
          <t>福島県の資料と学校情報サイトで一致</t>
        </is>
      </c>
      <c r="N135" s="11" t="inlineStr">
        <is>
          <t>https://www.pref.fukushima.lg.jp/uploaded/attachment/598705.pdf ; https://school.js88.com/scl_h/22031780</t>
        </is>
      </c>
      <c r="O135" s="12" t="inlineStr">
        <is>
          <t>開く</t>
        </is>
      </c>
    </row>
    <row r="136">
      <c r="A136" s="4" t="n">
        <v>132</v>
      </c>
      <c r="B136" s="5" t="inlineStr">
        <is>
          <t>福島県</t>
        </is>
      </c>
      <c r="C136" s="5" t="inlineStr">
        <is>
          <t>福島市</t>
        </is>
      </c>
      <c r="D136" s="5" t="inlineStr">
        <is>
          <t>松韻学園福島高等学校</t>
        </is>
      </c>
      <c r="E136" s="6" t="inlineStr">
        <is>
          <t>024-534-3480</t>
        </is>
      </c>
      <c r="F136" s="7" t="inlineStr">
        <is>
          <t>高</t>
        </is>
      </c>
      <c r="G136" s="5" t="inlineStr">
        <is>
          <t>普通科</t>
        </is>
      </c>
      <c r="H136" s="8" t="n"/>
      <c r="I136" s="9" t="n"/>
      <c r="J136" s="9" t="inlineStr">
        <is>
          <t>未架電</t>
        </is>
      </c>
      <c r="K136" s="8" t="n"/>
      <c r="L136" s="9" t="n"/>
      <c r="M136" s="10" t="inlineStr">
        <is>
          <t>福島県の資料と学校情報サイトで一致</t>
        </is>
      </c>
      <c r="N136" s="11" t="inlineStr">
        <is>
          <t>https://www.pref.fukushima.lg.jp/uploaded/attachment/598705.pdf ; https://school.js88.com/scl_h/22031760/</t>
        </is>
      </c>
      <c r="O136" s="12" t="inlineStr">
        <is>
          <t>開く</t>
        </is>
      </c>
    </row>
    <row r="137">
      <c r="A137" s="4" t="n">
        <v>133</v>
      </c>
      <c r="B137" s="5" t="inlineStr">
        <is>
          <t>福島県</t>
        </is>
      </c>
      <c r="C137" s="5" t="inlineStr">
        <is>
          <t>郡山市</t>
        </is>
      </c>
      <c r="D137" s="5" t="inlineStr">
        <is>
          <t>尚志高等学校</t>
        </is>
      </c>
      <c r="E137" s="6" t="inlineStr">
        <is>
          <t>024-951-3500</t>
        </is>
      </c>
      <c r="F137" s="7" t="inlineStr">
        <is>
          <t>高</t>
        </is>
      </c>
      <c r="G137" s="5" t="inlineStr">
        <is>
          <t>普通科・専門学科</t>
        </is>
      </c>
      <c r="H137" s="8" t="n"/>
      <c r="I137" s="9" t="n"/>
      <c r="J137" s="9" t="inlineStr">
        <is>
          <t>未架電</t>
        </is>
      </c>
      <c r="K137" s="8" t="n"/>
      <c r="L137" s="9" t="n"/>
      <c r="M137" s="10" t="inlineStr">
        <is>
          <t>公式サイトで確認。学校法人の本部（024-951-1476）とは別</t>
        </is>
      </c>
      <c r="N137" s="11" t="inlineStr">
        <is>
          <t>https://www.shoshi.ed.jp/highschool/traffic/index.html ; https://www.mapion.co.jp/phonebook/M11004/07203/ILSP0000041943_ipclm/</t>
        </is>
      </c>
      <c r="O137" s="12" t="inlineStr">
        <is>
          <t>開く</t>
        </is>
      </c>
    </row>
    <row r="138">
      <c r="A138" s="4" t="n">
        <v>134</v>
      </c>
      <c r="B138" s="5" t="inlineStr">
        <is>
          <t>福島県</t>
        </is>
      </c>
      <c r="C138" s="5" t="inlineStr">
        <is>
          <t>会津若松市</t>
        </is>
      </c>
      <c r="D138" s="5" t="inlineStr">
        <is>
          <t>仁愛高等学校</t>
        </is>
      </c>
      <c r="E138" s="6" t="inlineStr">
        <is>
          <t>0242-25-0581</t>
        </is>
      </c>
      <c r="F138" s="7" t="inlineStr">
        <is>
          <t>高</t>
        </is>
      </c>
      <c r="G138" s="5" t="inlineStr">
        <is>
          <t>専門学科</t>
        </is>
      </c>
      <c r="H138" s="8" t="n"/>
      <c r="I138" s="9" t="n"/>
      <c r="J138" s="9" t="inlineStr">
        <is>
          <t>未架電</t>
        </is>
      </c>
      <c r="K138" s="8" t="n"/>
      <c r="L138" s="9" t="n"/>
      <c r="M138" s="10" t="inlineStr">
        <is>
          <t>福島県の資料と学校情報サイトで一致</t>
        </is>
      </c>
      <c r="N138" s="11" t="inlineStr">
        <is>
          <t>https://school.js88.com/scl_h/34028620/ ; https://www.pref.fukushima.lg.jp/uploaded/attachment/598705.pdf</t>
        </is>
      </c>
      <c r="O138" s="12" t="inlineStr">
        <is>
          <t>開く</t>
        </is>
      </c>
    </row>
    <row r="139">
      <c r="A139" s="4" t="n">
        <v>135</v>
      </c>
      <c r="B139" s="5" t="inlineStr">
        <is>
          <t>福島県</t>
        </is>
      </c>
      <c r="C139" s="5" t="inlineStr">
        <is>
          <t>伊達市</t>
        </is>
      </c>
      <c r="D139" s="5" t="inlineStr">
        <is>
          <t>聖光学院高等学校（福島県）</t>
        </is>
      </c>
      <c r="E139" s="6" t="inlineStr">
        <is>
          <t>024-583-3325</t>
        </is>
      </c>
      <c r="F139" s="7" t="inlineStr">
        <is>
          <t>高</t>
        </is>
      </c>
      <c r="G139" s="5" t="inlineStr">
        <is>
          <t>普通科・専門学科</t>
        </is>
      </c>
      <c r="H139" s="8" t="n"/>
      <c r="I139" s="9" t="n"/>
      <c r="J139" s="9" t="inlineStr">
        <is>
          <t>未架電</t>
        </is>
      </c>
      <c r="K139" s="8" t="n"/>
      <c r="L139" s="9" t="n"/>
      <c r="M139" s="10" t="inlineStr">
        <is>
          <t>公式資料に「代表」と記載（第一校舎・伊達市）。第二校舎（桑折町）は024-583-2168</t>
        </is>
      </c>
      <c r="N139" s="11" t="inlineStr">
        <is>
          <t>https://www.seikogakuin.jp/pdf_file/2023outline.pdf?v=3 ; http://www.seikogakuin.jp/</t>
        </is>
      </c>
      <c r="O139" s="12" t="inlineStr">
        <is>
          <t>開く</t>
        </is>
      </c>
    </row>
    <row r="140">
      <c r="A140" s="4" t="n">
        <v>136</v>
      </c>
      <c r="B140" s="5" t="inlineStr">
        <is>
          <t>福島県</t>
        </is>
      </c>
      <c r="C140" s="5" t="inlineStr">
        <is>
          <t>郡山市</t>
        </is>
      </c>
      <c r="D140" s="5" t="inlineStr">
        <is>
          <t>帝京安積高等学校</t>
        </is>
      </c>
      <c r="E140" s="6" t="inlineStr">
        <is>
          <t>024-941-7755</t>
        </is>
      </c>
      <c r="F140" s="7" t="inlineStr">
        <is>
          <t>高</t>
        </is>
      </c>
      <c r="G140" s="5" t="inlineStr">
        <is>
          <t>普通科・専門学科</t>
        </is>
      </c>
      <c r="H140" s="8" t="n"/>
      <c r="I140" s="9" t="n"/>
      <c r="J140" s="9" t="inlineStr">
        <is>
          <t>未架電</t>
        </is>
      </c>
      <c r="K140" s="8" t="n"/>
      <c r="L140" s="9" t="n"/>
      <c r="M140" s="10" t="inlineStr">
        <is>
          <t>学校情報サイト2件で一致、公式サイトでは未確認</t>
        </is>
      </c>
      <c r="N140" s="11" t="inlineStr">
        <is>
          <t>https://school.js88.com/scl_h/22031820</t>
        </is>
      </c>
      <c r="O140" s="12" t="inlineStr">
        <is>
          <t>開く</t>
        </is>
      </c>
    </row>
    <row r="141">
      <c r="A141" s="4" t="n">
        <v>137</v>
      </c>
      <c r="B141" s="5" t="inlineStr">
        <is>
          <t>福島県</t>
        </is>
      </c>
      <c r="C141" s="5" t="inlineStr">
        <is>
          <t>郡山市</t>
        </is>
      </c>
      <c r="D141" s="5" t="inlineStr">
        <is>
          <t>日本大学東北高等学校</t>
        </is>
      </c>
      <c r="E141" s="6" t="inlineStr">
        <is>
          <t>024-956-8840</t>
        </is>
      </c>
      <c r="F141" s="13" t="inlineStr">
        <is>
          <t>中</t>
        </is>
      </c>
      <c r="G141" s="5" t="inlineStr">
        <is>
          <t>普通科</t>
        </is>
      </c>
      <c r="H141" s="8" t="n"/>
      <c r="I141" s="9" t="n"/>
      <c r="J141" s="9" t="inlineStr">
        <is>
          <t>未架電</t>
        </is>
      </c>
      <c r="K141" s="8" t="n"/>
      <c r="L141" s="9" t="n"/>
      <c r="M141" s="10" t="inlineStr">
        <is>
          <t>公式サイトの住所欄の番号（「代表」の表記なし）。入試・学校案内の問い合わせは024-956-8838、広報部は024-956-8856</t>
        </is>
      </c>
      <c r="N141" s="11" t="inlineStr">
        <is>
          <t>https://www.tohoku.hs.nihon-u.ac.jp/inq/inq.html</t>
        </is>
      </c>
      <c r="O141" s="12" t="inlineStr">
        <is>
          <t>開く</t>
        </is>
      </c>
    </row>
    <row r="142">
      <c r="A142" s="4" t="n">
        <v>138</v>
      </c>
      <c r="B142" s="5" t="inlineStr">
        <is>
          <t>福島県</t>
        </is>
      </c>
      <c r="C142" s="5" t="inlineStr">
        <is>
          <t>いわき市</t>
        </is>
      </c>
      <c r="D142" s="5" t="inlineStr">
        <is>
          <t>東日本国際大学附属昌平高等学校</t>
        </is>
      </c>
      <c r="E142" s="6" t="inlineStr">
        <is>
          <t>0246-57-1123</t>
        </is>
      </c>
      <c r="F142" s="7" t="inlineStr">
        <is>
          <t>高</t>
        </is>
      </c>
      <c r="G142" s="5" t="inlineStr">
        <is>
          <t>普通科・専門学科</t>
        </is>
      </c>
      <c r="H142" s="8" t="n"/>
      <c r="I142" s="9" t="n"/>
      <c r="J142" s="9" t="inlineStr">
        <is>
          <t>未架電</t>
        </is>
      </c>
      <c r="K142" s="8" t="n"/>
      <c r="L142" s="9" t="n"/>
      <c r="M142" s="10" t="inlineStr">
        <is>
          <t>公式サイトに「代表」と記載。中高共通。一部サイトの0246-88-6743は公式と異なるため不採用</t>
        </is>
      </c>
      <c r="N142" s="11" t="inlineStr">
        <is>
          <t>https://shohei-chukou.ac.jp/school_guidance/access/ ; https://shohei-chukou.ac.jp/contact/</t>
        </is>
      </c>
      <c r="O142" s="12" t="inlineStr">
        <is>
          <t>開く</t>
        </is>
      </c>
    </row>
    <row r="143">
      <c r="A143" s="4" t="n">
        <v>139</v>
      </c>
      <c r="B143" s="5" t="inlineStr">
        <is>
          <t>福島県</t>
        </is>
      </c>
      <c r="C143" s="5" t="inlineStr">
        <is>
          <t>福島市</t>
        </is>
      </c>
      <c r="D143" s="5" t="inlineStr">
        <is>
          <t>福島成蹊高等学校</t>
        </is>
      </c>
      <c r="E143" s="6" t="inlineStr">
        <is>
          <t>024-522-2049</t>
        </is>
      </c>
      <c r="F143" s="7" t="inlineStr">
        <is>
          <t>高</t>
        </is>
      </c>
      <c r="G143" s="5" t="inlineStr">
        <is>
          <t>普通科</t>
        </is>
      </c>
      <c r="H143" s="8" t="n"/>
      <c r="I143" s="9" t="n"/>
      <c r="J143" s="9" t="inlineStr">
        <is>
          <t>未架電</t>
        </is>
      </c>
      <c r="K143" s="8" t="n"/>
      <c r="L143" s="9" t="n"/>
      <c r="M143" s="10" t="inlineStr">
        <is>
          <t>福島県・文部科学省の資料と学校情報サイトで一致。中学校は別番号（024-526-2282）</t>
        </is>
      </c>
      <c r="N143" s="11" t="inlineStr">
        <is>
          <t>https://www.pref.fukushima.lg.jp/uploaded/attachment/598705.pdf ; https://school.js88.com/scl_h/22031770?page=5</t>
        </is>
      </c>
      <c r="O143" s="12" t="inlineStr">
        <is>
          <t>開く</t>
        </is>
      </c>
    </row>
    <row r="144">
      <c r="A144" s="4" t="n">
        <v>140</v>
      </c>
      <c r="B144" s="5" t="inlineStr">
        <is>
          <t>福島県</t>
        </is>
      </c>
      <c r="C144" s="5" t="inlineStr">
        <is>
          <t>福島市</t>
        </is>
      </c>
      <c r="D144" s="5" t="inlineStr">
        <is>
          <t>福島東稜高等学校</t>
        </is>
      </c>
      <c r="E144" s="6" t="inlineStr">
        <is>
          <t>024-535-3316</t>
        </is>
      </c>
      <c r="F144" s="7" t="inlineStr">
        <is>
          <t>高</t>
        </is>
      </c>
      <c r="G144" s="5" t="inlineStr">
        <is>
          <t>普通科・専門学科</t>
        </is>
      </c>
      <c r="H144" s="8" t="n"/>
      <c r="I144" s="9" t="n"/>
      <c r="J144" s="9" t="inlineStr">
        <is>
          <t>未架電</t>
        </is>
      </c>
      <c r="K144" s="8" t="n"/>
      <c r="L144" s="9" t="n"/>
      <c r="M144" s="10" t="inlineStr">
        <is>
          <t>公式サイトで確認</t>
        </is>
      </c>
      <c r="N144" s="11" t="inlineStr">
        <is>
          <t>https://www.toryo.ac.jp/ ; https://www.mapion.co.jp/phonebook/M11004/07201/ILSP0000040636_ipclm/</t>
        </is>
      </c>
      <c r="O144" s="12" t="inlineStr">
        <is>
          <t>開く</t>
        </is>
      </c>
    </row>
    <row r="145">
      <c r="A145" s="4" t="n">
        <v>141</v>
      </c>
      <c r="B145" s="5" t="inlineStr">
        <is>
          <t>茨城県</t>
        </is>
      </c>
      <c r="C145" s="5" t="inlineStr">
        <is>
          <t>龍ケ崎市</t>
        </is>
      </c>
      <c r="D145" s="5" t="inlineStr">
        <is>
          <t>愛国学園大学附属龍ヶ崎高等学校</t>
        </is>
      </c>
      <c r="E145" s="6" t="inlineStr">
        <is>
          <t>0297-66-0757</t>
        </is>
      </c>
      <c r="F145" s="7" t="inlineStr">
        <is>
          <t>高</t>
        </is>
      </c>
      <c r="G145" s="5" t="inlineStr">
        <is>
          <t>普通科</t>
        </is>
      </c>
      <c r="H145" s="8" t="n"/>
      <c r="I145" s="9" t="n"/>
      <c r="J145" s="9" t="inlineStr">
        <is>
          <t>未架電</t>
        </is>
      </c>
      <c r="K145" s="8" t="n"/>
      <c r="L145" s="9" t="n"/>
      <c r="M145" s="10" t="inlineStr">
        <is>
          <t>茨城県の名簿と龍ケ崎市の資料で一致。女子校</t>
        </is>
      </c>
      <c r="N145" s="11" t="inlineStr">
        <is>
          <t>https://kyoiku.pref.ibaraki.jp/private-school/school-16/ ; https://www.city.ryugasaki.ibaraki.jp/shisei/SDGs/SDGspartner.files/aikoku.syoukai.pdf</t>
        </is>
      </c>
      <c r="O145" s="12" t="inlineStr">
        <is>
          <t>開く</t>
        </is>
      </c>
    </row>
    <row r="146">
      <c r="A146" s="4" t="n">
        <v>142</v>
      </c>
      <c r="B146" s="5" t="inlineStr">
        <is>
          <t>茨城県</t>
        </is>
      </c>
      <c r="C146" s="5" t="inlineStr">
        <is>
          <t>日立市</t>
        </is>
      </c>
      <c r="D146" s="5" t="inlineStr">
        <is>
          <t>茨城キリスト教学園高等学校</t>
        </is>
      </c>
      <c r="E146" s="6" t="inlineStr">
        <is>
          <t>0294-52-3215</t>
        </is>
      </c>
      <c r="F146" s="7" t="inlineStr">
        <is>
          <t>高</t>
        </is>
      </c>
      <c r="G146" s="5" t="inlineStr">
        <is>
          <t>普通科</t>
        </is>
      </c>
      <c r="H146" s="8" t="n"/>
      <c r="I146" s="9" t="n"/>
      <c r="J146" s="9" t="inlineStr">
        <is>
          <t>未架電</t>
        </is>
      </c>
      <c r="K146" s="8" t="n"/>
      <c r="L146" s="9" t="n"/>
      <c r="M146" s="10" t="inlineStr">
        <is>
          <t>学園の代表番号。一部サイトではFAX（0294-53-9927）が電話番号として誤って載っているので注意</t>
        </is>
      </c>
      <c r="N146" s="11" t="inlineStr">
        <is>
          <t>https://kyoiku.pref.ibaraki.jp/private-school/school-9/ ; https://school.js88.com/scl_h/22001120</t>
        </is>
      </c>
      <c r="O146" s="12" t="inlineStr">
        <is>
          <t>開く</t>
        </is>
      </c>
    </row>
    <row r="147">
      <c r="A147" s="4" t="n">
        <v>143</v>
      </c>
      <c r="B147" s="5" t="inlineStr">
        <is>
          <t>茨城県</t>
        </is>
      </c>
      <c r="C147" s="5" t="inlineStr">
        <is>
          <t>水戸市</t>
        </is>
      </c>
      <c r="D147" s="5" t="inlineStr">
        <is>
          <t>茨城高等学校</t>
        </is>
      </c>
      <c r="E147" s="6" t="inlineStr">
        <is>
          <t>029-221-4936</t>
        </is>
      </c>
      <c r="F147" s="7" t="inlineStr">
        <is>
          <t>高</t>
        </is>
      </c>
      <c r="G147" s="5" t="inlineStr">
        <is>
          <t>普通科</t>
        </is>
      </c>
      <c r="H147" s="8" t="n"/>
      <c r="I147" s="9" t="n"/>
      <c r="J147" s="9" t="inlineStr">
        <is>
          <t>未架電</t>
        </is>
      </c>
      <c r="K147" s="8" t="n"/>
      <c r="L147" s="9" t="n"/>
      <c r="M147" s="10" t="inlineStr">
        <is>
          <t>公式サイトで確認。中学校と共通</t>
        </is>
      </c>
      <c r="N147" s="11" t="inlineStr">
        <is>
          <t>https://www.ibaraki-jsh.ed.jp/access ; https://kyoiku.pref.ibaraki.jp/private-school/school-1/</t>
        </is>
      </c>
      <c r="O147" s="12" t="inlineStr">
        <is>
          <t>開く</t>
        </is>
      </c>
    </row>
    <row r="148">
      <c r="A148" s="4" t="n">
        <v>144</v>
      </c>
      <c r="B148" s="5" t="inlineStr">
        <is>
          <t>茨城県</t>
        </is>
      </c>
      <c r="C148" s="5" t="inlineStr">
        <is>
          <t>桜川市</t>
        </is>
      </c>
      <c r="D148" s="5" t="inlineStr">
        <is>
          <t>岩瀬日本大学高等学校</t>
        </is>
      </c>
      <c r="E148" s="6" t="inlineStr">
        <is>
          <t>0296-75-2242</t>
        </is>
      </c>
      <c r="F148" s="7" t="inlineStr">
        <is>
          <t>高</t>
        </is>
      </c>
      <c r="G148" s="5" t="inlineStr">
        <is>
          <t>普通科</t>
        </is>
      </c>
      <c r="H148" s="8" t="n"/>
      <c r="I148" s="9" t="n"/>
      <c r="J148" s="9" t="inlineStr">
        <is>
          <t>未架電</t>
        </is>
      </c>
      <c r="K148" s="8" t="n"/>
      <c r="L148" s="9" t="n"/>
      <c r="M148" s="10" t="inlineStr">
        <is>
          <t>公式サイトに「代表」と記載。入試広報直通は0296-75-6467</t>
        </is>
      </c>
      <c r="N148" s="11" t="inlineStr">
        <is>
          <t>https://www.tng.ac.jp/iwase/ ; https://kyoiku.pref.ibaraki.jp/private-school/school-13/</t>
        </is>
      </c>
      <c r="O148" s="12" t="inlineStr">
        <is>
          <t>開く</t>
        </is>
      </c>
    </row>
    <row r="149">
      <c r="A149" s="4" t="n">
        <v>145</v>
      </c>
      <c r="B149" s="5" t="inlineStr">
        <is>
          <t>茨城県</t>
        </is>
      </c>
      <c r="C149" s="5" t="inlineStr">
        <is>
          <t>つくば市</t>
        </is>
      </c>
      <c r="D149" s="5" t="inlineStr">
        <is>
          <t>Ｓ高等学校</t>
        </is>
      </c>
      <c r="E149" s="6" t="inlineStr">
        <is>
          <t>029-879-5801</t>
        </is>
      </c>
      <c r="F149" s="13" t="inlineStr">
        <is>
          <t>中</t>
        </is>
      </c>
      <c r="G149" s="5" t="inlineStr">
        <is>
          <t>普通科</t>
        </is>
      </c>
      <c r="H149" s="8" t="n"/>
      <c r="I149" s="9" t="n"/>
      <c r="J149" s="9" t="inlineStr">
        <is>
          <t>未架電</t>
        </is>
      </c>
      <c r="K149" s="8" t="n"/>
      <c r="L149" s="9" t="n"/>
      <c r="M149" s="10" t="inlineStr">
        <is>
          <t>茨城県の名簿に載っているつくば本校の番号（広域通信制、N高グループ）。公式の窓口は入学相談のフリーダイヤル0120-025-215</t>
        </is>
      </c>
      <c r="N149" s="11" t="inlineStr">
        <is>
          <t>https://kyoiku.pref.ibaraki.jp/private-school/school-32/</t>
        </is>
      </c>
      <c r="O149" s="12" t="inlineStr">
        <is>
          <t>開く</t>
        </is>
      </c>
    </row>
    <row r="150">
      <c r="A150" s="4" t="n">
        <v>146</v>
      </c>
      <c r="B150" s="5" t="inlineStr">
        <is>
          <t>茨城県</t>
        </is>
      </c>
      <c r="C150" s="5" t="inlineStr">
        <is>
          <t>取手市</t>
        </is>
      </c>
      <c r="D150" s="5" t="inlineStr">
        <is>
          <t>江戸川学園取手高等学校</t>
        </is>
      </c>
      <c r="E150" s="6" t="inlineStr">
        <is>
          <t>0297-74-8771</t>
        </is>
      </c>
      <c r="F150" s="7" t="inlineStr">
        <is>
          <t>高</t>
        </is>
      </c>
      <c r="G150" s="5" t="inlineStr">
        <is>
          <t>普通科</t>
        </is>
      </c>
      <c r="H150" s="8" t="n"/>
      <c r="I150" s="9" t="n"/>
      <c r="J150" s="9" t="inlineStr">
        <is>
          <t>未架電</t>
        </is>
      </c>
      <c r="K150" s="8" t="n"/>
      <c r="L150" s="9" t="n"/>
      <c r="M150" s="10" t="inlineStr">
        <is>
          <t>公式サイトに「代表」と記載。中高共通。一部サイトの0297-74-0111は公式と異なる</t>
        </is>
      </c>
      <c r="N150" s="11" t="inlineStr">
        <is>
          <t>https://www2.e-t.ed.jp/ ; https://kyoiku.pref.ibaraki.jp/private-school/school-18/</t>
        </is>
      </c>
      <c r="O150" s="12" t="inlineStr">
        <is>
          <t>開く</t>
        </is>
      </c>
    </row>
    <row r="151">
      <c r="A151" s="4" t="n">
        <v>147</v>
      </c>
      <c r="B151" s="5" t="inlineStr">
        <is>
          <t>茨城県</t>
        </is>
      </c>
      <c r="C151" s="5" t="inlineStr">
        <is>
          <t>鹿嶋市</t>
        </is>
      </c>
      <c r="D151" s="5" t="inlineStr">
        <is>
          <t>鹿島学園高等学校</t>
        </is>
      </c>
      <c r="E151" s="6" t="inlineStr">
        <is>
          <t>0299-83-3211</t>
        </is>
      </c>
      <c r="F151" s="7" t="inlineStr">
        <is>
          <t>高</t>
        </is>
      </c>
      <c r="G151" s="5" t="inlineStr">
        <is>
          <t>普通科</t>
        </is>
      </c>
      <c r="H151" s="8" t="n"/>
      <c r="I151" s="9" t="n"/>
      <c r="J151" s="9" t="inlineStr">
        <is>
          <t>未架電</t>
        </is>
      </c>
      <c r="K151" s="8" t="n"/>
      <c r="L151" s="9" t="n"/>
      <c r="M151" s="10" t="inlineStr">
        <is>
          <t>全日制の代表（公式サイト）。入試部直通は0299-83-3215。通信制の本部は0299-85-2020</t>
        </is>
      </c>
      <c r="N151" s="11" t="inlineStr">
        <is>
          <t>https://kgh.ed.jp/contact/main.html ; https://kyoiku.pref.ibaraki.jp/private-school/school-29/</t>
        </is>
      </c>
      <c r="O151" s="12" t="inlineStr">
        <is>
          <t>開く</t>
        </is>
      </c>
    </row>
    <row r="152">
      <c r="A152" s="4" t="n">
        <v>148</v>
      </c>
      <c r="B152" s="5" t="inlineStr">
        <is>
          <t>茨城県</t>
        </is>
      </c>
      <c r="C152" s="5" t="inlineStr">
        <is>
          <t>阿見町</t>
        </is>
      </c>
      <c r="D152" s="5" t="inlineStr">
        <is>
          <t>霞ヶ浦高等学校</t>
        </is>
      </c>
      <c r="E152" s="6" t="inlineStr">
        <is>
          <t>029-887-0013</t>
        </is>
      </c>
      <c r="F152" s="7" t="inlineStr">
        <is>
          <t>高</t>
        </is>
      </c>
      <c r="G152" s="5" t="inlineStr">
        <is>
          <t>普通科</t>
        </is>
      </c>
      <c r="H152" s="8" t="n"/>
      <c r="I152" s="9" t="n"/>
      <c r="J152" s="9" t="inlineStr">
        <is>
          <t>未架電</t>
        </is>
      </c>
      <c r="K152" s="8" t="n"/>
      <c r="L152" s="9" t="n"/>
      <c r="M152" s="10" t="inlineStr">
        <is>
          <t>公式サイトで確認（029-887-4755も併記）。附属中学校は別番号（029-888-8208）</t>
        </is>
      </c>
      <c r="N152" s="11" t="inlineStr">
        <is>
          <t>https://www.kasumi.ed.jp/%E3%81%8A%E5%95%8F%E3%81%84%E5%90%88%E3%82%8F%E3%81%9B/ ; https://www.town.ami.lg.jp/cmsfiles/contents/0000015/15073/kasumigaurashi.pdf</t>
        </is>
      </c>
      <c r="O152" s="12" t="inlineStr">
        <is>
          <t>開く</t>
        </is>
      </c>
    </row>
    <row r="153">
      <c r="A153" s="4" t="n">
        <v>149</v>
      </c>
      <c r="B153" s="5" t="inlineStr">
        <is>
          <t>茨城県</t>
        </is>
      </c>
      <c r="C153" s="5" t="inlineStr">
        <is>
          <t>古河市</t>
        </is>
      </c>
      <c r="D153" s="5" t="inlineStr">
        <is>
          <t>晃陽学園高等学校</t>
        </is>
      </c>
      <c r="E153" s="6" t="inlineStr">
        <is>
          <t>0280-31-5455</t>
        </is>
      </c>
      <c r="F153" s="7" t="inlineStr">
        <is>
          <t>高</t>
        </is>
      </c>
      <c r="G153" s="5" t="inlineStr">
        <is>
          <t>普通科</t>
        </is>
      </c>
      <c r="H153" s="8" t="n"/>
      <c r="I153" s="9" t="n"/>
      <c r="J153" s="9" t="inlineStr">
        <is>
          <t>未架電</t>
        </is>
      </c>
      <c r="K153" s="8" t="n"/>
      <c r="L153" s="9" t="n"/>
      <c r="M153" s="10" t="inlineStr">
        <is>
          <t>公式サイトで確認（通信制・古河本校）</t>
        </is>
      </c>
      <c r="N153" s="11" t="inlineStr">
        <is>
          <t>https://www.koyo-gakuen.ac.jp/hs/access.html</t>
        </is>
      </c>
      <c r="O153" s="12" t="inlineStr">
        <is>
          <t>開く</t>
        </is>
      </c>
    </row>
    <row r="154">
      <c r="A154" s="4" t="n">
        <v>150</v>
      </c>
      <c r="B154" s="5" t="inlineStr">
        <is>
          <t>茨城県</t>
        </is>
      </c>
      <c r="C154" s="5" t="inlineStr">
        <is>
          <t>日立市</t>
        </is>
      </c>
      <c r="D154" s="5" t="inlineStr">
        <is>
          <t>翔洋学園高等学校</t>
        </is>
      </c>
      <c r="E154" s="6" t="inlineStr">
        <is>
          <t>0294-27-1101</t>
        </is>
      </c>
      <c r="F154" s="7" t="inlineStr">
        <is>
          <t>高</t>
        </is>
      </c>
      <c r="G154" s="5" t="inlineStr">
        <is>
          <t>普通科</t>
        </is>
      </c>
      <c r="H154" s="8" t="n"/>
      <c r="I154" s="9" t="n"/>
      <c r="J154" s="9" t="inlineStr">
        <is>
          <t>未架電</t>
        </is>
      </c>
      <c r="K154" s="8" t="n"/>
      <c r="L154" s="9" t="n"/>
      <c r="M154" s="10" t="inlineStr">
        <is>
          <t>公式サイトで確認（通信制・日立本校）。入学相談は別番号（04-7199-3171）</t>
        </is>
      </c>
      <c r="N154" s="11" t="inlineStr">
        <is>
          <t>https://www.shoyo.ac.jp/school/hitachi/ ; https://www.mapion.co.jp/phonebook/M11004/08202/ILSP0000041005_ipclm/</t>
        </is>
      </c>
      <c r="O154" s="12" t="inlineStr">
        <is>
          <t>開く</t>
        </is>
      </c>
    </row>
    <row r="155">
      <c r="A155" s="4" t="n">
        <v>151</v>
      </c>
      <c r="B155" s="5" t="inlineStr">
        <is>
          <t>茨城県</t>
        </is>
      </c>
      <c r="C155" s="5" t="inlineStr">
        <is>
          <t>土浦市</t>
        </is>
      </c>
      <c r="D155" s="5" t="inlineStr">
        <is>
          <t>常総学院高等学校</t>
        </is>
      </c>
      <c r="E155" s="6" t="inlineStr">
        <is>
          <t>029-842-8771</t>
        </is>
      </c>
      <c r="F155" s="7" t="inlineStr">
        <is>
          <t>高</t>
        </is>
      </c>
      <c r="G155" s="5" t="inlineStr">
        <is>
          <t>普通科</t>
        </is>
      </c>
      <c r="H155" s="8" t="n"/>
      <c r="I155" s="9" t="n"/>
      <c r="J155" s="9" t="inlineStr">
        <is>
          <t>未架電</t>
        </is>
      </c>
      <c r="K155" s="8" t="n"/>
      <c r="L155" s="9" t="n"/>
      <c r="M155" s="10" t="inlineStr">
        <is>
          <t>公式サイトで確認。中学校は別番号（029-842-0708）</t>
        </is>
      </c>
      <c r="N155" s="11" t="inlineStr">
        <is>
          <t>https://joso.ac.jp/information-disclosure ; https://kyoiku.pref.ibaraki.jp/private-school/school-20/</t>
        </is>
      </c>
      <c r="O155" s="12" t="inlineStr">
        <is>
          <t>開く</t>
        </is>
      </c>
    </row>
    <row r="156">
      <c r="A156" s="4" t="n">
        <v>152</v>
      </c>
      <c r="B156" s="5" t="inlineStr">
        <is>
          <t>茨城県</t>
        </is>
      </c>
      <c r="C156" s="5" t="inlineStr">
        <is>
          <t>水戸市</t>
        </is>
      </c>
      <c r="D156" s="5" t="inlineStr">
        <is>
          <t>水城高等学校</t>
        </is>
      </c>
      <c r="E156" s="6" t="inlineStr">
        <is>
          <t>029-247-6509</t>
        </is>
      </c>
      <c r="F156" s="7" t="inlineStr">
        <is>
          <t>高</t>
        </is>
      </c>
      <c r="G156" s="5" t="inlineStr">
        <is>
          <t>普通科</t>
        </is>
      </c>
      <c r="H156" s="8" t="n"/>
      <c r="I156" s="9" t="n"/>
      <c r="J156" s="9" t="inlineStr">
        <is>
          <t>未架電</t>
        </is>
      </c>
      <c r="K156" s="8" t="n"/>
      <c r="L156" s="9" t="n"/>
      <c r="M156" s="10" t="inlineStr">
        <is>
          <t>茨城県教育委員会の一覧ほか複数の資料で一致</t>
        </is>
      </c>
      <c r="N156" s="11" t="inlineStr">
        <is>
          <t>https://kyoiku.pref.ibaraki.jp/gakko/private-schools/high-school/ ; https://school.js88.com/scl_h/22001180/</t>
        </is>
      </c>
      <c r="O156" s="12" t="inlineStr">
        <is>
          <t>開く</t>
        </is>
      </c>
    </row>
    <row r="157">
      <c r="A157" s="4" t="n">
        <v>153</v>
      </c>
      <c r="B157" s="5" t="inlineStr">
        <is>
          <t>茨城県</t>
        </is>
      </c>
      <c r="C157" s="5" t="inlineStr">
        <is>
          <t>鹿嶋市</t>
        </is>
      </c>
      <c r="D157" s="5" t="inlineStr">
        <is>
          <t>清真学園高等学校</t>
        </is>
      </c>
      <c r="E157" s="6" t="inlineStr">
        <is>
          <t>0299-83-1811</t>
        </is>
      </c>
      <c r="F157" s="7" t="inlineStr">
        <is>
          <t>高</t>
        </is>
      </c>
      <c r="G157" s="5" t="inlineStr">
        <is>
          <t>普通科</t>
        </is>
      </c>
      <c r="H157" s="8" t="n"/>
      <c r="I157" s="9" t="n"/>
      <c r="J157" s="9" t="inlineStr">
        <is>
          <t>未架電</t>
        </is>
      </c>
      <c r="K157" s="8" t="n"/>
      <c r="L157" s="9" t="n"/>
      <c r="M157" s="10" t="inlineStr">
        <is>
          <t>茨城県教育委員会の一覧と学校情報サイトで一致。中高一貫校</t>
        </is>
      </c>
      <c r="N157" s="11" t="inlineStr">
        <is>
          <t>https://kyoiku.pref.ibaraki.jp/gakko/private-schools/high-school/ ; https://school.js88.com/scl_h/22001240</t>
        </is>
      </c>
      <c r="O157" s="12" t="inlineStr">
        <is>
          <t>開く</t>
        </is>
      </c>
    </row>
    <row r="158">
      <c r="A158" s="4" t="n">
        <v>154</v>
      </c>
      <c r="B158" s="5" t="inlineStr">
        <is>
          <t>茨城県</t>
        </is>
      </c>
      <c r="C158" s="5" t="inlineStr">
        <is>
          <t>取手市</t>
        </is>
      </c>
      <c r="D158" s="5" t="inlineStr">
        <is>
          <t>聖徳大学附属取手聖徳女子高等学校</t>
        </is>
      </c>
      <c r="E158" s="6" t="inlineStr">
        <is>
          <t>0297-83-8111</t>
        </is>
      </c>
      <c r="F158" s="7" t="inlineStr">
        <is>
          <t>高</t>
        </is>
      </c>
      <c r="G158" s="5" t="inlineStr">
        <is>
          <t>普通科・専門学科</t>
        </is>
      </c>
      <c r="H158" s="8" t="n"/>
      <c r="I158" s="9" t="n"/>
      <c r="J158" s="9" t="inlineStr">
        <is>
          <t>未架電</t>
        </is>
      </c>
      <c r="K158" s="8" t="n"/>
      <c r="L158" s="9" t="n"/>
      <c r="M158" s="10" t="inlineStr">
        <is>
          <t>学校の資料に「代表」と記載</t>
        </is>
      </c>
      <c r="N158" s="11" t="inlineStr">
        <is>
          <t>https://www.torideseitoku.ed.jp/wp/wp-content/uploads/2023/08/2461bcab6ee07475a751ced6d068d203.pdf ; https://kyoiku.pref.ibaraki.jp/gakko/private-schools/high-school/</t>
        </is>
      </c>
      <c r="O158" s="12" t="inlineStr">
        <is>
          <t>開く</t>
        </is>
      </c>
    </row>
    <row r="159">
      <c r="A159" s="4" t="n">
        <v>155</v>
      </c>
      <c r="B159" s="5" t="inlineStr">
        <is>
          <t>茨城県</t>
        </is>
      </c>
      <c r="C159" s="5" t="inlineStr">
        <is>
          <t>水戸市</t>
        </is>
      </c>
      <c r="D159" s="5" t="inlineStr">
        <is>
          <t>大成女子高等学校</t>
        </is>
      </c>
      <c r="E159" s="6" t="inlineStr">
        <is>
          <t>029-221-4888</t>
        </is>
      </c>
      <c r="F159" s="7" t="inlineStr">
        <is>
          <t>高</t>
        </is>
      </c>
      <c r="G159" s="5" t="inlineStr">
        <is>
          <t>普通科・専門学科</t>
        </is>
      </c>
      <c r="H159" s="8" t="n"/>
      <c r="I159" s="9" t="n"/>
      <c r="J159" s="9" t="inlineStr">
        <is>
          <t>未架電</t>
        </is>
      </c>
      <c r="K159" s="8" t="n"/>
      <c r="L159" s="9" t="n"/>
      <c r="M159" s="10" t="inlineStr">
        <is>
          <t>茨城県教育委員会の一覧と学校情報サイトで一致</t>
        </is>
      </c>
      <c r="N159" s="11" t="inlineStr">
        <is>
          <t>https://kyoiku.pref.ibaraki.jp/gakko/private-schools/high-school/ ; https://school.js88.com/scl_h/22001140/</t>
        </is>
      </c>
      <c r="O159" s="12" t="inlineStr">
        <is>
          <t>開く</t>
        </is>
      </c>
    </row>
    <row r="160">
      <c r="A160" s="4" t="n">
        <v>156</v>
      </c>
      <c r="B160" s="5" t="inlineStr">
        <is>
          <t>茨城県</t>
        </is>
      </c>
      <c r="C160" s="5" t="inlineStr">
        <is>
          <t>高萩市</t>
        </is>
      </c>
      <c r="D160" s="5" t="inlineStr">
        <is>
          <t>第一学院高等学校 高萩本校</t>
        </is>
      </c>
      <c r="E160" s="6" t="inlineStr">
        <is>
          <t>0293-20-5800</t>
        </is>
      </c>
      <c r="F160" s="7" t="inlineStr">
        <is>
          <t>高</t>
        </is>
      </c>
      <c r="G160" s="5" t="inlineStr">
        <is>
          <t>総合学科</t>
        </is>
      </c>
      <c r="H160" s="8" t="n"/>
      <c r="I160" s="9" t="n"/>
      <c r="J160" s="9" t="inlineStr">
        <is>
          <t>未架電</t>
        </is>
      </c>
      <c r="K160" s="8" t="n"/>
      <c r="L160" s="9" t="n"/>
      <c r="M160" s="10" t="inlineStr">
        <is>
          <t>高萩校（通信制）の番号。公式サイトと茨城県教育委員会のページで一致</t>
        </is>
      </c>
      <c r="N160" s="11" t="inlineStr">
        <is>
          <t>https://www.daiichigakuin.ed.jp/about/outline/ ; https://kyoiku.pref.ibaraki.jp/private-school/school-35/</t>
        </is>
      </c>
      <c r="O160" s="12" t="inlineStr">
        <is>
          <t>開く</t>
        </is>
      </c>
    </row>
    <row r="161">
      <c r="A161" s="4" t="n">
        <v>157</v>
      </c>
      <c r="B161" s="5" t="inlineStr">
        <is>
          <t>茨城県</t>
        </is>
      </c>
      <c r="C161" s="5" t="inlineStr">
        <is>
          <t>牛久市</t>
        </is>
      </c>
      <c r="D161" s="5" t="inlineStr">
        <is>
          <t>つくば開成高等学校</t>
        </is>
      </c>
      <c r="E161" s="6" t="inlineStr">
        <is>
          <t>029-872-5532</t>
        </is>
      </c>
      <c r="F161" s="7" t="inlineStr">
        <is>
          <t>高</t>
        </is>
      </c>
      <c r="G161" s="5" t="inlineStr">
        <is>
          <t>普通科</t>
        </is>
      </c>
      <c r="H161" s="8" t="n"/>
      <c r="I161" s="9" t="n"/>
      <c r="J161" s="9" t="inlineStr">
        <is>
          <t>未架電</t>
        </is>
      </c>
      <c r="K161" s="8" t="n"/>
      <c r="L161" s="9" t="n"/>
      <c r="M161" s="10" t="inlineStr">
        <is>
          <t>牛久本校（通信制）の番号。土浦・守谷の学習センターは別番号</t>
        </is>
      </c>
      <c r="N161" s="11" t="inlineStr">
        <is>
          <t>https://kyoiku.pref.ibaraki.jp/private-school/school-27/ ; https://t-kaisei.ed.jp/ibaraki/</t>
        </is>
      </c>
      <c r="O161" s="12" t="inlineStr">
        <is>
          <t>開く</t>
        </is>
      </c>
    </row>
    <row r="162">
      <c r="A162" s="4" t="n">
        <v>158</v>
      </c>
      <c r="B162" s="5" t="inlineStr">
        <is>
          <t>茨城県</t>
        </is>
      </c>
      <c r="C162" s="5" t="inlineStr">
        <is>
          <t>土浦市</t>
        </is>
      </c>
      <c r="D162" s="5" t="inlineStr">
        <is>
          <t>つくば国際大学高等学校</t>
        </is>
      </c>
      <c r="E162" s="6" t="inlineStr">
        <is>
          <t>029-821-0670</t>
        </is>
      </c>
      <c r="F162" s="7" t="inlineStr">
        <is>
          <t>高</t>
        </is>
      </c>
      <c r="G162" s="5" t="inlineStr">
        <is>
          <t>普通科</t>
        </is>
      </c>
      <c r="H162" s="8" t="n"/>
      <c r="I162" s="9" t="n"/>
      <c r="J162" s="9" t="inlineStr">
        <is>
          <t>未架電</t>
        </is>
      </c>
      <c r="K162" s="8" t="n"/>
      <c r="L162" s="9" t="n"/>
      <c r="M162" s="10" t="inlineStr">
        <is>
          <t>公式サイトで確認。029-826-6000は大学の番号なので注意</t>
        </is>
      </c>
      <c r="N162" s="11" t="inlineStr">
        <is>
          <t>https://www.tiuh.ed.jp/ ; https://kyoiku.pref.ibaraki.jp/private-school/school-10/</t>
        </is>
      </c>
      <c r="O162" s="12" t="inlineStr">
        <is>
          <t>開く</t>
        </is>
      </c>
    </row>
    <row r="163">
      <c r="A163" s="4" t="n">
        <v>159</v>
      </c>
      <c r="B163" s="5" t="inlineStr">
        <is>
          <t>茨城県</t>
        </is>
      </c>
      <c r="C163" s="5" t="inlineStr">
        <is>
          <t>かすみがうら市</t>
        </is>
      </c>
      <c r="D163" s="5" t="inlineStr">
        <is>
          <t>つくば国際大学東風高等学校</t>
        </is>
      </c>
      <c r="E163" s="6" t="inlineStr">
        <is>
          <t>0299-59-7516</t>
        </is>
      </c>
      <c r="F163" s="7" t="inlineStr">
        <is>
          <t>高</t>
        </is>
      </c>
      <c r="G163" s="5" t="inlineStr">
        <is>
          <t>普通科</t>
        </is>
      </c>
      <c r="H163" s="8" t="n"/>
      <c r="I163" s="9" t="n"/>
      <c r="J163" s="9" t="inlineStr">
        <is>
          <t>未架電</t>
        </is>
      </c>
      <c r="K163" s="8" t="n"/>
      <c r="L163" s="9" t="n"/>
      <c r="M163" s="10" t="inlineStr">
        <is>
          <t>公式サイトで確認</t>
        </is>
      </c>
      <c r="N163" s="11" t="inlineStr">
        <is>
          <t>https://www.harukaze.ed.jp/ ; https://kyoiku.pref.ibaraki.jp/private-school/school-11/</t>
        </is>
      </c>
      <c r="O163" s="12" t="inlineStr">
        <is>
          <t>開く</t>
        </is>
      </c>
    </row>
    <row r="164">
      <c r="A164" s="4" t="n">
        <v>160</v>
      </c>
      <c r="B164" s="5" t="inlineStr">
        <is>
          <t>茨城県</t>
        </is>
      </c>
      <c r="C164" s="5" t="inlineStr">
        <is>
          <t>つくば市</t>
        </is>
      </c>
      <c r="D164" s="5" t="inlineStr">
        <is>
          <t>つくば秀英高等学校</t>
        </is>
      </c>
      <c r="E164" s="6" t="inlineStr">
        <is>
          <t>029-847-1611</t>
        </is>
      </c>
      <c r="F164" s="7" t="inlineStr">
        <is>
          <t>高</t>
        </is>
      </c>
      <c r="G164" s="5" t="inlineStr">
        <is>
          <t>普通科</t>
        </is>
      </c>
      <c r="H164" s="8" t="n"/>
      <c r="I164" s="9" t="n"/>
      <c r="J164" s="9" t="inlineStr">
        <is>
          <t>未架電</t>
        </is>
      </c>
      <c r="K164" s="8" t="n"/>
      <c r="L164" s="9" t="n"/>
      <c r="M164" s="10" t="inlineStr">
        <is>
          <t>公式サイトで確認</t>
        </is>
      </c>
      <c r="N164" s="11" t="inlineStr">
        <is>
          <t>https://tsukubashuei.com/contact.html ; https://kyoiku.pref.ibaraki.jp/private-school/school-23/</t>
        </is>
      </c>
      <c r="O164" s="12" t="inlineStr">
        <is>
          <t>開く</t>
        </is>
      </c>
    </row>
    <row r="165">
      <c r="A165" s="4" t="n">
        <v>161</v>
      </c>
      <c r="B165" s="5" t="inlineStr">
        <is>
          <t>茨城県</t>
        </is>
      </c>
      <c r="C165" s="5" t="inlineStr">
        <is>
          <t>土浦市</t>
        </is>
      </c>
      <c r="D165" s="5" t="inlineStr">
        <is>
          <t>土浦日本大学高等学校</t>
        </is>
      </c>
      <c r="E165" s="6" t="inlineStr">
        <is>
          <t>029-822-3382</t>
        </is>
      </c>
      <c r="F165" s="7" t="inlineStr">
        <is>
          <t>高</t>
        </is>
      </c>
      <c r="G165" s="5" t="inlineStr">
        <is>
          <t>普通科</t>
        </is>
      </c>
      <c r="H165" s="8" t="n"/>
      <c r="I165" s="9" t="n"/>
      <c r="J165" s="9" t="inlineStr">
        <is>
          <t>未架電</t>
        </is>
      </c>
      <c r="K165" s="8" t="n"/>
      <c r="L165" s="9" t="n"/>
      <c r="M165" s="10" t="inlineStr">
        <is>
          <t>公式の募集要項に「代表」と記載。土浦日本大学中等教育学校（029-835-3907）は別の学校</t>
        </is>
      </c>
      <c r="N165" s="11" t="inlineStr">
        <is>
          <t>https://tng.ac.jp/tsuchiura/files/items/2756/File/2026_AO.pdf</t>
        </is>
      </c>
      <c r="O165" s="12" t="inlineStr">
        <is>
          <t>開く</t>
        </is>
      </c>
    </row>
    <row r="166">
      <c r="A166" s="4" t="n">
        <v>162</v>
      </c>
      <c r="B166" s="5" t="inlineStr">
        <is>
          <t>茨城県</t>
        </is>
      </c>
      <c r="C166" s="5" t="inlineStr">
        <is>
          <t>牛久市</t>
        </is>
      </c>
      <c r="D166" s="5" t="inlineStr">
        <is>
          <t>東洋大学附属牛久高等学校</t>
        </is>
      </c>
      <c r="E166" s="6" t="inlineStr">
        <is>
          <t>029-872-0350</t>
        </is>
      </c>
      <c r="F166" s="7" t="inlineStr">
        <is>
          <t>高</t>
        </is>
      </c>
      <c r="G166" s="5" t="inlineStr">
        <is>
          <t>普通科</t>
        </is>
      </c>
      <c r="H166" s="8" t="n"/>
      <c r="I166" s="9" t="n"/>
      <c r="J166" s="9" t="inlineStr">
        <is>
          <t>未架電</t>
        </is>
      </c>
      <c r="K166" s="8" t="n"/>
      <c r="L166" s="9" t="n"/>
      <c r="M166" s="10" t="inlineStr">
        <is>
          <t>公式の募集要項に「代表」と記載</t>
        </is>
      </c>
      <c r="N166" s="11" t="inlineStr">
        <is>
          <t>https://www.toyo.ac.jp/ushiku/assets/2026boshuyoko.pdf</t>
        </is>
      </c>
      <c r="O166" s="12" t="inlineStr">
        <is>
          <t>開く</t>
        </is>
      </c>
    </row>
    <row r="167">
      <c r="A167" s="4" t="n">
        <v>163</v>
      </c>
      <c r="B167" s="5" t="inlineStr">
        <is>
          <t>茨城県</t>
        </is>
      </c>
      <c r="C167" s="5" t="inlineStr">
        <is>
          <t>水戸市</t>
        </is>
      </c>
      <c r="D167" s="5" t="inlineStr">
        <is>
          <t>常磐大学高等学校</t>
        </is>
      </c>
      <c r="E167" s="6" t="inlineStr">
        <is>
          <t>029-224-1707</t>
        </is>
      </c>
      <c r="F167" s="7" t="inlineStr">
        <is>
          <t>高</t>
        </is>
      </c>
      <c r="G167" s="5" t="inlineStr">
        <is>
          <t>普通科</t>
        </is>
      </c>
      <c r="H167" s="8" t="n"/>
      <c r="I167" s="9" t="n"/>
      <c r="J167" s="9" t="inlineStr">
        <is>
          <t>未架電</t>
        </is>
      </c>
      <c r="K167" s="8" t="n"/>
      <c r="L167" s="9" t="n"/>
      <c r="M167" s="10" t="inlineStr">
        <is>
          <t>茨城労働局の資料と学校情報サイトで一致</t>
        </is>
      </c>
      <c r="N167" s="11" t="inlineStr">
        <is>
          <t>https://jsite.mhlw.go.jp/ibaraki-roudoukyoku/content/contents/002658628.pdf ; https://school.js88.com/scl_h/22001150</t>
        </is>
      </c>
      <c r="O167" s="12" t="inlineStr">
        <is>
          <t>開く</t>
        </is>
      </c>
    </row>
    <row r="168">
      <c r="A168" s="4" t="n">
        <v>164</v>
      </c>
      <c r="B168" s="5" t="inlineStr">
        <is>
          <t>茨城県</t>
        </is>
      </c>
      <c r="C168" s="5" t="inlineStr">
        <is>
          <t>水戸市</t>
        </is>
      </c>
      <c r="D168" s="5" t="inlineStr">
        <is>
          <t>水戸葵陵高等学校</t>
        </is>
      </c>
      <c r="E168" s="6" t="inlineStr">
        <is>
          <t>029-243-7718</t>
        </is>
      </c>
      <c r="F168" s="7" t="inlineStr">
        <is>
          <t>高</t>
        </is>
      </c>
      <c r="G168" s="5" t="inlineStr">
        <is>
          <t>普通科</t>
        </is>
      </c>
      <c r="H168" s="8" t="n"/>
      <c r="I168" s="9" t="n"/>
      <c r="J168" s="9" t="inlineStr">
        <is>
          <t>未架電</t>
        </is>
      </c>
      <c r="K168" s="8" t="n"/>
      <c r="L168" s="9" t="n"/>
      <c r="M168" s="10" t="inlineStr">
        <is>
          <t>茨城労働局の資料と学校情報サイトで一致。募集室直通は029-243-7750</t>
        </is>
      </c>
      <c r="N168" s="11" t="inlineStr">
        <is>
          <t>https://jsite.mhlw.go.jp/ibaraki-roudoukyoku/content/contents/002658628.pdf ; https://school.js88.com/scl_h/22001290</t>
        </is>
      </c>
      <c r="O168" s="12" t="inlineStr">
        <is>
          <t>開く</t>
        </is>
      </c>
    </row>
    <row r="169">
      <c r="A169" s="4" t="n">
        <v>165</v>
      </c>
      <c r="B169" s="5" t="inlineStr">
        <is>
          <t>茨城県</t>
        </is>
      </c>
      <c r="C169" s="5" t="inlineStr">
        <is>
          <t>水戸市</t>
        </is>
      </c>
      <c r="D169" s="5" t="inlineStr">
        <is>
          <t>水戸啓明高等学校</t>
        </is>
      </c>
      <c r="E169" s="6" t="inlineStr">
        <is>
          <t>029-241-1573</t>
        </is>
      </c>
      <c r="F169" s="7" t="inlineStr">
        <is>
          <t>高</t>
        </is>
      </c>
      <c r="G169" s="5" t="inlineStr">
        <is>
          <t>普通科・専門学科</t>
        </is>
      </c>
      <c r="H169" s="8" t="n"/>
      <c r="I169" s="9" t="n"/>
      <c r="J169" s="9" t="inlineStr">
        <is>
          <t>未架電</t>
        </is>
      </c>
      <c r="K169" s="8" t="n"/>
      <c r="L169" s="9" t="n"/>
      <c r="M169" s="10" t="inlineStr">
        <is>
          <t>公式サイトと茨城県教育委員会のページで一致</t>
        </is>
      </c>
      <c r="N169" s="11" t="inlineStr">
        <is>
          <t>https://www.mito-keimei.ed.jp/ ; https://kyoiku.pref.ibaraki.jp/private-school/school-5/</t>
        </is>
      </c>
      <c r="O169" s="12" t="inlineStr">
        <is>
          <t>開く</t>
        </is>
      </c>
    </row>
    <row r="170">
      <c r="A170" s="4" t="n">
        <v>166</v>
      </c>
      <c r="B170" s="5" t="inlineStr">
        <is>
          <t>茨城県</t>
        </is>
      </c>
      <c r="C170" s="5" t="inlineStr">
        <is>
          <t>水戸市</t>
        </is>
      </c>
      <c r="D170" s="5" t="inlineStr">
        <is>
          <t>水戸女子高等学校</t>
        </is>
      </c>
      <c r="E170" s="6" t="inlineStr">
        <is>
          <t>029-224-4124</t>
        </is>
      </c>
      <c r="F170" s="7" t="inlineStr">
        <is>
          <t>高</t>
        </is>
      </c>
      <c r="G170" s="5" t="inlineStr">
        <is>
          <t>普通科・専門学科</t>
        </is>
      </c>
      <c r="H170" s="8" t="n"/>
      <c r="I170" s="9" t="n"/>
      <c r="J170" s="9" t="inlineStr">
        <is>
          <t>未架電</t>
        </is>
      </c>
      <c r="K170" s="8" t="n"/>
      <c r="L170" s="9" t="n"/>
      <c r="M170" s="10" t="inlineStr">
        <is>
          <t>複数の資料で一致</t>
        </is>
      </c>
      <c r="N170" s="11" t="inlineStr">
        <is>
          <t>https://school.js88.com/scl_h/22001160 ; https://jsite.mhlw.go.jp/ibaraki-roudoukyoku/content/contents/002658632.pdf</t>
        </is>
      </c>
      <c r="O170" s="12" t="inlineStr">
        <is>
          <t>開く</t>
        </is>
      </c>
    </row>
    <row r="171">
      <c r="A171" s="4" t="n">
        <v>167</v>
      </c>
      <c r="B171" s="5" t="inlineStr">
        <is>
          <t>茨城県</t>
        </is>
      </c>
      <c r="C171" s="5" t="inlineStr">
        <is>
          <t>水戸市</t>
        </is>
      </c>
      <c r="D171" s="5" t="inlineStr">
        <is>
          <t>水戸平成学園高等学校</t>
        </is>
      </c>
      <c r="E171" s="6" t="inlineStr">
        <is>
          <t>029-300-5777</t>
        </is>
      </c>
      <c r="F171" s="7" t="inlineStr">
        <is>
          <t>高</t>
        </is>
      </c>
      <c r="G171" s="5" t="inlineStr">
        <is>
          <t>普通科</t>
        </is>
      </c>
      <c r="H171" s="8" t="n"/>
      <c r="I171" s="9" t="n"/>
      <c r="J171" s="9" t="inlineStr">
        <is>
          <t>未架電</t>
        </is>
      </c>
      <c r="K171" s="8" t="n"/>
      <c r="L171" s="9" t="n"/>
      <c r="M171" s="10" t="inlineStr">
        <is>
          <t>通信制。公式サイトと茨城県教育委員会のページで一致</t>
        </is>
      </c>
      <c r="N171" s="11" t="inlineStr">
        <is>
          <t>https://www.mitoheisei.ac.jp/ ; https://kyoiku.pref.ibaraki.jp/private-school/school-30/</t>
        </is>
      </c>
      <c r="O171" s="12" t="inlineStr">
        <is>
          <t>開く</t>
        </is>
      </c>
    </row>
    <row r="172">
      <c r="A172" s="4" t="n">
        <v>168</v>
      </c>
      <c r="B172" s="5" t="inlineStr">
        <is>
          <t>茨城県</t>
        </is>
      </c>
      <c r="C172" s="5" t="inlineStr">
        <is>
          <t>つくば市</t>
        </is>
      </c>
      <c r="D172" s="5" t="inlineStr">
        <is>
          <t>茗溪学園高等学校</t>
        </is>
      </c>
      <c r="E172" s="6" t="inlineStr">
        <is>
          <t>029-851-6611</t>
        </is>
      </c>
      <c r="F172" s="7" t="inlineStr">
        <is>
          <t>高</t>
        </is>
      </c>
      <c r="G172" s="5" t="inlineStr">
        <is>
          <t>普通科</t>
        </is>
      </c>
      <c r="H172" s="8" t="n"/>
      <c r="I172" s="9" t="n"/>
      <c r="J172" s="9" t="inlineStr">
        <is>
          <t>未架電</t>
        </is>
      </c>
      <c r="K172" s="8" t="n"/>
      <c r="L172" s="9" t="n"/>
      <c r="M172" s="10" t="inlineStr">
        <is>
          <t>中高共通の代表番号</t>
        </is>
      </c>
      <c r="N172" s="11" t="inlineStr">
        <is>
          <t>https://www.inter-edu.com/schools/school/43 ; https://meikei.ac.jp/uploads/2026/06/462f5bd1d8b7360a3fcc191d581fa4f4.pdf</t>
        </is>
      </c>
      <c r="O172" s="12" t="inlineStr">
        <is>
          <t>開く</t>
        </is>
      </c>
    </row>
    <row r="173">
      <c r="A173" s="4" t="n">
        <v>169</v>
      </c>
      <c r="B173" s="5" t="inlineStr">
        <is>
          <t>茨城県</t>
        </is>
      </c>
      <c r="C173" s="5" t="inlineStr">
        <is>
          <t>日立市</t>
        </is>
      </c>
      <c r="D173" s="5" t="inlineStr">
        <is>
          <t>明秀学園日立高等学校</t>
        </is>
      </c>
      <c r="E173" s="6" t="inlineStr">
        <is>
          <t>0294-21-6328</t>
        </is>
      </c>
      <c r="F173" s="13" t="inlineStr">
        <is>
          <t>中</t>
        </is>
      </c>
      <c r="G173" s="5" t="inlineStr">
        <is>
          <t>普通科</t>
        </is>
      </c>
      <c r="H173" s="8" t="n"/>
      <c r="I173" s="9" t="n"/>
      <c r="J173" s="9" t="inlineStr">
        <is>
          <t>未架電</t>
        </is>
      </c>
      <c r="K173" s="8" t="n"/>
      <c r="L173" s="9" t="n"/>
      <c r="M173" s="10" t="inlineStr">
        <is>
          <t>学校情報サイトのみで確認、公式サイトでは未確認</t>
        </is>
      </c>
      <c r="N173" s="11" t="inlineStr">
        <is>
          <t>https://school.js88.com/scl_h/22001110</t>
        </is>
      </c>
      <c r="O173" s="12" t="inlineStr">
        <is>
          <t>開く</t>
        </is>
      </c>
    </row>
    <row r="174">
      <c r="A174" s="4" t="n">
        <v>170</v>
      </c>
      <c r="B174" s="5" t="inlineStr">
        <is>
          <t>茨城県</t>
        </is>
      </c>
      <c r="C174" s="5" t="inlineStr">
        <is>
          <t>大子町</t>
        </is>
      </c>
      <c r="D174" s="5" t="inlineStr">
        <is>
          <t>ルネサンス高等学校</t>
        </is>
      </c>
      <c r="E174" s="6" t="inlineStr">
        <is>
          <t>0295-76-8031</t>
        </is>
      </c>
      <c r="F174" s="7" t="inlineStr">
        <is>
          <t>高</t>
        </is>
      </c>
      <c r="G174" s="5" t="inlineStr">
        <is>
          <t>普通科</t>
        </is>
      </c>
      <c r="H174" s="8" t="n"/>
      <c r="I174" s="9" t="n"/>
      <c r="J174" s="9" t="inlineStr">
        <is>
          <t>未架電</t>
        </is>
      </c>
      <c r="K174" s="8" t="n"/>
      <c r="L174" s="9" t="n"/>
      <c r="M174" s="10" t="inlineStr">
        <is>
          <t>大子町の本校（広域通信制）。本校は移転済みで、電話帳サイトに残る旧番号（0295-79-1151）は使わない</t>
        </is>
      </c>
      <c r="N174" s="11" t="inlineStr">
        <is>
          <t>https://www.r-ac.jp/campus/daigo/ ; https://kyoiku.pref.ibaraki.jp/private-school/school-36/</t>
        </is>
      </c>
      <c r="O174" s="12" t="inlineStr">
        <is>
          <t>開く</t>
        </is>
      </c>
    </row>
    <row r="175">
      <c r="A175" s="4" t="n">
        <v>171</v>
      </c>
      <c r="B175" s="5" t="inlineStr">
        <is>
          <t>栃木県</t>
        </is>
      </c>
      <c r="C175" s="5" t="inlineStr">
        <is>
          <t>足利市</t>
        </is>
      </c>
      <c r="D175" s="5" t="inlineStr">
        <is>
          <t>足利短期大学附属高等学校</t>
        </is>
      </c>
      <c r="E175" s="6" t="inlineStr">
        <is>
          <t>0284-21-7344</t>
        </is>
      </c>
      <c r="F175" s="7" t="inlineStr">
        <is>
          <t>高</t>
        </is>
      </c>
      <c r="G175" s="5" t="inlineStr">
        <is>
          <t>普通科</t>
        </is>
      </c>
      <c r="H175" s="8" t="n"/>
      <c r="I175" s="9" t="n"/>
      <c r="J175" s="9" t="inlineStr">
        <is>
          <t>未架電</t>
        </is>
      </c>
      <c r="K175" s="8" t="n"/>
      <c r="L175" s="9" t="n"/>
      <c r="M175" s="10" t="inlineStr">
        <is>
          <t>【校名変更】2025年4月から「足利大学附属女子高等学校」。番号は変更なし。足利大学附属高校（0284-71-1285）とは別の学校</t>
        </is>
      </c>
      <c r="N175" s="11" t="inlineStr">
        <is>
          <t>https://www.minkou.jp/hischool/school/302/ ; https://www.mapion.co.jp/phonebook/M11004/09202/ILSP0000040888_ipclm/</t>
        </is>
      </c>
      <c r="O175" s="12" t="inlineStr">
        <is>
          <t>開く</t>
        </is>
      </c>
    </row>
    <row r="176">
      <c r="A176" s="4" t="n">
        <v>172</v>
      </c>
      <c r="B176" s="5" t="inlineStr">
        <is>
          <t>栃木県</t>
        </is>
      </c>
      <c r="C176" s="5" t="inlineStr">
        <is>
          <t>足利市</t>
        </is>
      </c>
      <c r="D176" s="5" t="inlineStr">
        <is>
          <t>足利大学附属高等学校</t>
        </is>
      </c>
      <c r="E176" s="6" t="inlineStr">
        <is>
          <t>0284-71-1285</t>
        </is>
      </c>
      <c r="F176" s="7" t="inlineStr">
        <is>
          <t>高</t>
        </is>
      </c>
      <c r="G176" s="5" t="inlineStr">
        <is>
          <t>普通科・専門学科</t>
        </is>
      </c>
      <c r="H176" s="8" t="n"/>
      <c r="I176" s="9" t="n"/>
      <c r="J176" s="9" t="inlineStr">
        <is>
          <t>未架電</t>
        </is>
      </c>
      <c r="K176" s="8" t="n"/>
      <c r="L176" s="9" t="n"/>
      <c r="M176" s="10" t="inlineStr">
        <is>
          <t>学校情報サイト複数で一致、公式サイトの「代表」表記は未確認</t>
        </is>
      </c>
      <c r="N176" s="11" t="inlineStr">
        <is>
          <t>https://www.minkou.jp/hischool/school/301/ ; https://school.js88.com/scl_h/22002100</t>
        </is>
      </c>
      <c r="O176" s="12" t="inlineStr">
        <is>
          <t>開く</t>
        </is>
      </c>
    </row>
    <row r="177">
      <c r="A177" s="4" t="n">
        <v>173</v>
      </c>
      <c r="B177" s="5" t="inlineStr">
        <is>
          <t>栃木県</t>
        </is>
      </c>
      <c r="C177" s="5" t="inlineStr">
        <is>
          <t>宇都宮市</t>
        </is>
      </c>
      <c r="D177" s="5" t="inlineStr">
        <is>
          <t>宇都宮短期大学附属高等学校</t>
        </is>
      </c>
      <c r="E177" s="6" t="inlineStr">
        <is>
          <t>028-634-4161</t>
        </is>
      </c>
      <c r="F177" s="7" t="inlineStr">
        <is>
          <t>高</t>
        </is>
      </c>
      <c r="G177" s="5" t="inlineStr">
        <is>
          <t>普通科・専門学科</t>
        </is>
      </c>
      <c r="H177" s="8" t="n"/>
      <c r="I177" s="9" t="n"/>
      <c r="J177" s="9" t="inlineStr">
        <is>
          <t>未架電</t>
        </is>
      </c>
      <c r="K177" s="8" t="n"/>
      <c r="L177" s="9" t="n"/>
      <c r="M177" s="10" t="inlineStr">
        <is>
          <t>複数の情報源で一致。附属中学校と共通</t>
        </is>
      </c>
      <c r="N177" s="11" t="inlineStr">
        <is>
          <t>https://school.js88.com/scl_h/22002040/ ; https://jsite.mhlw.go.jp/tochigi-roudoukyoku/gakusotsu__teisei.html</t>
        </is>
      </c>
      <c r="O177" s="12" t="inlineStr">
        <is>
          <t>開く</t>
        </is>
      </c>
    </row>
    <row r="178">
      <c r="A178" s="4" t="n">
        <v>174</v>
      </c>
      <c r="B178" s="5" t="inlineStr">
        <is>
          <t>栃木県</t>
        </is>
      </c>
      <c r="C178" s="5" t="inlineStr">
        <is>
          <t>宇都宮市</t>
        </is>
      </c>
      <c r="D178" s="5" t="inlineStr">
        <is>
          <t>宇都宮文星女子高等学校</t>
        </is>
      </c>
      <c r="E178" s="6" t="inlineStr">
        <is>
          <t>028-621-8156</t>
        </is>
      </c>
      <c r="F178" s="7" t="inlineStr">
        <is>
          <t>高</t>
        </is>
      </c>
      <c r="G178" s="5" t="inlineStr">
        <is>
          <t>普通科・専門学科</t>
        </is>
      </c>
      <c r="H178" s="8" t="n"/>
      <c r="I178" s="9" t="n"/>
      <c r="J178" s="9" t="inlineStr">
        <is>
          <t>未架電</t>
        </is>
      </c>
      <c r="K178" s="8" t="n"/>
      <c r="L178" s="9" t="n"/>
      <c r="M178" s="10" t="inlineStr">
        <is>
          <t>Yahoo!マップと学校情報サイトで一致</t>
        </is>
      </c>
      <c r="N178" s="11" t="inlineStr">
        <is>
          <t>https://map.yahoo.co.jp/v3/place/9Q5SymdS8No ; https://school.js88.com/scl_h/22002030</t>
        </is>
      </c>
      <c r="O178" s="12" t="inlineStr">
        <is>
          <t>開く</t>
        </is>
      </c>
    </row>
    <row r="179">
      <c r="A179" s="4" t="n">
        <v>175</v>
      </c>
      <c r="B179" s="5" t="inlineStr">
        <is>
          <t>栃木県</t>
        </is>
      </c>
      <c r="C179" s="5" t="inlineStr">
        <is>
          <t>栃木市</t>
        </is>
      </c>
      <c r="D179" s="5" t="inlineStr">
        <is>
          <t>國學院大學栃木高等学校</t>
        </is>
      </c>
      <c r="E179" s="6" t="inlineStr">
        <is>
          <t>0282-22-5511</t>
        </is>
      </c>
      <c r="F179" s="7" t="inlineStr">
        <is>
          <t>高</t>
        </is>
      </c>
      <c r="G179" s="5" t="inlineStr">
        <is>
          <t>普通科</t>
        </is>
      </c>
      <c r="H179" s="8" t="n"/>
      <c r="I179" s="9" t="n"/>
      <c r="J179" s="9" t="inlineStr">
        <is>
          <t>未架電</t>
        </is>
      </c>
      <c r="K179" s="8" t="n"/>
      <c r="L179" s="9" t="n"/>
      <c r="M179" s="10" t="inlineStr">
        <is>
          <t>公式パンフレットに「代表」と記載。入試広報室直通は0282-25-5020</t>
        </is>
      </c>
      <c r="N179" s="11" t="inlineStr">
        <is>
          <t>https://kokugakuintochigi.jp/wp/wp-content/uploads/2026/06/2027KOKUTOCHI_H.pdf</t>
        </is>
      </c>
      <c r="O179" s="12" t="inlineStr">
        <is>
          <t>開く</t>
        </is>
      </c>
    </row>
    <row r="180">
      <c r="A180" s="4" t="n">
        <v>176</v>
      </c>
      <c r="B180" s="5" t="inlineStr">
        <is>
          <t>栃木県</t>
        </is>
      </c>
      <c r="C180" s="5" t="inlineStr">
        <is>
          <t>那須町</t>
        </is>
      </c>
      <c r="D180" s="5" t="inlineStr">
        <is>
          <t>幸福の科学学園高等学校</t>
        </is>
      </c>
      <c r="E180" s="6" t="inlineStr">
        <is>
          <t>0287-75-7777</t>
        </is>
      </c>
      <c r="F180" s="7" t="inlineStr">
        <is>
          <t>高</t>
        </is>
      </c>
      <c r="G180" s="5" t="inlineStr">
        <is>
          <t>普通科</t>
        </is>
      </c>
      <c r="H180" s="8" t="n"/>
      <c r="I180" s="9" t="n"/>
      <c r="J180" s="9" t="inlineStr">
        <is>
          <t>未架電</t>
        </is>
      </c>
      <c r="K180" s="8" t="n"/>
      <c r="L180" s="9" t="n"/>
      <c r="M180" s="10" t="inlineStr">
        <is>
          <t>那須本校。学校情報サイト複数で一致、公式サイトでは未確認</t>
        </is>
      </c>
      <c r="N180" s="11" t="inlineStr">
        <is>
          <t>https://www.inter-edu.com/schools/school/2541 ; https://school.js88.com/scl_h/34025366</t>
        </is>
      </c>
      <c r="O180" s="12" t="inlineStr">
        <is>
          <t>開く</t>
        </is>
      </c>
    </row>
    <row r="181">
      <c r="A181" s="4" t="n">
        <v>177</v>
      </c>
      <c r="B181" s="5" t="inlineStr">
        <is>
          <t>栃木県</t>
        </is>
      </c>
      <c r="C181" s="5" t="inlineStr">
        <is>
          <t>宇都宮市</t>
        </is>
      </c>
      <c r="D181" s="5" t="inlineStr">
        <is>
          <t>作新学院高等学校</t>
        </is>
      </c>
      <c r="E181" s="6" t="inlineStr">
        <is>
          <t>028-648-1811</t>
        </is>
      </c>
      <c r="F181" s="7" t="inlineStr">
        <is>
          <t>高</t>
        </is>
      </c>
      <c r="G181" s="5" t="inlineStr">
        <is>
          <t>普通科</t>
        </is>
      </c>
      <c r="H181" s="8" t="n"/>
      <c r="I181" s="9" t="n"/>
      <c r="J181" s="9" t="inlineStr">
        <is>
          <t>未架電</t>
        </is>
      </c>
      <c r="K181" s="8" t="n"/>
      <c r="L181" s="9" t="n"/>
      <c r="M181" s="10" t="inlineStr">
        <is>
          <t>学院共通の代表番号（公式資料で確認）。高校に取り次ぎを依頼</t>
        </is>
      </c>
      <c r="N181" s="11" t="inlineStr">
        <is>
          <t>https://school.js88.com/scl_h/22002010 ; https://www.sakushin.ac.jp/wp/wp-content/uploads/suadmin/2019/10/a2a92c2162621f8c78cf9e06ac2f5a7c.pdf</t>
        </is>
      </c>
      <c r="O181" s="12" t="inlineStr">
        <is>
          <t>開く</t>
        </is>
      </c>
    </row>
    <row r="182">
      <c r="A182" s="4" t="n">
        <v>178</v>
      </c>
      <c r="B182" s="5" t="inlineStr">
        <is>
          <t>栃木県</t>
        </is>
      </c>
      <c r="C182" s="5" t="inlineStr">
        <is>
          <t>佐野市</t>
        </is>
      </c>
      <c r="D182" s="5" t="inlineStr">
        <is>
          <t>佐野清澄高等学校</t>
        </is>
      </c>
      <c r="E182" s="6" t="inlineStr">
        <is>
          <t>0283-23-0841</t>
        </is>
      </c>
      <c r="F182" s="7" t="inlineStr">
        <is>
          <t>高</t>
        </is>
      </c>
      <c r="G182" s="5" t="inlineStr">
        <is>
          <t>普通科・専門学科</t>
        </is>
      </c>
      <c r="H182" s="8" t="n"/>
      <c r="I182" s="9" t="n"/>
      <c r="J182" s="9" t="inlineStr">
        <is>
          <t>未架電</t>
        </is>
      </c>
      <c r="K182" s="8" t="n"/>
      <c r="L182" s="9" t="n"/>
      <c r="M182" s="10" t="inlineStr">
        <is>
          <t>「代表」として掲載。県立佐野高校（0283-23-0161）とは別の学校</t>
        </is>
      </c>
      <c r="N182" s="11" t="inlineStr">
        <is>
          <t>https://school.js88.com/scl_h/22002070 ; https://www.inter-edu.com/schools/school/1513</t>
        </is>
      </c>
      <c r="O182" s="12" t="inlineStr">
        <is>
          <t>開く</t>
        </is>
      </c>
    </row>
    <row r="183">
      <c r="A183" s="4" t="n">
        <v>179</v>
      </c>
      <c r="B183" s="5" t="inlineStr">
        <is>
          <t>栃木県</t>
        </is>
      </c>
      <c r="C183" s="5" t="inlineStr">
        <is>
          <t>佐野市</t>
        </is>
      </c>
      <c r="D183" s="5" t="inlineStr">
        <is>
          <t>佐野日本大学高等学校</t>
        </is>
      </c>
      <c r="E183" s="6" t="inlineStr">
        <is>
          <t>0283-25-0111</t>
        </is>
      </c>
      <c r="F183" s="7" t="inlineStr">
        <is>
          <t>高</t>
        </is>
      </c>
      <c r="G183" s="5" t="inlineStr">
        <is>
          <t>普通科</t>
        </is>
      </c>
      <c r="H183" s="8" t="n"/>
      <c r="I183" s="9" t="n"/>
      <c r="J183" s="9" t="inlineStr">
        <is>
          <t>未架電</t>
        </is>
      </c>
      <c r="K183" s="8" t="n"/>
      <c r="L183" s="9" t="n"/>
      <c r="M183" s="10" t="inlineStr">
        <is>
          <t>公式サイトで確認。0283-25-0373は学園の法人事務局の番号</t>
        </is>
      </c>
      <c r="N183" s="11" t="inlineStr">
        <is>
          <t>https://high.sano-nichidai.jp/</t>
        </is>
      </c>
      <c r="O183" s="12" t="inlineStr">
        <is>
          <t>開く</t>
        </is>
      </c>
    </row>
    <row r="184">
      <c r="A184" s="4" t="n">
        <v>180</v>
      </c>
      <c r="B184" s="5" t="inlineStr">
        <is>
          <t>栃木県</t>
        </is>
      </c>
      <c r="C184" s="5" t="inlineStr">
        <is>
          <t>佐野市</t>
        </is>
      </c>
      <c r="D184" s="5" t="inlineStr">
        <is>
          <t>青藍泰斗高等学校</t>
        </is>
      </c>
      <c r="E184" s="6" t="inlineStr">
        <is>
          <t>0283-86-2511</t>
        </is>
      </c>
      <c r="F184" s="7" t="inlineStr">
        <is>
          <t>高</t>
        </is>
      </c>
      <c r="G184" s="5" t="inlineStr">
        <is>
          <t>普通科・専門学科</t>
        </is>
      </c>
      <c r="H184" s="8" t="n"/>
      <c r="I184" s="9" t="n"/>
      <c r="J184" s="9" t="inlineStr">
        <is>
          <t>未架電</t>
        </is>
      </c>
      <c r="K184" s="8" t="n"/>
      <c r="L184" s="9" t="n"/>
      <c r="M184" s="10" t="inlineStr">
        <is>
          <t>公式サイトとiタウンページで一致</t>
        </is>
      </c>
      <c r="N184" s="11" t="inlineStr">
        <is>
          <t>http://www.seirantaito.ed.jp/access.html ; https://itp.ne.jp/info/098605730100000899/</t>
        </is>
      </c>
      <c r="O184" s="12" t="inlineStr">
        <is>
          <t>開く</t>
        </is>
      </c>
    </row>
    <row r="185">
      <c r="A185" s="4" t="n">
        <v>181</v>
      </c>
      <c r="B185" s="5" t="inlineStr">
        <is>
          <t>栃木県</t>
        </is>
      </c>
      <c r="C185" s="5" t="inlineStr">
        <is>
          <t>足利市</t>
        </is>
      </c>
      <c r="D185" s="5" t="inlineStr">
        <is>
          <t>白鷗大学足利高等学校</t>
        </is>
      </c>
      <c r="E185" s="6" t="inlineStr">
        <is>
          <t>0284-41-0890</t>
        </is>
      </c>
      <c r="F185" s="7" t="inlineStr">
        <is>
          <t>高</t>
        </is>
      </c>
      <c r="G185" s="5" t="inlineStr">
        <is>
          <t>普通科</t>
        </is>
      </c>
      <c r="H185" s="8" t="n"/>
      <c r="I185" s="9" t="n"/>
      <c r="J185" s="9" t="inlineStr">
        <is>
          <t>未架電</t>
        </is>
      </c>
      <c r="K185" s="8" t="n"/>
      <c r="L185" s="9" t="n"/>
      <c r="M185" s="10" t="inlineStr">
        <is>
          <t>本校舎の番号（公式サイト）。新校舎は0284-41-0801。富田キャンパスは2024年4月に本校舎へ統合済み</t>
        </is>
      </c>
      <c r="N185" s="11" t="inlineStr">
        <is>
          <t>https://hakuoh-h.jp/contact/ ; https://itp.ne.jp/info/097866830100000899/</t>
        </is>
      </c>
      <c r="O185" s="12" t="inlineStr">
        <is>
          <t>開く</t>
        </is>
      </c>
    </row>
    <row r="186">
      <c r="A186" s="4" t="n">
        <v>182</v>
      </c>
      <c r="B186" s="5" t="inlineStr">
        <is>
          <t>栃木県</t>
        </is>
      </c>
      <c r="C186" s="5" t="inlineStr">
        <is>
          <t>塩谷町</t>
        </is>
      </c>
      <c r="D186" s="5" t="inlineStr">
        <is>
          <t>日々輝学園高等学校</t>
        </is>
      </c>
      <c r="E186" s="6" t="inlineStr">
        <is>
          <t>0287-41-3851</t>
        </is>
      </c>
      <c r="F186" s="7" t="inlineStr">
        <is>
          <t>高</t>
        </is>
      </c>
      <c r="G186" s="5" t="inlineStr">
        <is>
          <t>普通科</t>
        </is>
      </c>
      <c r="H186" s="8" t="n"/>
      <c r="I186" s="9" t="n"/>
      <c r="J186" s="9" t="inlineStr">
        <is>
          <t>未架電</t>
        </is>
      </c>
      <c r="K186" s="8" t="n"/>
      <c r="L186" s="9" t="n"/>
      <c r="M186" s="10" t="inlineStr">
        <is>
          <t>塩谷町の本校（通信制・公式サイト）。各校舎は別番号</t>
        </is>
      </c>
      <c r="N186" s="11" t="inlineStr">
        <is>
          <t>https://www.hibiki-gakuen.ed.jp/access/ ; https://school.js88.com/scl_h/34028539</t>
        </is>
      </c>
      <c r="O186" s="12" t="inlineStr">
        <is>
          <t>開く</t>
        </is>
      </c>
    </row>
    <row r="187">
      <c r="A187" s="4" t="n">
        <v>183</v>
      </c>
      <c r="B187" s="5" t="inlineStr">
        <is>
          <t>栃木県</t>
        </is>
      </c>
      <c r="C187" s="5" t="inlineStr">
        <is>
          <t>宇都宮市</t>
        </is>
      </c>
      <c r="D187" s="5" t="inlineStr">
        <is>
          <t>文星芸術大学附属高等学校</t>
        </is>
      </c>
      <c r="E187" s="6" t="inlineStr">
        <is>
          <t>028-636-8585</t>
        </is>
      </c>
      <c r="F187" s="7" t="inlineStr">
        <is>
          <t>高</t>
        </is>
      </c>
      <c r="G187" s="5" t="inlineStr">
        <is>
          <t>普通科・専門学科</t>
        </is>
      </c>
      <c r="H187" s="8" t="n"/>
      <c r="I187" s="9" t="n"/>
      <c r="J187" s="9" t="inlineStr">
        <is>
          <t>未架電</t>
        </is>
      </c>
      <c r="K187" s="8" t="n"/>
      <c r="L187" s="9" t="n"/>
      <c r="M187" s="10" t="inlineStr">
        <is>
          <t>公式サイトで確認。附属中学校は028-636-8000</t>
        </is>
      </c>
      <c r="N187" s="11" t="inlineStr">
        <is>
          <t>https://www.bunsei.ed.jp/access.html ; https://www.mapion.co.jp/phonebook/M11004/09201/ILSP0000041983_ipclm/</t>
        </is>
      </c>
      <c r="O187" s="12" t="inlineStr">
        <is>
          <t>開く</t>
        </is>
      </c>
    </row>
    <row r="188">
      <c r="A188" s="4" t="n">
        <v>184</v>
      </c>
      <c r="B188" s="5" t="inlineStr">
        <is>
          <t>栃木県</t>
        </is>
      </c>
      <c r="C188" s="5" t="inlineStr">
        <is>
          <t>宇都宮市</t>
        </is>
      </c>
      <c r="D188" s="5" t="inlineStr">
        <is>
          <t>星の杜高等学校</t>
        </is>
      </c>
      <c r="E188" s="6" t="inlineStr">
        <is>
          <t>028-667-0700</t>
        </is>
      </c>
      <c r="F188" s="13" t="inlineStr">
        <is>
          <t>中</t>
        </is>
      </c>
      <c r="G188" s="5" t="inlineStr">
        <is>
          <t>普通科</t>
        </is>
      </c>
      <c r="H188" s="8" t="n"/>
      <c r="I188" s="9" t="n"/>
      <c r="J188" s="9" t="inlineStr">
        <is>
          <t>未架電</t>
        </is>
      </c>
      <c r="K188" s="8" t="n"/>
      <c r="L188" s="9" t="n"/>
      <c r="M188" s="10" t="inlineStr">
        <is>
          <t>公式の新入生ページの問い合わせ先（平日9〜17時）。公式サイトのフッターには学校の番号として028-667-0701の記載もあり。どちらが代表か要確認</t>
        </is>
      </c>
      <c r="N188" s="11" t="inlineStr">
        <is>
          <t>https://hoshinomori.ed.jp/newstudent ; https://www.mapion.co.jp/phonebook/M11004/09201/ILSP0000041355_ipclm/</t>
        </is>
      </c>
      <c r="O188" s="12" t="inlineStr">
        <is>
          <t>開く</t>
        </is>
      </c>
    </row>
    <row r="189">
      <c r="A189" s="4" t="n">
        <v>185</v>
      </c>
      <c r="B189" s="5" t="inlineStr">
        <is>
          <t>栃木県</t>
        </is>
      </c>
      <c r="C189" s="5" t="inlineStr">
        <is>
          <t>矢板市</t>
        </is>
      </c>
      <c r="D189" s="5" t="inlineStr">
        <is>
          <t>矢板中央高等学校</t>
        </is>
      </c>
      <c r="E189" s="6" t="inlineStr">
        <is>
          <t>0287-43-0447</t>
        </is>
      </c>
      <c r="F189" s="7" t="inlineStr">
        <is>
          <t>高</t>
        </is>
      </c>
      <c r="G189" s="5" t="inlineStr">
        <is>
          <t>普通科・専門学科</t>
        </is>
      </c>
      <c r="H189" s="8" t="n"/>
      <c r="I189" s="9" t="n"/>
      <c r="J189" s="9" t="inlineStr">
        <is>
          <t>未架電</t>
        </is>
      </c>
      <c r="K189" s="8" t="n"/>
      <c r="L189" s="9" t="n"/>
      <c r="M189" s="10" t="inlineStr">
        <is>
          <t>複数の情報源で一致</t>
        </is>
      </c>
      <c r="N189" s="11" t="inlineStr">
        <is>
          <t>https://www.mapion.co.jp/phonebook/M11004/09211/ILSP0000041686_ipclm/ ; https://school.js88.com/scl_h/22002120</t>
        </is>
      </c>
      <c r="O189" s="12" t="inlineStr">
        <is>
          <t>開く</t>
        </is>
      </c>
    </row>
    <row r="190">
      <c r="A190" s="4" t="n">
        <v>186</v>
      </c>
      <c r="B190" s="5" t="inlineStr">
        <is>
          <t>群馬県</t>
        </is>
      </c>
      <c r="C190" s="5" t="inlineStr">
        <is>
          <t>桐生市</t>
        </is>
      </c>
      <c r="D190" s="5" t="inlineStr">
        <is>
          <t>Ｒ高等学校</t>
        </is>
      </c>
      <c r="E190" s="6" t="inlineStr">
        <is>
          <t>0277-66-9943</t>
        </is>
      </c>
      <c r="F190" s="13" t="inlineStr">
        <is>
          <t>中</t>
        </is>
      </c>
      <c r="G190" s="5" t="inlineStr">
        <is>
          <t>普通科</t>
        </is>
      </c>
      <c r="H190" s="8" t="n"/>
      <c r="I190" s="9" t="n"/>
      <c r="J190" s="9" t="inlineStr">
        <is>
          <t>未架電</t>
        </is>
      </c>
      <c r="K190" s="8" t="n"/>
      <c r="L190" s="9" t="n"/>
      <c r="M190" s="10" t="inlineStr">
        <is>
          <t>群馬県の私立学校名簿に載っている桐生本校の番号（広域通信制、2025年4月開校、N高グループ）。公式の窓口は入学相談のフリーダイヤル0120-0252-15</t>
        </is>
      </c>
      <c r="N190" s="11" t="inlineStr">
        <is>
          <t>https://www.pref.gunma.jp/page/3563.html ; https://nnn.ed.jp/campus/r_high_school/</t>
        </is>
      </c>
      <c r="O190" s="12" t="inlineStr">
        <is>
          <t>開く</t>
        </is>
      </c>
    </row>
    <row r="191">
      <c r="A191" s="4" t="n">
        <v>187</v>
      </c>
      <c r="B191" s="5" t="inlineStr">
        <is>
          <t>群馬県</t>
        </is>
      </c>
      <c r="C191" s="5" t="inlineStr">
        <is>
          <t>館林市</t>
        </is>
      </c>
      <c r="D191" s="5" t="inlineStr">
        <is>
          <t>関東学園大学附属高等学校</t>
        </is>
      </c>
      <c r="E191" s="6" t="inlineStr">
        <is>
          <t>0276-74-1213</t>
        </is>
      </c>
      <c r="F191" s="7" t="inlineStr">
        <is>
          <t>高</t>
        </is>
      </c>
      <c r="G191" s="5" t="inlineStr">
        <is>
          <t>普通科</t>
        </is>
      </c>
      <c r="H191" s="8" t="n"/>
      <c r="I191" s="9" t="n"/>
      <c r="J191" s="9" t="inlineStr">
        <is>
          <t>未架電</t>
        </is>
      </c>
      <c r="K191" s="8" t="n"/>
      <c r="L191" s="9" t="n"/>
      <c r="M191" s="10" t="inlineStr">
        <is>
          <t>公式サイトに「代表」と記載。学校法人の代表（0276-74-1211）とは別</t>
        </is>
      </c>
      <c r="N191" s="11" t="inlineStr">
        <is>
          <t>https://www.kanto-gakuen.ac.jp/high/access.htm</t>
        </is>
      </c>
      <c r="O191" s="12" t="inlineStr">
        <is>
          <t>開く</t>
        </is>
      </c>
    </row>
    <row r="192">
      <c r="A192" s="4" t="n">
        <v>188</v>
      </c>
      <c r="B192" s="5" t="inlineStr">
        <is>
          <t>群馬県</t>
        </is>
      </c>
      <c r="C192" s="5" t="inlineStr">
        <is>
          <t>前橋市</t>
        </is>
      </c>
      <c r="D192" s="5" t="inlineStr">
        <is>
          <t>共愛学園高等学校</t>
        </is>
      </c>
      <c r="E192" s="6" t="inlineStr">
        <is>
          <t>027-267-1000</t>
        </is>
      </c>
      <c r="F192" s="7" t="inlineStr">
        <is>
          <t>高</t>
        </is>
      </c>
      <c r="G192" s="5" t="inlineStr">
        <is>
          <t>普通科・専門学科</t>
        </is>
      </c>
      <c r="H192" s="8" t="n"/>
      <c r="I192" s="9" t="n"/>
      <c r="J192" s="9" t="inlineStr">
        <is>
          <t>未架電</t>
        </is>
      </c>
      <c r="K192" s="8" t="n"/>
      <c r="L192" s="9" t="n"/>
      <c r="M192" s="10" t="inlineStr">
        <is>
          <t>群馬県の一覧と学校情報サイトで一致。中学校と共通</t>
        </is>
      </c>
      <c r="N192" s="11" t="inlineStr">
        <is>
          <t>https://school.js88.com/scl_h/22002880 ; https://www.pref.gunma.jp/03/a3510009.html</t>
        </is>
      </c>
      <c r="O192" s="12" t="inlineStr">
        <is>
          <t>開く</t>
        </is>
      </c>
    </row>
    <row r="193">
      <c r="A193" s="4" t="n">
        <v>189</v>
      </c>
      <c r="B193" s="5" t="inlineStr">
        <is>
          <t>群馬県</t>
        </is>
      </c>
      <c r="C193" s="5" t="inlineStr">
        <is>
          <t>桐生市</t>
        </is>
      </c>
      <c r="D193" s="5" t="inlineStr">
        <is>
          <t>桐生第一高等学校</t>
        </is>
      </c>
      <c r="E193" s="6" t="inlineStr">
        <is>
          <t>0277-22-8131</t>
        </is>
      </c>
      <c r="F193" s="7" t="inlineStr">
        <is>
          <t>高</t>
        </is>
      </c>
      <c r="G193" s="5" t="inlineStr">
        <is>
          <t>普通科・専門学科</t>
        </is>
      </c>
      <c r="H193" s="8" t="n"/>
      <c r="I193" s="9" t="n"/>
      <c r="J193" s="9" t="inlineStr">
        <is>
          <t>未架電</t>
        </is>
      </c>
      <c r="K193" s="8" t="n"/>
      <c r="L193" s="9" t="n"/>
      <c r="M193" s="10" t="inlineStr">
        <is>
          <t>群馬県の名簿と学校情報サイトで一致。併設中学校は別番号（0277-48-8600）</t>
        </is>
      </c>
      <c r="N193" s="11" t="inlineStr">
        <is>
          <t>https://school.js88.com/scl_h/22002890/ ; https://www.pref.gunma.jp/page/3563.html</t>
        </is>
      </c>
      <c r="O193" s="12" t="inlineStr">
        <is>
          <t>開く</t>
        </is>
      </c>
    </row>
    <row r="194">
      <c r="A194" s="4" t="n">
        <v>190</v>
      </c>
      <c r="B194" s="5" t="inlineStr">
        <is>
          <t>群馬県</t>
        </is>
      </c>
      <c r="C194" s="5" t="inlineStr">
        <is>
          <t>中之条町</t>
        </is>
      </c>
      <c r="D194" s="5" t="inlineStr">
        <is>
          <t>白根開善学校高等部</t>
        </is>
      </c>
      <c r="E194" s="6" t="inlineStr">
        <is>
          <t>0279-95-5311</t>
        </is>
      </c>
      <c r="F194" s="7" t="inlineStr">
        <is>
          <t>高</t>
        </is>
      </c>
      <c r="G194" s="5" t="inlineStr">
        <is>
          <t>普通科</t>
        </is>
      </c>
      <c r="H194" s="8" t="n"/>
      <c r="I194" s="9" t="n"/>
      <c r="J194" s="9" t="inlineStr">
        <is>
          <t>未架電</t>
        </is>
      </c>
      <c r="K194" s="8" t="n"/>
      <c r="L194" s="9" t="n"/>
      <c r="M194" s="10" t="inlineStr">
        <is>
          <t>群馬県の名簿と学校情報サイトで一致。中等部と共通。全寮制</t>
        </is>
      </c>
      <c r="N194" s="11" t="inlineStr">
        <is>
          <t>https://school.js88.com/scl_h/22002990 ; https://www.pref.gunma.jp/page/3563.html</t>
        </is>
      </c>
      <c r="O194" s="12" t="inlineStr">
        <is>
          <t>開く</t>
        </is>
      </c>
    </row>
    <row r="195">
      <c r="A195" s="4" t="n">
        <v>191</v>
      </c>
      <c r="B195" s="5" t="inlineStr">
        <is>
          <t>群馬県</t>
        </is>
      </c>
      <c r="C195" s="5" t="inlineStr">
        <is>
          <t>桐生市</t>
        </is>
      </c>
      <c r="D195" s="5" t="inlineStr">
        <is>
          <t>樹徳高等学校</t>
        </is>
      </c>
      <c r="E195" s="6" t="inlineStr">
        <is>
          <t>0277-45-2258</t>
        </is>
      </c>
      <c r="F195" s="7" t="inlineStr">
        <is>
          <t>高</t>
        </is>
      </c>
      <c r="G195" s="5" t="inlineStr">
        <is>
          <t>普通科</t>
        </is>
      </c>
      <c r="H195" s="8" t="n"/>
      <c r="I195" s="9" t="n"/>
      <c r="J195" s="9" t="inlineStr">
        <is>
          <t>未架電</t>
        </is>
      </c>
      <c r="K195" s="8" t="n"/>
      <c r="L195" s="9" t="n"/>
      <c r="M195" s="10" t="inlineStr">
        <is>
          <t>群馬県の資料と学校情報サイトで一致。グラウンドの番号は別</t>
        </is>
      </c>
      <c r="N195" s="11" t="inlineStr">
        <is>
          <t>https://center.gsn.ed.jp/school/dai_you/kou_s ; https://www.pref.gunma.jp/page/3563.html</t>
        </is>
      </c>
      <c r="O195" s="12" t="inlineStr">
        <is>
          <t>開く</t>
        </is>
      </c>
    </row>
    <row r="196">
      <c r="A196" s="4" t="n">
        <v>192</v>
      </c>
      <c r="B196" s="5" t="inlineStr">
        <is>
          <t>群馬県</t>
        </is>
      </c>
      <c r="C196" s="5" t="inlineStr">
        <is>
          <t>高崎市</t>
        </is>
      </c>
      <c r="D196" s="5" t="inlineStr">
        <is>
          <t>高崎健康福祉大学高崎高等学校</t>
        </is>
      </c>
      <c r="E196" s="6" t="inlineStr">
        <is>
          <t>027-352-3460</t>
        </is>
      </c>
      <c r="F196" s="7" t="inlineStr">
        <is>
          <t>高</t>
        </is>
      </c>
      <c r="G196" s="5" t="inlineStr">
        <is>
          <t>普通科</t>
        </is>
      </c>
      <c r="H196" s="8" t="n"/>
      <c r="I196" s="9" t="n"/>
      <c r="J196" s="9" t="inlineStr">
        <is>
          <t>未架電</t>
        </is>
      </c>
      <c r="K196" s="8" t="n"/>
      <c r="L196" s="9" t="n"/>
      <c r="M196" s="10" t="inlineStr">
        <is>
          <t>公式サイトに「代表」と記載</t>
        </is>
      </c>
      <c r="N196" s="11" t="inlineStr">
        <is>
          <t>https://www.tuhw-h.ed.jp/inquiry/</t>
        </is>
      </c>
      <c r="O196" s="12" t="inlineStr">
        <is>
          <t>開く</t>
        </is>
      </c>
    </row>
    <row r="197">
      <c r="A197" s="4" t="n">
        <v>193</v>
      </c>
      <c r="B197" s="5" t="inlineStr">
        <is>
          <t>群馬県</t>
        </is>
      </c>
      <c r="C197" s="5" t="inlineStr">
        <is>
          <t>高崎市</t>
        </is>
      </c>
      <c r="D197" s="5" t="inlineStr">
        <is>
          <t>高崎商科大学附属高等学校</t>
        </is>
      </c>
      <c r="E197" s="6" t="inlineStr">
        <is>
          <t>027-322-2827</t>
        </is>
      </c>
      <c r="F197" s="7" t="inlineStr">
        <is>
          <t>高</t>
        </is>
      </c>
      <c r="G197" s="5" t="inlineStr">
        <is>
          <t>普通科・専門学科</t>
        </is>
      </c>
      <c r="H197" s="8" t="n"/>
      <c r="I197" s="9" t="n"/>
      <c r="J197" s="9" t="inlineStr">
        <is>
          <t>未架電</t>
        </is>
      </c>
      <c r="K197" s="8" t="n"/>
      <c r="L197" s="9" t="n"/>
      <c r="M197" s="10" t="inlineStr">
        <is>
          <t>群馬県の私立学校名簿と学校情報サイトで一致</t>
        </is>
      </c>
      <c r="N197" s="11" t="inlineStr">
        <is>
          <t>https://www.pref.gunma.jp/page/3563.html ; https://school.js88.com/scl_h/22002930</t>
        </is>
      </c>
      <c r="O197" s="12" t="inlineStr">
        <is>
          <t>開く</t>
        </is>
      </c>
    </row>
    <row r="198">
      <c r="A198" s="4" t="n">
        <v>194</v>
      </c>
      <c r="B198" s="5" t="inlineStr">
        <is>
          <t>群馬県</t>
        </is>
      </c>
      <c r="C198" s="5" t="inlineStr">
        <is>
          <t>高崎市</t>
        </is>
      </c>
      <c r="D198" s="5" t="inlineStr">
        <is>
          <t>東京農業大学第二高等学校</t>
        </is>
      </c>
      <c r="E198" s="6" t="inlineStr">
        <is>
          <t>027-323-1483</t>
        </is>
      </c>
      <c r="F198" s="7" t="inlineStr">
        <is>
          <t>高</t>
        </is>
      </c>
      <c r="G198" s="5" t="inlineStr">
        <is>
          <t>普通科</t>
        </is>
      </c>
      <c r="H198" s="8" t="n"/>
      <c r="I198" s="9" t="n"/>
      <c r="J198" s="9" t="inlineStr">
        <is>
          <t>未架電</t>
        </is>
      </c>
      <c r="K198" s="8" t="n"/>
      <c r="L198" s="9" t="n"/>
      <c r="M198" s="10" t="inlineStr">
        <is>
          <t>公式サイトで確認。校内塾（027-324-8800）は別番号</t>
        </is>
      </c>
      <c r="N198" s="11" t="inlineStr">
        <is>
          <t>https://www.nodai-2-h.ed.jp/access/</t>
        </is>
      </c>
      <c r="O198" s="12" t="inlineStr">
        <is>
          <t>開く</t>
        </is>
      </c>
    </row>
    <row r="199">
      <c r="A199" s="4" t="n">
        <v>195</v>
      </c>
      <c r="B199" s="5" t="inlineStr">
        <is>
          <t>群馬県</t>
        </is>
      </c>
      <c r="C199" s="5" t="inlineStr">
        <is>
          <t>太田市</t>
        </is>
      </c>
      <c r="D199" s="5" t="inlineStr">
        <is>
          <t>常磐高等学校（群馬県）</t>
        </is>
      </c>
      <c r="E199" s="6" t="inlineStr">
        <is>
          <t>0276-45-4372</t>
        </is>
      </c>
      <c r="F199" s="7" t="inlineStr">
        <is>
          <t>高</t>
        </is>
      </c>
      <c r="G199" s="5" t="inlineStr">
        <is>
          <t>普通科</t>
        </is>
      </c>
      <c r="H199" s="8" t="n"/>
      <c r="I199" s="9" t="n"/>
      <c r="J199" s="9" t="inlineStr">
        <is>
          <t>未架電</t>
        </is>
      </c>
      <c r="K199" s="8" t="n"/>
      <c r="L199" s="9" t="n"/>
      <c r="M199" s="10" t="inlineStr">
        <is>
          <t>群馬県の私立学校名簿（R5）と学校情報サイトで一致</t>
        </is>
      </c>
      <c r="N199" s="11" t="inlineStr">
        <is>
          <t>https://www.pref.gunma.jp/uploaded/attachment/160391.pdf ; https://school.js88.com/scl_h/22002900/</t>
        </is>
      </c>
      <c r="O199" s="12" t="inlineStr">
        <is>
          <t>開く</t>
        </is>
      </c>
    </row>
    <row r="200">
      <c r="A200" s="4" t="n">
        <v>196</v>
      </c>
      <c r="B200" s="5" t="inlineStr">
        <is>
          <t>群馬県</t>
        </is>
      </c>
      <c r="C200" s="5" t="inlineStr">
        <is>
          <t>安中市</t>
        </is>
      </c>
      <c r="D200" s="5" t="inlineStr">
        <is>
          <t>新島学園高等学校</t>
        </is>
      </c>
      <c r="E200" s="6" t="inlineStr">
        <is>
          <t>027-381-0240</t>
        </is>
      </c>
      <c r="F200" s="7" t="inlineStr">
        <is>
          <t>高</t>
        </is>
      </c>
      <c r="G200" s="5" t="inlineStr">
        <is>
          <t>普通科</t>
        </is>
      </c>
      <c r="H200" s="8" t="n"/>
      <c r="I200" s="9" t="n"/>
      <c r="J200" s="9" t="inlineStr">
        <is>
          <t>未架電</t>
        </is>
      </c>
      <c r="K200" s="8" t="n"/>
      <c r="L200" s="9" t="n"/>
      <c r="M200" s="10" t="inlineStr">
        <is>
          <t>複数の情報源で一致、公式サイトでは未確認</t>
        </is>
      </c>
      <c r="N200" s="11" t="inlineStr">
        <is>
          <t>https://school.js88.com/scl_h/22002910/ ; https://www.mapion.co.jp/phonebook/M11004/10211/ILSP0000041225_ipclm/</t>
        </is>
      </c>
      <c r="O200" s="12" t="inlineStr">
        <is>
          <t>開く</t>
        </is>
      </c>
    </row>
    <row r="201">
      <c r="A201" s="4" t="n">
        <v>197</v>
      </c>
      <c r="B201" s="5" t="inlineStr">
        <is>
          <t>群馬県</t>
        </is>
      </c>
      <c r="C201" s="5" t="inlineStr">
        <is>
          <t>前橋市</t>
        </is>
      </c>
      <c r="D201" s="5" t="inlineStr">
        <is>
          <t>前橋育英高等学校</t>
        </is>
      </c>
      <c r="E201" s="6" t="inlineStr">
        <is>
          <t>027-251-7087</t>
        </is>
      </c>
      <c r="F201" s="7" t="inlineStr">
        <is>
          <t>高</t>
        </is>
      </c>
      <c r="G201" s="5" t="inlineStr">
        <is>
          <t>普通科・専門学科</t>
        </is>
      </c>
      <c r="H201" s="8" t="n"/>
      <c r="I201" s="9" t="n"/>
      <c r="J201" s="9" t="inlineStr">
        <is>
          <t>未架電</t>
        </is>
      </c>
      <c r="K201" s="8" t="n"/>
      <c r="L201" s="9" t="n"/>
      <c r="M201" s="10" t="inlineStr">
        <is>
          <t>複数の情報源で一致、公式サイトでは未確認</t>
        </is>
      </c>
      <c r="N201" s="11" t="inlineStr">
        <is>
          <t>https://school.js88.com/scl_h/22002970/ ; https://www.mapion.co.jp/phonebook/M11004/10201/ILSP0000041902_ipclm/</t>
        </is>
      </c>
      <c r="O201" s="12" t="inlineStr">
        <is>
          <t>開く</t>
        </is>
      </c>
    </row>
    <row r="202">
      <c r="A202" s="4" t="n">
        <v>198</v>
      </c>
      <c r="B202" s="5" t="inlineStr">
        <is>
          <t>群馬県</t>
        </is>
      </c>
      <c r="C202" s="5" t="inlineStr">
        <is>
          <t>高崎市</t>
        </is>
      </c>
      <c r="D202" s="5" t="inlineStr">
        <is>
          <t>明和県央高等学校</t>
        </is>
      </c>
      <c r="E202" s="6" t="inlineStr">
        <is>
          <t>027-373-5773</t>
        </is>
      </c>
      <c r="F202" s="7" t="inlineStr">
        <is>
          <t>高</t>
        </is>
      </c>
      <c r="G202" s="5" t="inlineStr">
        <is>
          <t>普通科</t>
        </is>
      </c>
      <c r="H202" s="8" t="n"/>
      <c r="I202" s="9" t="n"/>
      <c r="J202" s="9" t="inlineStr">
        <is>
          <t>未架電</t>
        </is>
      </c>
      <c r="K202" s="8" t="n"/>
      <c r="L202" s="9" t="n"/>
      <c r="M202" s="10" t="inlineStr">
        <is>
          <t>公式サイトに「代表」と記載</t>
        </is>
      </c>
      <c r="N202" s="11" t="inlineStr">
        <is>
          <t>https://www.meiwakenoh.ed.jp/accessmap/</t>
        </is>
      </c>
      <c r="O202" s="12" t="inlineStr">
        <is>
          <t>開く</t>
        </is>
      </c>
    </row>
    <row r="203">
      <c r="A203" s="4" t="n">
        <v>199</v>
      </c>
      <c r="B203" s="5" t="inlineStr">
        <is>
          <t>埼玉県</t>
        </is>
      </c>
      <c r="C203" s="5" t="inlineStr">
        <is>
          <t>さいたま市緑区</t>
        </is>
      </c>
      <c r="D203" s="5" t="inlineStr">
        <is>
          <t>青山学院大学系属浦和ルーテル学院高等学校</t>
        </is>
      </c>
      <c r="E203" s="6" t="inlineStr">
        <is>
          <t>048-711-8221</t>
        </is>
      </c>
      <c r="F203" s="7" t="inlineStr">
        <is>
          <t>高</t>
        </is>
      </c>
      <c r="G203" s="5" t="inlineStr">
        <is>
          <t>普通科</t>
        </is>
      </c>
      <c r="H203" s="8" t="n"/>
      <c r="I203" s="9" t="n"/>
      <c r="J203" s="9" t="inlineStr">
        <is>
          <t>未架電</t>
        </is>
      </c>
      <c r="K203" s="8" t="n"/>
      <c r="L203" s="9" t="n"/>
      <c r="M203" s="10" t="inlineStr">
        <is>
          <t>中高共通。学校ネットの一覧に区名がなく、所在地は緑区（大崎）として調査</t>
        </is>
      </c>
      <c r="N203" s="11" t="inlineStr">
        <is>
          <t>https://www.inter-edu.com/schools/school/1371 ; https://school.js88.com/scl_h/22004860</t>
        </is>
      </c>
      <c r="O203" s="12" t="inlineStr">
        <is>
          <t>開く</t>
        </is>
      </c>
    </row>
    <row r="204">
      <c r="A204" s="4" t="n">
        <v>200</v>
      </c>
      <c r="B204" s="5" t="inlineStr">
        <is>
          <t>埼玉県</t>
        </is>
      </c>
      <c r="C204" s="5" t="inlineStr">
        <is>
          <t>狭山市</t>
        </is>
      </c>
      <c r="D204" s="5" t="inlineStr">
        <is>
          <t>秋草学園高等学校</t>
        </is>
      </c>
      <c r="E204" s="6" t="inlineStr">
        <is>
          <t>04-2958-4111</t>
        </is>
      </c>
      <c r="F204" s="7" t="inlineStr">
        <is>
          <t>高</t>
        </is>
      </c>
      <c r="G204" s="5" t="inlineStr">
        <is>
          <t>普通科</t>
        </is>
      </c>
      <c r="H204" s="8" t="n"/>
      <c r="I204" s="9" t="n"/>
      <c r="J204" s="9" t="inlineStr">
        <is>
          <t>未架電</t>
        </is>
      </c>
      <c r="K204" s="8" t="n"/>
      <c r="L204" s="9" t="n"/>
      <c r="M204" s="10" t="inlineStr">
        <is>
          <t>2つの情報源で一致</t>
        </is>
      </c>
      <c r="N204" s="11" t="inlineStr">
        <is>
          <t>https://www.inter-edu.com/schools/school/552 ; https://www.univpress.co.jp/gk_pdf/11541.pdf</t>
        </is>
      </c>
      <c r="O204" s="12" t="inlineStr">
        <is>
          <t>開く</t>
        </is>
      </c>
    </row>
    <row r="205">
      <c r="A205" s="4" t="n">
        <v>201</v>
      </c>
      <c r="B205" s="5" t="inlineStr">
        <is>
          <t>埼玉県</t>
        </is>
      </c>
      <c r="C205" s="5" t="inlineStr">
        <is>
          <t>さいたま市緑区</t>
        </is>
      </c>
      <c r="D205" s="5" t="inlineStr">
        <is>
          <t>浦和明の星女子高等学校</t>
        </is>
      </c>
      <c r="E205" s="6" t="inlineStr">
        <is>
          <t>048-873-1160</t>
        </is>
      </c>
      <c r="F205" s="13" t="inlineStr">
        <is>
          <t>中</t>
        </is>
      </c>
      <c r="G205" s="5" t="inlineStr">
        <is>
          <t>普通科</t>
        </is>
      </c>
      <c r="H205" s="8" t="n"/>
      <c r="I205" s="9" t="n"/>
      <c r="J205" s="9" t="inlineStr">
        <is>
          <t>未架電</t>
        </is>
      </c>
      <c r="K205" s="8" t="n"/>
      <c r="L205" s="9" t="n"/>
      <c r="M205" s="10" t="inlineStr">
        <is>
          <t>中高共通。学校情報サイト1件のみで確認</t>
        </is>
      </c>
      <c r="N205" s="11" t="inlineStr">
        <is>
          <t>https://www.inter-edu.com/schools/school/47</t>
        </is>
      </c>
      <c r="O205" s="12" t="inlineStr">
        <is>
          <t>開く</t>
        </is>
      </c>
    </row>
    <row r="206">
      <c r="A206" s="4" t="n">
        <v>202</v>
      </c>
      <c r="B206" s="5" t="inlineStr">
        <is>
          <t>埼玉県</t>
        </is>
      </c>
      <c r="C206" s="5" t="inlineStr">
        <is>
          <t>さいたま市緑区</t>
        </is>
      </c>
      <c r="D206" s="5" t="inlineStr">
        <is>
          <t>浦和学院高等学校</t>
        </is>
      </c>
      <c r="E206" s="6" t="inlineStr">
        <is>
          <t>048-878-2101</t>
        </is>
      </c>
      <c r="F206" s="7" t="inlineStr">
        <is>
          <t>高</t>
        </is>
      </c>
      <c r="G206" s="5" t="inlineStr">
        <is>
          <t>普通科</t>
        </is>
      </c>
      <c r="H206" s="8" t="n"/>
      <c r="I206" s="9" t="n"/>
      <c r="J206" s="9" t="inlineStr">
        <is>
          <t>未架電</t>
        </is>
      </c>
      <c r="K206" s="8" t="n"/>
      <c r="L206" s="9" t="n"/>
      <c r="M206" s="10" t="inlineStr">
        <is>
          <t>2つの情報源で一致。併設中学校（2026年開校）は048-767-8484</t>
        </is>
      </c>
      <c r="N206" s="11" t="inlineStr">
        <is>
          <t>https://www.inter-edu.com/schools/school/561 ; https://univpress.co.jp/gk_pdf/11529.pdf</t>
        </is>
      </c>
      <c r="O206" s="12" t="inlineStr">
        <is>
          <t>開く</t>
        </is>
      </c>
    </row>
    <row r="207">
      <c r="A207" s="4" t="n">
        <v>203</v>
      </c>
      <c r="B207" s="5" t="inlineStr">
        <is>
          <t>埼玉県</t>
        </is>
      </c>
      <c r="C207" s="5" t="inlineStr">
        <is>
          <t>さいたま市南区</t>
        </is>
      </c>
      <c r="D207" s="5" t="inlineStr">
        <is>
          <t>浦和実業学園高等学校</t>
        </is>
      </c>
      <c r="E207" s="6" t="inlineStr">
        <is>
          <t>048-861-6131</t>
        </is>
      </c>
      <c r="F207" s="7" t="inlineStr">
        <is>
          <t>高</t>
        </is>
      </c>
      <c r="G207" s="5" t="inlineStr">
        <is>
          <t>普通科・専門学科</t>
        </is>
      </c>
      <c r="H207" s="8" t="n"/>
      <c r="I207" s="9" t="n"/>
      <c r="J207" s="9" t="inlineStr">
        <is>
          <t>未架電</t>
        </is>
      </c>
      <c r="K207" s="8" t="n"/>
      <c r="L207" s="9" t="n"/>
      <c r="M207" s="10" t="inlineStr">
        <is>
          <t>中高共通</t>
        </is>
      </c>
      <c r="N207" s="11" t="inlineStr">
        <is>
          <t>https://www.inter-edu.com/schools/school/2026 ; https://www.univpress.co.jp/gk_pdf/11520.pdf</t>
        </is>
      </c>
      <c r="O207" s="12" t="inlineStr">
        <is>
          <t>開く</t>
        </is>
      </c>
    </row>
    <row r="208">
      <c r="A208" s="4" t="n">
        <v>204</v>
      </c>
      <c r="B208" s="5" t="inlineStr">
        <is>
          <t>埼玉県</t>
        </is>
      </c>
      <c r="C208" s="5" t="inlineStr">
        <is>
          <t>さいたま市浦和区</t>
        </is>
      </c>
      <c r="D208" s="5" t="inlineStr">
        <is>
          <t>浦和麗明高等学校</t>
        </is>
      </c>
      <c r="E208" s="6" t="inlineStr">
        <is>
          <t>048-885-8625</t>
        </is>
      </c>
      <c r="F208" s="7" t="inlineStr">
        <is>
          <t>高</t>
        </is>
      </c>
      <c r="G208" s="5" t="inlineStr">
        <is>
          <t>普通科</t>
        </is>
      </c>
      <c r="H208" s="8" t="n"/>
      <c r="I208" s="9" t="n"/>
      <c r="J208" s="9" t="inlineStr">
        <is>
          <t>未架電</t>
        </is>
      </c>
      <c r="K208" s="8" t="n"/>
      <c r="L208" s="9" t="n"/>
      <c r="M208" s="10" t="inlineStr">
        <is>
          <t>2つの情報源で一致</t>
        </is>
      </c>
      <c r="N208" s="11" t="inlineStr">
        <is>
          <t>https://www.inter-edu.com/schools/school/562 ; https://univpress.co.jp/gk_pdf/11503.pdf</t>
        </is>
      </c>
      <c r="O208" s="12" t="inlineStr">
        <is>
          <t>開く</t>
        </is>
      </c>
    </row>
    <row r="209">
      <c r="A209" s="4" t="n">
        <v>205</v>
      </c>
      <c r="B209" s="5" t="inlineStr">
        <is>
          <t>埼玉県</t>
        </is>
      </c>
      <c r="C209" s="5" t="inlineStr">
        <is>
          <t>越谷市</t>
        </is>
      </c>
      <c r="D209" s="5" t="inlineStr">
        <is>
          <t>叡明高等学校</t>
        </is>
      </c>
      <c r="E209" s="6" t="inlineStr">
        <is>
          <t>048-990-2211</t>
        </is>
      </c>
      <c r="F209" s="7" t="inlineStr">
        <is>
          <t>高</t>
        </is>
      </c>
      <c r="G209" s="5" t="inlineStr">
        <is>
          <t>普通科</t>
        </is>
      </c>
      <c r="H209" s="8" t="n"/>
      <c r="I209" s="9" t="n"/>
      <c r="J209" s="9" t="inlineStr">
        <is>
          <t>未架電</t>
        </is>
      </c>
      <c r="K209" s="8" t="n"/>
      <c r="L209" s="9" t="n"/>
      <c r="M209" s="10" t="inlineStr">
        <is>
          <t>2つの情報源で一致</t>
        </is>
      </c>
      <c r="N209" s="11" t="inlineStr">
        <is>
          <t>https://www.inter-edu.com/schools/school/564 ; https://map.yahoo.co.jp/v3/place/BK8H6OEnJI-</t>
        </is>
      </c>
      <c r="O209" s="12" t="inlineStr">
        <is>
          <t>開く</t>
        </is>
      </c>
    </row>
    <row r="210">
      <c r="A210" s="4" t="n">
        <v>206</v>
      </c>
      <c r="B210" s="5" t="inlineStr">
        <is>
          <t>埼玉県</t>
        </is>
      </c>
      <c r="C210" s="5" t="inlineStr">
        <is>
          <t>飯能市</t>
        </is>
      </c>
      <c r="D210" s="5" t="inlineStr">
        <is>
          <t>大川学園高等学校</t>
        </is>
      </c>
      <c r="E210" s="6" t="inlineStr">
        <is>
          <t>042-974-8880</t>
        </is>
      </c>
      <c r="F210" s="13" t="inlineStr">
        <is>
          <t>中</t>
        </is>
      </c>
      <c r="G210" s="5" t="inlineStr">
        <is>
          <t>普通科・専門学科</t>
        </is>
      </c>
      <c r="H210" s="8" t="n"/>
      <c r="I210" s="9" t="n"/>
      <c r="J210" s="9" t="inlineStr">
        <is>
          <t>未架電</t>
        </is>
      </c>
      <c r="K210" s="8" t="n"/>
      <c r="L210" s="9" t="n"/>
      <c r="M210" s="10" t="inlineStr">
        <is>
          <t>通信制。学校の講師募集要項の問い合わせ先（同じ法人の専門学校と共通の可能性）</t>
        </is>
      </c>
      <c r="N210" s="11" t="inlineStr">
        <is>
          <t>https://portal2.mugendai.do-johodai.ac.jp/wordpress/wp-content/uploads/2025/02/大川学園高等学校非常勤講師要綱.pdf</t>
        </is>
      </c>
      <c r="O210" s="12" t="inlineStr">
        <is>
          <t>開く</t>
        </is>
      </c>
    </row>
    <row r="211">
      <c r="A211" s="4" t="n">
        <v>207</v>
      </c>
      <c r="B211" s="5" t="inlineStr">
        <is>
          <t>埼玉県</t>
        </is>
      </c>
      <c r="C211" s="5" t="inlineStr">
        <is>
          <t>嵐山町</t>
        </is>
      </c>
      <c r="D211" s="5" t="inlineStr">
        <is>
          <t>大妻嵐山高等学校</t>
        </is>
      </c>
      <c r="E211" s="6" t="inlineStr">
        <is>
          <t>0493-62-2281</t>
        </is>
      </c>
      <c r="F211" s="13" t="inlineStr">
        <is>
          <t>中</t>
        </is>
      </c>
      <c r="G211" s="5" t="inlineStr">
        <is>
          <t>普通科</t>
        </is>
      </c>
      <c r="H211" s="8" t="n"/>
      <c r="I211" s="9" t="n"/>
      <c r="J211" s="9" t="inlineStr">
        <is>
          <t>未架電</t>
        </is>
      </c>
      <c r="K211" s="8" t="n"/>
      <c r="L211" s="9" t="n"/>
      <c r="M211" s="10" t="inlineStr">
        <is>
          <t>学校情報サイト1件のみで確認</t>
        </is>
      </c>
      <c r="N211" s="11" t="inlineStr">
        <is>
          <t>https://www.inter-edu.com/schools/school/1970</t>
        </is>
      </c>
      <c r="O211" s="12" t="inlineStr">
        <is>
          <t>開く</t>
        </is>
      </c>
    </row>
    <row r="212">
      <c r="A212" s="4" t="n">
        <v>208</v>
      </c>
      <c r="B212" s="5" t="inlineStr">
        <is>
          <t>埼玉県</t>
        </is>
      </c>
      <c r="C212" s="5" t="inlineStr">
        <is>
          <t>さいたま市大宮区</t>
        </is>
      </c>
      <c r="D212" s="5" t="inlineStr">
        <is>
          <t>大宮開成高等学校</t>
        </is>
      </c>
      <c r="E212" s="6" t="inlineStr">
        <is>
          <t>048-641-7161</t>
        </is>
      </c>
      <c r="F212" s="7" t="inlineStr">
        <is>
          <t>高</t>
        </is>
      </c>
      <c r="G212" s="5" t="inlineStr">
        <is>
          <t>普通科</t>
        </is>
      </c>
      <c r="H212" s="8" t="n"/>
      <c r="I212" s="9" t="n"/>
      <c r="J212" s="9" t="inlineStr">
        <is>
          <t>未架電</t>
        </is>
      </c>
      <c r="K212" s="8" t="n"/>
      <c r="L212" s="9" t="n"/>
      <c r="M212" s="10" t="inlineStr">
        <is>
          <t>公式資料で確認。中高共通</t>
        </is>
      </c>
      <c r="N212" s="11" t="inlineStr">
        <is>
          <t>https://www.omiyakaisei.jp/pdf/hs/r07_hs-event.pdf</t>
        </is>
      </c>
      <c r="O212" s="12" t="inlineStr">
        <is>
          <t>開く</t>
        </is>
      </c>
    </row>
    <row r="213">
      <c r="A213" s="4" t="n">
        <v>209</v>
      </c>
      <c r="B213" s="5" t="inlineStr">
        <is>
          <t>埼玉県</t>
        </is>
      </c>
      <c r="C213" s="5" t="inlineStr">
        <is>
          <t>さいたま市岩槻区</t>
        </is>
      </c>
      <c r="D213" s="5" t="inlineStr">
        <is>
          <t>開智高等学校（埼玉県）</t>
        </is>
      </c>
      <c r="E213" s="6" t="inlineStr">
        <is>
          <t>048-794-4321</t>
        </is>
      </c>
      <c r="F213" s="13" t="inlineStr">
        <is>
          <t>中</t>
        </is>
      </c>
      <c r="G213" s="5" t="inlineStr">
        <is>
          <t>普通科</t>
        </is>
      </c>
      <c r="H213" s="8" t="n"/>
      <c r="I213" s="9" t="n"/>
      <c r="J213" s="9" t="inlineStr">
        <is>
          <t>未架電</t>
        </is>
      </c>
      <c r="K213" s="8" t="n"/>
      <c r="L213" s="9" t="n"/>
      <c r="M213" s="10" t="inlineStr">
        <is>
          <t>代表として掲載。高等部（048-793-1370）・一貫部（048-795-0777）の番号が別にあり要確認</t>
        </is>
      </c>
      <c r="N213" s="11" t="inlineStr">
        <is>
          <t>https://school.js88.com/scl_h/22005030</t>
        </is>
      </c>
      <c r="O213" s="12" t="inlineStr">
        <is>
          <t>開く</t>
        </is>
      </c>
    </row>
    <row r="214">
      <c r="A214" s="4" t="n">
        <v>210</v>
      </c>
      <c r="B214" s="5" t="inlineStr">
        <is>
          <t>埼玉県</t>
        </is>
      </c>
      <c r="C214" s="5" t="inlineStr">
        <is>
          <t>加須市</t>
        </is>
      </c>
      <c r="D214" s="5" t="inlineStr">
        <is>
          <t>開智未来高等学校</t>
        </is>
      </c>
      <c r="E214" s="6" t="inlineStr">
        <is>
          <t>0280-61-2021</t>
        </is>
      </c>
      <c r="F214" s="13" t="inlineStr">
        <is>
          <t>中</t>
        </is>
      </c>
      <c r="G214" s="5" t="inlineStr">
        <is>
          <t>普通科</t>
        </is>
      </c>
      <c r="H214" s="8" t="n"/>
      <c r="I214" s="9" t="n"/>
      <c r="J214" s="9" t="inlineStr">
        <is>
          <t>未架電</t>
        </is>
      </c>
      <c r="K214" s="8" t="n"/>
      <c r="L214" s="9" t="n"/>
      <c r="M214" s="10" t="inlineStr">
        <is>
          <t>代表として掲載（0280-61-2031を載せるサイトもあり）</t>
        </is>
      </c>
      <c r="N214" s="11" t="inlineStr">
        <is>
          <t>https://www.inter-edu.com/schools/school/269 ; https://school.js88.com/scl_h/34029513</t>
        </is>
      </c>
      <c r="O214" s="12" t="inlineStr">
        <is>
          <t>開く</t>
        </is>
      </c>
    </row>
    <row r="215">
      <c r="A215" s="4" t="n">
        <v>211</v>
      </c>
      <c r="B215" s="5" t="inlineStr">
        <is>
          <t>埼玉県</t>
        </is>
      </c>
      <c r="C215" s="5" t="inlineStr">
        <is>
          <t>春日部市</t>
        </is>
      </c>
      <c r="D215" s="5" t="inlineStr">
        <is>
          <t>春日部共栄高等学校</t>
        </is>
      </c>
      <c r="E215" s="6" t="inlineStr">
        <is>
          <t>048-737-7611</t>
        </is>
      </c>
      <c r="F215" s="7" t="inlineStr">
        <is>
          <t>高</t>
        </is>
      </c>
      <c r="G215" s="5" t="inlineStr">
        <is>
          <t>普通科</t>
        </is>
      </c>
      <c r="H215" s="8" t="n"/>
      <c r="I215" s="9" t="n"/>
      <c r="J215" s="9" t="inlineStr">
        <is>
          <t>未架電</t>
        </is>
      </c>
      <c r="K215" s="8" t="n"/>
      <c r="L215" s="9" t="n"/>
      <c r="M215" s="10" t="inlineStr">
        <is>
          <t>中高共通</t>
        </is>
      </c>
      <c r="N215" s="11" t="inlineStr">
        <is>
          <t>https://www.inter-edu.com/schools/school/2028 ; https://www.univpress.Co.jp/gk_pdf/11534.pdf</t>
        </is>
      </c>
      <c r="O215" s="12" t="inlineStr">
        <is>
          <t>開く</t>
        </is>
      </c>
    </row>
    <row r="216">
      <c r="A216" s="4" t="n">
        <v>212</v>
      </c>
      <c r="B216" s="5" t="inlineStr">
        <is>
          <t>埼玉県</t>
        </is>
      </c>
      <c r="C216" s="5" t="inlineStr">
        <is>
          <t>川越市</t>
        </is>
      </c>
      <c r="D216" s="5" t="inlineStr">
        <is>
          <t>霞ヶ関高等学校</t>
        </is>
      </c>
      <c r="E216" s="6" t="inlineStr">
        <is>
          <t>049-233-3636</t>
        </is>
      </c>
      <c r="F216" s="13" t="inlineStr">
        <is>
          <t>中</t>
        </is>
      </c>
      <c r="G216" s="5" t="inlineStr">
        <is>
          <t>普通科</t>
        </is>
      </c>
      <c r="H216" s="8" t="n"/>
      <c r="I216" s="9" t="n"/>
      <c r="J216" s="9" t="inlineStr">
        <is>
          <t>未架電</t>
        </is>
      </c>
      <c r="K216" s="8" t="n"/>
      <c r="L216" s="9" t="n"/>
      <c r="M216" s="10" t="inlineStr">
        <is>
          <t>通信制。学校情報サイト1件のみで確認</t>
        </is>
      </c>
      <c r="N216" s="11" t="inlineStr">
        <is>
          <t>https://www.minkou.jp/tsushin/school/14/</t>
        </is>
      </c>
      <c r="O216" s="12" t="inlineStr">
        <is>
          <t>開く</t>
        </is>
      </c>
    </row>
    <row r="217">
      <c r="A217" s="4" t="n">
        <v>213</v>
      </c>
      <c r="B217" s="5" t="inlineStr">
        <is>
          <t>埼玉県</t>
        </is>
      </c>
      <c r="C217" s="5" t="inlineStr">
        <is>
          <t>川越市</t>
        </is>
      </c>
      <c r="D217" s="5" t="inlineStr">
        <is>
          <t>川越東高等学校</t>
        </is>
      </c>
      <c r="E217" s="6" t="inlineStr">
        <is>
          <t>049-235-4811</t>
        </is>
      </c>
      <c r="F217" s="7" t="inlineStr">
        <is>
          <t>高</t>
        </is>
      </c>
      <c r="G217" s="5" t="inlineStr">
        <is>
          <t>普通科</t>
        </is>
      </c>
      <c r="H217" s="8" t="n"/>
      <c r="I217" s="9" t="n"/>
      <c r="J217" s="9" t="inlineStr">
        <is>
          <t>未架電</t>
        </is>
      </c>
      <c r="K217" s="8" t="n"/>
      <c r="L217" s="9" t="n"/>
      <c r="M217" s="10" t="inlineStr">
        <is>
          <t>2つの情報源で一致</t>
        </is>
      </c>
      <c r="N217" s="11" t="inlineStr">
        <is>
          <t>https://www.inter-edu.com/schools/school/540 ; https://map.yahoo.co.jp/v3/place/aJytamF9ijs</t>
        </is>
      </c>
      <c r="O217" s="12" t="inlineStr">
        <is>
          <t>開く</t>
        </is>
      </c>
    </row>
    <row r="218">
      <c r="A218" s="4" t="n">
        <v>214</v>
      </c>
      <c r="B218" s="5" t="inlineStr">
        <is>
          <t>埼玉県</t>
        </is>
      </c>
      <c r="C218" s="5" t="inlineStr">
        <is>
          <t>志木市</t>
        </is>
      </c>
      <c r="D218" s="5" t="inlineStr">
        <is>
          <t>慶應義塾志木高等学校</t>
        </is>
      </c>
      <c r="E218" s="6" t="inlineStr">
        <is>
          <t>048-471-1361</t>
        </is>
      </c>
      <c r="F218" s="7" t="inlineStr">
        <is>
          <t>高</t>
        </is>
      </c>
      <c r="G218" s="5" t="inlineStr">
        <is>
          <t>普通科</t>
        </is>
      </c>
      <c r="H218" s="8" t="n"/>
      <c r="I218" s="9" t="n"/>
      <c r="J218" s="9" t="inlineStr">
        <is>
          <t>未架電</t>
        </is>
      </c>
      <c r="K218" s="8" t="n"/>
      <c r="L218" s="9" t="n"/>
      <c r="M218" s="10" t="inlineStr">
        <is>
          <t>公式資料に「代表」と記載</t>
        </is>
      </c>
      <c r="N218" s="11" t="inlineStr">
        <is>
          <t>https://www.shiki.keio.ac.jp/doc/20240419kyouinsaiyou.pdf</t>
        </is>
      </c>
      <c r="O218" s="12" t="inlineStr">
        <is>
          <t>開く</t>
        </is>
      </c>
    </row>
    <row r="219">
      <c r="A219" s="4" t="n">
        <v>215</v>
      </c>
      <c r="B219" s="5" t="inlineStr">
        <is>
          <t>埼玉県</t>
        </is>
      </c>
      <c r="C219" s="5" t="inlineStr">
        <is>
          <t>伊奈町</t>
        </is>
      </c>
      <c r="D219" s="5" t="inlineStr">
        <is>
          <t>国際学院高等学校</t>
        </is>
      </c>
      <c r="E219" s="6" t="inlineStr">
        <is>
          <t>048-721-5931</t>
        </is>
      </c>
      <c r="F219" s="7" t="inlineStr">
        <is>
          <t>高</t>
        </is>
      </c>
      <c r="G219" s="5" t="inlineStr">
        <is>
          <t>普通科・総合学科</t>
        </is>
      </c>
      <c r="H219" s="8" t="n"/>
      <c r="I219" s="9" t="n"/>
      <c r="J219" s="9" t="inlineStr">
        <is>
          <t>未架電</t>
        </is>
      </c>
      <c r="K219" s="8" t="n"/>
      <c r="L219" s="9" t="n"/>
      <c r="M219" s="10" t="inlineStr">
        <is>
          <t>中高共通。2つの情報源で一致</t>
        </is>
      </c>
      <c r="N219" s="11" t="inlineStr">
        <is>
          <t>https://school.js88.com/scl_h/22005090 ; https://unesco-sdgs.mext.go.jp/?p=6975</t>
        </is>
      </c>
      <c r="O219" s="12" t="inlineStr">
        <is>
          <t>開く</t>
        </is>
      </c>
    </row>
    <row r="220">
      <c r="A220" s="4" t="n">
        <v>216</v>
      </c>
      <c r="B220" s="5" t="inlineStr">
        <is>
          <t>埼玉県</t>
        </is>
      </c>
      <c r="C220" s="5" t="inlineStr">
        <is>
          <t>さいたま市西区</t>
        </is>
      </c>
      <c r="D220" s="5" t="inlineStr">
        <is>
          <t>埼玉栄高等学校</t>
        </is>
      </c>
      <c r="E220" s="6" t="inlineStr">
        <is>
          <t>048-624-6488</t>
        </is>
      </c>
      <c r="F220" s="7" t="inlineStr">
        <is>
          <t>高</t>
        </is>
      </c>
      <c r="G220" s="5" t="inlineStr">
        <is>
          <t>普通科・専門学科</t>
        </is>
      </c>
      <c r="H220" s="8" t="n"/>
      <c r="I220" s="9" t="n"/>
      <c r="J220" s="9" t="inlineStr">
        <is>
          <t>未架電</t>
        </is>
      </c>
      <c r="K220" s="8" t="n"/>
      <c r="L220" s="9" t="n"/>
      <c r="M220" s="10" t="inlineStr">
        <is>
          <t>中学校は別番号（048-621-2121）</t>
        </is>
      </c>
      <c r="N220" s="11" t="inlineStr">
        <is>
          <t>https://www.inter-edu.com/schools/school/175 ; https://univpress.co.jp/gk_pdf/11527.pdf</t>
        </is>
      </c>
      <c r="O220" s="12" t="inlineStr">
        <is>
          <t>開く</t>
        </is>
      </c>
    </row>
    <row r="221">
      <c r="A221" s="4" t="n">
        <v>217</v>
      </c>
      <c r="B221" s="5" t="inlineStr">
        <is>
          <t>埼玉県</t>
        </is>
      </c>
      <c r="C221" s="5" t="inlineStr">
        <is>
          <t>毛呂山町</t>
        </is>
      </c>
      <c r="D221" s="5" t="inlineStr">
        <is>
          <t>埼玉平成高等学校</t>
        </is>
      </c>
      <c r="E221" s="6" t="inlineStr">
        <is>
          <t>049-294-8080</t>
        </is>
      </c>
      <c r="F221" s="13" t="inlineStr">
        <is>
          <t>中</t>
        </is>
      </c>
      <c r="G221" s="5" t="inlineStr">
        <is>
          <t>普通科</t>
        </is>
      </c>
      <c r="H221" s="8" t="n"/>
      <c r="I221" s="9" t="n"/>
      <c r="J221" s="9" t="inlineStr">
        <is>
          <t>未架電</t>
        </is>
      </c>
      <c r="K221" s="8" t="n"/>
      <c r="L221" s="9" t="n"/>
      <c r="M221" s="10" t="inlineStr">
        <is>
          <t>中高共通。学校情報サイト1件のみで確認</t>
        </is>
      </c>
      <c r="N221" s="11" t="inlineStr">
        <is>
          <t>https://www.inter-edu.com/schools/school/176</t>
        </is>
      </c>
      <c r="O221" s="12" t="inlineStr">
        <is>
          <t>開く</t>
        </is>
      </c>
    </row>
    <row r="222">
      <c r="A222" s="4" t="n">
        <v>218</v>
      </c>
      <c r="B222" s="5" t="inlineStr">
        <is>
          <t>埼玉県</t>
        </is>
      </c>
      <c r="C222" s="5" t="inlineStr">
        <is>
          <t>伊奈町</t>
        </is>
      </c>
      <c r="D222" s="5" t="inlineStr">
        <is>
          <t>栄北高等学校</t>
        </is>
      </c>
      <c r="E222" s="6" t="inlineStr">
        <is>
          <t>048-723-7711</t>
        </is>
      </c>
      <c r="F222" s="7" t="inlineStr">
        <is>
          <t>高</t>
        </is>
      </c>
      <c r="G222" s="5" t="inlineStr">
        <is>
          <t>普通科</t>
        </is>
      </c>
      <c r="H222" s="8" t="n"/>
      <c r="I222" s="9" t="n"/>
      <c r="J222" s="9" t="inlineStr">
        <is>
          <t>未架電</t>
        </is>
      </c>
      <c r="K222" s="8" t="n"/>
      <c r="L222" s="9" t="n"/>
      <c r="M222" s="10" t="inlineStr">
        <is>
          <t>通信制。2つのサイトで一致</t>
        </is>
      </c>
      <c r="N222" s="11" t="inlineStr">
        <is>
          <t>https://www.inter-edu.com/schools/school/602 ; https://school.js88.com/scl_h/34025092/</t>
        </is>
      </c>
      <c r="O222" s="12" t="inlineStr">
        <is>
          <t>開く</t>
        </is>
      </c>
    </row>
    <row r="223">
      <c r="A223" s="4" t="n">
        <v>219</v>
      </c>
      <c r="B223" s="5" t="inlineStr">
        <is>
          <t>埼玉県</t>
        </is>
      </c>
      <c r="C223" s="5" t="inlineStr">
        <is>
          <t>さいたま市見沼区</t>
        </is>
      </c>
      <c r="D223" s="5" t="inlineStr">
        <is>
          <t>栄東高等学校</t>
        </is>
      </c>
      <c r="E223" s="6" t="inlineStr">
        <is>
          <t>048-651-4050</t>
        </is>
      </c>
      <c r="F223" s="7" t="inlineStr">
        <is>
          <t>高</t>
        </is>
      </c>
      <c r="G223" s="5" t="inlineStr">
        <is>
          <t>普通科</t>
        </is>
      </c>
      <c r="H223" s="8" t="n"/>
      <c r="I223" s="9" t="n"/>
      <c r="J223" s="9" t="inlineStr">
        <is>
          <t>未架電</t>
        </is>
      </c>
      <c r="K223" s="8" t="n"/>
      <c r="L223" s="9" t="n"/>
      <c r="M223" s="10" t="inlineStr">
        <is>
          <t>公式資料に「代表」と記載。入試広報センターは048-666-9288</t>
        </is>
      </c>
      <c r="N223" s="11" t="inlineStr">
        <is>
          <t>https://www.sakaehigashi.ed.jp/about/files/self_assessment_h30_sr.pdf</t>
        </is>
      </c>
      <c r="O223" s="12" t="inlineStr">
        <is>
          <t>開く</t>
        </is>
      </c>
    </row>
    <row r="224">
      <c r="A224" s="4" t="n">
        <v>220</v>
      </c>
      <c r="B224" s="5" t="inlineStr">
        <is>
          <t>埼玉県</t>
        </is>
      </c>
      <c r="C224" s="5" t="inlineStr">
        <is>
          <t>入間市</t>
        </is>
      </c>
      <c r="D224" s="5" t="inlineStr">
        <is>
          <t>狭山ヶ丘高等学校</t>
        </is>
      </c>
      <c r="E224" s="6" t="inlineStr">
        <is>
          <t>04-2962-3844</t>
        </is>
      </c>
      <c r="F224" s="7" t="inlineStr">
        <is>
          <t>高</t>
        </is>
      </c>
      <c r="G224" s="5" t="inlineStr">
        <is>
          <t>普通科</t>
        </is>
      </c>
      <c r="H224" s="8" t="n"/>
      <c r="I224" s="9" t="n"/>
      <c r="J224" s="9" t="inlineStr">
        <is>
          <t>未架電</t>
        </is>
      </c>
      <c r="K224" s="8" t="n"/>
      <c r="L224" s="9" t="n"/>
      <c r="M224" s="10" t="inlineStr">
        <is>
          <t>付属中学校と共通</t>
        </is>
      </c>
      <c r="N224" s="11" t="inlineStr">
        <is>
          <t>https://www.inter-edu.com/schools/school/275 ; https://www.univpress.co.jp/gk_pdf/11514.pdf</t>
        </is>
      </c>
      <c r="O224" s="12" t="inlineStr">
        <is>
          <t>開く</t>
        </is>
      </c>
    </row>
    <row r="225">
      <c r="A225" s="4" t="n">
        <v>221</v>
      </c>
      <c r="B225" s="5" t="inlineStr">
        <is>
          <t>埼玉県</t>
        </is>
      </c>
      <c r="C225" s="5" t="inlineStr">
        <is>
          <t>杉戸町</t>
        </is>
      </c>
      <c r="D225" s="5" t="inlineStr">
        <is>
          <t>志学会高等学校</t>
        </is>
      </c>
      <c r="E225" s="14" t="n"/>
      <c r="F225" s="15" t="inlineStr">
        <is>
          <t>要調査</t>
        </is>
      </c>
      <c r="G225" s="5" t="inlineStr">
        <is>
          <t>普通科</t>
        </is>
      </c>
      <c r="H225" s="8" t="n"/>
      <c r="I225" s="9" t="n"/>
      <c r="J225" s="9" t="inlineStr">
        <is>
          <t>未架電</t>
        </is>
      </c>
      <c r="K225" s="8" t="n"/>
      <c r="L225" s="9" t="n"/>
      <c r="M225" s="10" t="inlineStr">
        <is>
          <t>通信制。電話番号が見つからず（杉戸町並塚。2025年8月に岩槻校舎開校）</t>
        </is>
      </c>
      <c r="N225" s="11" t="inlineStr">
        <is>
          <t>https://www.inter-edu.com/schools/school/1784 ; https://studychain.jp/media/guide-136-2/</t>
        </is>
      </c>
      <c r="O225" s="12" t="inlineStr">
        <is>
          <t>開く</t>
        </is>
      </c>
    </row>
    <row r="226">
      <c r="A226" s="4" t="n">
        <v>222</v>
      </c>
      <c r="B226" s="5" t="inlineStr">
        <is>
          <t>埼玉県</t>
        </is>
      </c>
      <c r="C226" s="5" t="inlineStr">
        <is>
          <t>上尾市</t>
        </is>
      </c>
      <c r="D226" s="5" t="inlineStr">
        <is>
          <t>秀明英光高等学校</t>
        </is>
      </c>
      <c r="E226" s="6" t="inlineStr">
        <is>
          <t>048-781-8821</t>
        </is>
      </c>
      <c r="F226" s="7" t="inlineStr">
        <is>
          <t>高</t>
        </is>
      </c>
      <c r="G226" s="5" t="inlineStr">
        <is>
          <t>普通科</t>
        </is>
      </c>
      <c r="H226" s="8" t="n"/>
      <c r="I226" s="9" t="n"/>
      <c r="J226" s="9" t="inlineStr">
        <is>
          <t>未架電</t>
        </is>
      </c>
      <c r="K226" s="8" t="n"/>
      <c r="L226" s="9" t="n"/>
      <c r="M226" s="10" t="inlineStr">
        <is>
          <t>公式パンフレットに「代表」と記載</t>
        </is>
      </c>
      <c r="N226" s="11" t="inlineStr">
        <is>
          <t>https://www.shumei-eiko.ac.jp/cms/wp-content/uploads/2024/05/schoolguide2025.pdf</t>
        </is>
      </c>
      <c r="O226" s="12" t="inlineStr">
        <is>
          <t>開く</t>
        </is>
      </c>
    </row>
    <row r="227">
      <c r="A227" s="4" t="n">
        <v>223</v>
      </c>
      <c r="B227" s="5" t="inlineStr">
        <is>
          <t>埼玉県</t>
        </is>
      </c>
      <c r="C227" s="5" t="inlineStr">
        <is>
          <t>川越市</t>
        </is>
      </c>
      <c r="D227" s="5" t="inlineStr">
        <is>
          <t>秀明高等学校</t>
        </is>
      </c>
      <c r="E227" s="6" t="inlineStr">
        <is>
          <t>049-232-6611</t>
        </is>
      </c>
      <c r="F227" s="13" t="inlineStr">
        <is>
          <t>中</t>
        </is>
      </c>
      <c r="G227" s="5" t="inlineStr">
        <is>
          <t>普通科</t>
        </is>
      </c>
      <c r="H227" s="8" t="n"/>
      <c r="I227" s="9" t="n"/>
      <c r="J227" s="9" t="inlineStr">
        <is>
          <t>未架電</t>
        </is>
      </c>
      <c r="K227" s="8" t="n"/>
      <c r="L227" s="9" t="n"/>
      <c r="M227" s="10" t="inlineStr">
        <is>
          <t>中高共通。学校情報サイト1件のみで確認</t>
        </is>
      </c>
      <c r="N227" s="11" t="inlineStr">
        <is>
          <t>https://www.inter-edu.com/schools/school/1365</t>
        </is>
      </c>
      <c r="O227" s="12" t="inlineStr">
        <is>
          <t>開く</t>
        </is>
      </c>
    </row>
    <row r="228">
      <c r="A228" s="4" t="n">
        <v>224</v>
      </c>
      <c r="B228" s="5" t="inlineStr">
        <is>
          <t>埼玉県</t>
        </is>
      </c>
      <c r="C228" s="5" t="inlineStr">
        <is>
          <t>さいたま市中央区</t>
        </is>
      </c>
      <c r="D228" s="5" t="inlineStr">
        <is>
          <t>淑徳与野高等学校</t>
        </is>
      </c>
      <c r="E228" s="6" t="inlineStr">
        <is>
          <t>048-840-1035</t>
        </is>
      </c>
      <c r="F228" s="7" t="inlineStr">
        <is>
          <t>高</t>
        </is>
      </c>
      <c r="G228" s="5" t="inlineStr">
        <is>
          <t>普通科</t>
        </is>
      </c>
      <c r="H228" s="8" t="n"/>
      <c r="I228" s="9" t="n"/>
      <c r="J228" s="9" t="inlineStr">
        <is>
          <t>未架電</t>
        </is>
      </c>
      <c r="K228" s="8" t="n"/>
      <c r="L228" s="9" t="n"/>
      <c r="M228" s="10" t="inlineStr">
        <is>
          <t>中高共通</t>
        </is>
      </c>
      <c r="N228" s="11" t="inlineStr">
        <is>
          <t>https://www.inter-edu.com/schools/school/1933</t>
        </is>
      </c>
      <c r="O228" s="12" t="inlineStr">
        <is>
          <t>開く</t>
        </is>
      </c>
    </row>
    <row r="229">
      <c r="A229" s="4" t="n">
        <v>225</v>
      </c>
      <c r="B229" s="5" t="inlineStr">
        <is>
          <t>埼玉県</t>
        </is>
      </c>
      <c r="C229" s="5" t="inlineStr">
        <is>
          <t>川越市</t>
        </is>
      </c>
      <c r="D229" s="5" t="inlineStr">
        <is>
          <t>城西大学付属川越高等学校</t>
        </is>
      </c>
      <c r="E229" s="6" t="inlineStr">
        <is>
          <t>049-224-5665</t>
        </is>
      </c>
      <c r="F229" s="7" t="inlineStr">
        <is>
          <t>高</t>
        </is>
      </c>
      <c r="G229" s="5" t="inlineStr">
        <is>
          <t>普通科</t>
        </is>
      </c>
      <c r="H229" s="8" t="n"/>
      <c r="I229" s="9" t="n"/>
      <c r="J229" s="9" t="inlineStr">
        <is>
          <t>未架電</t>
        </is>
      </c>
      <c r="K229" s="8" t="n"/>
      <c r="L229" s="9" t="n"/>
      <c r="M229" s="10" t="inlineStr">
        <is>
          <t>中高共通。2つの情報源で一致</t>
        </is>
      </c>
      <c r="N229" s="11" t="inlineStr">
        <is>
          <t>https://www.univpress.co.jp/gk_pdf/11526.pdf ; https://map.yahoo.co.jp/v3/place/7eCemCgbEls</t>
        </is>
      </c>
      <c r="O229" s="12" t="inlineStr">
        <is>
          <t>開く</t>
        </is>
      </c>
    </row>
    <row r="230">
      <c r="A230" s="4" t="n">
        <v>226</v>
      </c>
      <c r="B230" s="5" t="inlineStr">
        <is>
          <t>埼玉県</t>
        </is>
      </c>
      <c r="C230" s="5" t="inlineStr">
        <is>
          <t>深谷市</t>
        </is>
      </c>
      <c r="D230" s="5" t="inlineStr">
        <is>
          <t>正智深谷高等学校</t>
        </is>
      </c>
      <c r="E230" s="6" t="inlineStr">
        <is>
          <t>048-571-6032</t>
        </is>
      </c>
      <c r="F230" s="13" t="inlineStr">
        <is>
          <t>中</t>
        </is>
      </c>
      <c r="G230" s="5" t="inlineStr">
        <is>
          <t>普通科</t>
        </is>
      </c>
      <c r="H230" s="8" t="n"/>
      <c r="I230" s="9" t="n"/>
      <c r="J230" s="9" t="inlineStr">
        <is>
          <t>未架電</t>
        </is>
      </c>
      <c r="K230" s="8" t="n"/>
      <c r="L230" s="9" t="n"/>
      <c r="M230" s="10" t="inlineStr">
        <is>
          <t>学校情報サイト1件のみで確認</t>
        </is>
      </c>
      <c r="N230" s="11" t="inlineStr">
        <is>
          <t>https://www.inter-edu.com/schools/school/614</t>
        </is>
      </c>
      <c r="O230" s="12" t="inlineStr">
        <is>
          <t>開く</t>
        </is>
      </c>
    </row>
    <row r="231">
      <c r="A231" s="4" t="n">
        <v>227</v>
      </c>
      <c r="B231" s="5" t="inlineStr">
        <is>
          <t>埼玉県</t>
        </is>
      </c>
      <c r="C231" s="5" t="inlineStr">
        <is>
          <t>杉戸町</t>
        </is>
      </c>
      <c r="D231" s="5" t="inlineStr">
        <is>
          <t>昌平高等学校</t>
        </is>
      </c>
      <c r="E231" s="6" t="inlineStr">
        <is>
          <t>0480-34-3381</t>
        </is>
      </c>
      <c r="F231" s="7" t="inlineStr">
        <is>
          <t>高</t>
        </is>
      </c>
      <c r="G231" s="5" t="inlineStr">
        <is>
          <t>普通科</t>
        </is>
      </c>
      <c r="H231" s="8" t="n"/>
      <c r="I231" s="9" t="n"/>
      <c r="J231" s="9" t="inlineStr">
        <is>
          <t>未架電</t>
        </is>
      </c>
      <c r="K231" s="8" t="n"/>
      <c r="L231" s="9" t="n"/>
      <c r="M231" s="10" t="inlineStr">
        <is>
          <t>2つのサイトで一致</t>
        </is>
      </c>
      <c r="N231" s="11" t="inlineStr">
        <is>
          <t>https://www.inter-edu.com/schools/school/267 ; https://school.js88.com/scl_h/22004930</t>
        </is>
      </c>
      <c r="O231" s="12" t="inlineStr">
        <is>
          <t>開く</t>
        </is>
      </c>
    </row>
    <row r="232">
      <c r="A232" s="4" t="n">
        <v>228</v>
      </c>
      <c r="B232" s="5" t="inlineStr">
        <is>
          <t>埼玉県</t>
        </is>
      </c>
      <c r="C232" s="5" t="inlineStr">
        <is>
          <t>飯能市</t>
        </is>
      </c>
      <c r="D232" s="5" t="inlineStr">
        <is>
          <t>自由の森学園高等学校</t>
        </is>
      </c>
      <c r="E232" s="6" t="inlineStr">
        <is>
          <t>042-972-3131</t>
        </is>
      </c>
      <c r="F232" s="7" t="inlineStr">
        <is>
          <t>高</t>
        </is>
      </c>
      <c r="G232" s="5" t="inlineStr">
        <is>
          <t>普通科</t>
        </is>
      </c>
      <c r="H232" s="8" t="n"/>
      <c r="I232" s="9" t="n"/>
      <c r="J232" s="9" t="inlineStr">
        <is>
          <t>未架電</t>
        </is>
      </c>
      <c r="K232" s="8" t="n"/>
      <c r="L232" s="9" t="n"/>
      <c r="M232" s="10" t="inlineStr">
        <is>
          <t>中高共通</t>
        </is>
      </c>
      <c r="N232" s="11" t="inlineStr">
        <is>
          <t>https://www.inter-edu.com/schools/school/293 ; https://map.yahoo.co.jp/v3/place/L57Rs8n2arw</t>
        </is>
      </c>
      <c r="O232" s="12" t="inlineStr">
        <is>
          <t>開く</t>
        </is>
      </c>
    </row>
    <row r="233">
      <c r="A233" s="4" t="n">
        <v>229</v>
      </c>
      <c r="B233" s="5" t="inlineStr">
        <is>
          <t>埼玉県</t>
        </is>
      </c>
      <c r="C233" s="5" t="inlineStr">
        <is>
          <t>川越市</t>
        </is>
      </c>
      <c r="D233" s="5" t="inlineStr">
        <is>
          <t>城北埼玉高等学校</t>
        </is>
      </c>
      <c r="E233" s="6" t="inlineStr">
        <is>
          <t>049-235-3222</t>
        </is>
      </c>
      <c r="F233" s="13" t="inlineStr">
        <is>
          <t>中</t>
        </is>
      </c>
      <c r="G233" s="5" t="inlineStr">
        <is>
          <t>普通科</t>
        </is>
      </c>
      <c r="H233" s="8" t="n"/>
      <c r="I233" s="9" t="n"/>
      <c r="J233" s="9" t="inlineStr">
        <is>
          <t>未架電</t>
        </is>
      </c>
      <c r="K233" s="8" t="n"/>
      <c r="L233" s="9" t="n"/>
      <c r="M233" s="10" t="inlineStr">
        <is>
          <t>中高併設。学校情報サイト1件のみで確認</t>
        </is>
      </c>
      <c r="N233" s="11" t="inlineStr">
        <is>
          <t>https://www.inter-edu.com/schools/school/202</t>
        </is>
      </c>
      <c r="O233" s="12" t="inlineStr">
        <is>
          <t>開く</t>
        </is>
      </c>
    </row>
    <row r="234">
      <c r="A234" s="4" t="n">
        <v>230</v>
      </c>
      <c r="B234" s="5" t="inlineStr">
        <is>
          <t>埼玉県</t>
        </is>
      </c>
      <c r="C234" s="5" t="inlineStr">
        <is>
          <t>狭山市</t>
        </is>
      </c>
      <c r="D234" s="5" t="inlineStr">
        <is>
          <t>西武学園文理高等学校</t>
        </is>
      </c>
      <c r="E234" s="6" t="inlineStr">
        <is>
          <t>04-2954-4080</t>
        </is>
      </c>
      <c r="F234" s="7" t="inlineStr">
        <is>
          <t>高</t>
        </is>
      </c>
      <c r="G234" s="5" t="inlineStr">
        <is>
          <t>普通科・専門学科</t>
        </is>
      </c>
      <c r="H234" s="8" t="n"/>
      <c r="I234" s="9" t="n"/>
      <c r="J234" s="9" t="inlineStr">
        <is>
          <t>未架電</t>
        </is>
      </c>
      <c r="K234" s="8" t="n"/>
      <c r="L234" s="9" t="n"/>
      <c r="M234" s="10" t="inlineStr">
        <is>
          <t>公式資料に「代表」と記載。中高共通</t>
        </is>
      </c>
      <c r="N234" s="11" t="inlineStr">
        <is>
          <t>https://www.bunri-s.ed.jp/wp-content/uploads/2023/09/8dc6f2ecb08556dbce1a5e6fdde67118.pdf</t>
        </is>
      </c>
      <c r="O234" s="12" t="inlineStr">
        <is>
          <t>開く</t>
        </is>
      </c>
    </row>
    <row r="235">
      <c r="A235" s="4" t="n">
        <v>231</v>
      </c>
      <c r="B235" s="5" t="inlineStr">
        <is>
          <t>埼玉県</t>
        </is>
      </c>
      <c r="C235" s="5" t="inlineStr">
        <is>
          <t>新座市</t>
        </is>
      </c>
      <c r="D235" s="5" t="inlineStr">
        <is>
          <t>西武台高等学校</t>
        </is>
      </c>
      <c r="E235" s="6" t="inlineStr">
        <is>
          <t>048-481-1701</t>
        </is>
      </c>
      <c r="F235" s="7" t="inlineStr">
        <is>
          <t>高</t>
        </is>
      </c>
      <c r="G235" s="5" t="inlineStr">
        <is>
          <t>普通科</t>
        </is>
      </c>
      <c r="H235" s="8" t="n"/>
      <c r="I235" s="9" t="n"/>
      <c r="J235" s="9" t="inlineStr">
        <is>
          <t>未架電</t>
        </is>
      </c>
      <c r="K235" s="8" t="n"/>
      <c r="L235" s="9" t="n"/>
      <c r="M235" s="10" t="inlineStr">
        <is>
          <t>西武台新座中学校と共通</t>
        </is>
      </c>
      <c r="N235" s="11" t="inlineStr">
        <is>
          <t>https://www.inter-edu.com/schools/school/533 ; https://school.js88.com/scl_j/34029399</t>
        </is>
      </c>
      <c r="O235" s="12" t="inlineStr">
        <is>
          <t>開く</t>
        </is>
      </c>
    </row>
    <row r="236">
      <c r="A236" s="4" t="n">
        <v>232</v>
      </c>
      <c r="B236" s="5" t="inlineStr">
        <is>
          <t>埼玉県</t>
        </is>
      </c>
      <c r="C236" s="5" t="inlineStr">
        <is>
          <t>飯能市</t>
        </is>
      </c>
      <c r="D236" s="5" t="inlineStr">
        <is>
          <t>聖望学園高等学校</t>
        </is>
      </c>
      <c r="E236" s="6" t="inlineStr">
        <is>
          <t>042-973-1500</t>
        </is>
      </c>
      <c r="F236" s="7" t="inlineStr">
        <is>
          <t>高</t>
        </is>
      </c>
      <c r="G236" s="5" t="inlineStr">
        <is>
          <t>普通科</t>
        </is>
      </c>
      <c r="H236" s="8" t="n"/>
      <c r="I236" s="9" t="n"/>
      <c r="J236" s="9" t="inlineStr">
        <is>
          <t>未架電</t>
        </is>
      </c>
      <c r="K236" s="8" t="n"/>
      <c r="L236" s="9" t="n"/>
      <c r="M236" s="10" t="inlineStr">
        <is>
          <t>中高共通</t>
        </is>
      </c>
      <c r="N236" s="11" t="inlineStr">
        <is>
          <t>https://www.inter-edu.com/schools/school/1960</t>
        </is>
      </c>
      <c r="O236" s="12" t="inlineStr">
        <is>
          <t>開く</t>
        </is>
      </c>
    </row>
    <row r="237">
      <c r="A237" s="4" t="n">
        <v>233</v>
      </c>
      <c r="B237" s="5" t="inlineStr">
        <is>
          <t>埼玉県</t>
        </is>
      </c>
      <c r="C237" s="5" t="inlineStr">
        <is>
          <t>越生町</t>
        </is>
      </c>
      <c r="D237" s="5" t="inlineStr">
        <is>
          <t>清和学園高等学校</t>
        </is>
      </c>
      <c r="E237" s="6" t="inlineStr">
        <is>
          <t>049-292-2017</t>
        </is>
      </c>
      <c r="F237" s="13" t="inlineStr">
        <is>
          <t>中</t>
        </is>
      </c>
      <c r="G237" s="5" t="inlineStr">
        <is>
          <t>普通科・専門学科</t>
        </is>
      </c>
      <c r="H237" s="8" t="n"/>
      <c r="I237" s="9" t="n"/>
      <c r="J237" s="9" t="inlineStr">
        <is>
          <t>未架電</t>
        </is>
      </c>
      <c r="K237" s="8" t="n"/>
      <c r="L237" s="9" t="n"/>
      <c r="M237" s="10" t="inlineStr">
        <is>
          <t>通信制。学校情報サイト1件のみで確認</t>
        </is>
      </c>
      <c r="N237" s="11" t="inlineStr">
        <is>
          <t>https://studychain.jp/media/guide-112-2/</t>
        </is>
      </c>
      <c r="O237" s="12" t="inlineStr">
        <is>
          <t>開く</t>
        </is>
      </c>
    </row>
    <row r="238">
      <c r="A238" s="4" t="n">
        <v>234</v>
      </c>
      <c r="B238" s="5" t="inlineStr">
        <is>
          <t>埼玉県</t>
        </is>
      </c>
      <c r="C238" s="5" t="inlineStr">
        <is>
          <t>深谷市</t>
        </is>
      </c>
      <c r="D238" s="5" t="inlineStr">
        <is>
          <t>創学舎高等学校</t>
        </is>
      </c>
      <c r="E238" s="14" t="n"/>
      <c r="F238" s="15" t="inlineStr">
        <is>
          <t>要調査</t>
        </is>
      </c>
      <c r="G238" s="5" t="inlineStr">
        <is>
          <t>総合学科</t>
        </is>
      </c>
      <c r="H238" s="8" t="n"/>
      <c r="I238" s="9" t="n"/>
      <c r="J238" s="9" t="inlineStr">
        <is>
          <t>未架電</t>
        </is>
      </c>
      <c r="K238" s="8" t="n"/>
      <c r="L238" s="9" t="n"/>
      <c r="M238" s="10" t="inlineStr">
        <is>
          <t>通信制（株式会社立）。電話番号が見つからず</t>
        </is>
      </c>
      <c r="N238" s="11" t="inlineStr">
        <is>
          <t>https://studychain.jp/media/guide-113-2/</t>
        </is>
      </c>
      <c r="O238" s="12" t="inlineStr">
        <is>
          <t>開く</t>
        </is>
      </c>
    </row>
    <row r="239">
      <c r="A239" s="4" t="n">
        <v>235</v>
      </c>
      <c r="B239" s="5" t="inlineStr">
        <is>
          <t>埼玉県</t>
        </is>
      </c>
      <c r="C239" s="5" t="inlineStr">
        <is>
          <t>深谷市</t>
        </is>
      </c>
      <c r="D239" s="5" t="inlineStr">
        <is>
          <t>東京成徳大学深谷高等学校</t>
        </is>
      </c>
      <c r="E239" s="6" t="inlineStr">
        <is>
          <t>048-571-1303</t>
        </is>
      </c>
      <c r="F239" s="13" t="inlineStr">
        <is>
          <t>中</t>
        </is>
      </c>
      <c r="G239" s="5" t="inlineStr">
        <is>
          <t>普通科</t>
        </is>
      </c>
      <c r="H239" s="8" t="n"/>
      <c r="I239" s="9" t="n"/>
      <c r="J239" s="9" t="inlineStr">
        <is>
          <t>未架電</t>
        </is>
      </c>
      <c r="K239" s="8" t="n"/>
      <c r="L239" s="9" t="n"/>
      <c r="M239" s="10" t="inlineStr">
        <is>
          <t>中高共通。学校情報サイト1件のみで確認</t>
        </is>
      </c>
      <c r="N239" s="11" t="inlineStr">
        <is>
          <t>https://www.inter-edu.com/schools/school/274</t>
        </is>
      </c>
      <c r="O239" s="12" t="inlineStr">
        <is>
          <t>開く</t>
        </is>
      </c>
    </row>
    <row r="240">
      <c r="A240" s="4" t="n">
        <v>236</v>
      </c>
      <c r="B240" s="5" t="inlineStr">
        <is>
          <t>埼玉県</t>
        </is>
      </c>
      <c r="C240" s="5" t="inlineStr">
        <is>
          <t>東松山市</t>
        </is>
      </c>
      <c r="D240" s="5" t="inlineStr">
        <is>
          <t>東京農業大学第三高等学校</t>
        </is>
      </c>
      <c r="E240" s="6" t="inlineStr">
        <is>
          <t>0493-24-4611</t>
        </is>
      </c>
      <c r="F240" s="13" t="inlineStr">
        <is>
          <t>中</t>
        </is>
      </c>
      <c r="G240" s="5" t="inlineStr">
        <is>
          <t>普通科</t>
        </is>
      </c>
      <c r="H240" s="8" t="n"/>
      <c r="I240" s="9" t="n"/>
      <c r="J240" s="9" t="inlineStr">
        <is>
          <t>未架電</t>
        </is>
      </c>
      <c r="K240" s="8" t="n"/>
      <c r="L240" s="9" t="n"/>
      <c r="M240" s="10" t="inlineStr">
        <is>
          <t>中高共通。学校情報サイト1件のみで確認</t>
        </is>
      </c>
      <c r="N240" s="11" t="inlineStr">
        <is>
          <t>https://www.inter-edu.com/schools/school/179</t>
        </is>
      </c>
      <c r="O240" s="12" t="inlineStr">
        <is>
          <t>開く</t>
        </is>
      </c>
    </row>
    <row r="241">
      <c r="A241" s="4" t="n">
        <v>237</v>
      </c>
      <c r="B241" s="5" t="inlineStr">
        <is>
          <t>埼玉県</t>
        </is>
      </c>
      <c r="C241" s="5" t="inlineStr">
        <is>
          <t>川越市</t>
        </is>
      </c>
      <c r="D241" s="5" t="inlineStr">
        <is>
          <t>東邦音楽大学附属東邦第二高等学校</t>
        </is>
      </c>
      <c r="E241" s="6" t="inlineStr">
        <is>
          <t>049-235-2401</t>
        </is>
      </c>
      <c r="F241" s="13" t="inlineStr">
        <is>
          <t>中</t>
        </is>
      </c>
      <c r="G241" s="5" t="inlineStr">
        <is>
          <t>専門学科</t>
        </is>
      </c>
      <c r="H241" s="8" t="n"/>
      <c r="I241" s="9" t="n"/>
      <c r="J241" s="9" t="inlineStr">
        <is>
          <t>未架電</t>
        </is>
      </c>
      <c r="K241" s="8" t="n"/>
      <c r="L241" s="9" t="n"/>
      <c r="M241" s="10" t="inlineStr">
        <is>
          <t>学校情報サイト1件のみで確認</t>
        </is>
      </c>
      <c r="N241" s="11" t="inlineStr">
        <is>
          <t>https://www.inter-edu.com/schools/school/1935</t>
        </is>
      </c>
      <c r="O241" s="12" t="inlineStr">
        <is>
          <t>開く</t>
        </is>
      </c>
    </row>
    <row r="242">
      <c r="A242" s="4" t="n">
        <v>238</v>
      </c>
      <c r="B242" s="5" t="inlineStr">
        <is>
          <t>埼玉県</t>
        </is>
      </c>
      <c r="C242" s="5" t="inlineStr">
        <is>
          <t>越谷市</t>
        </is>
      </c>
      <c r="D242" s="5" t="inlineStr">
        <is>
          <t>獨協埼玉高等学校</t>
        </is>
      </c>
      <c r="E242" s="6" t="inlineStr">
        <is>
          <t>048-977-5441</t>
        </is>
      </c>
      <c r="F242" s="13" t="inlineStr">
        <is>
          <t>中</t>
        </is>
      </c>
      <c r="G242" s="5" t="inlineStr">
        <is>
          <t>普通科</t>
        </is>
      </c>
      <c r="H242" s="8" t="n"/>
      <c r="I242" s="9" t="n"/>
      <c r="J242" s="9" t="inlineStr">
        <is>
          <t>未架電</t>
        </is>
      </c>
      <c r="K242" s="8" t="n"/>
      <c r="L242" s="9" t="n"/>
      <c r="M242" s="10" t="inlineStr">
        <is>
          <t>中高共通。学校情報サイト1件のみで確認</t>
        </is>
      </c>
      <c r="N242" s="11" t="inlineStr">
        <is>
          <t>https://www.inter-edu.com/schools/school/178</t>
        </is>
      </c>
      <c r="O242" s="12" t="inlineStr">
        <is>
          <t>開く</t>
        </is>
      </c>
    </row>
    <row r="243">
      <c r="A243" s="4" t="n">
        <v>239</v>
      </c>
      <c r="B243" s="5" t="inlineStr">
        <is>
          <t>埼玉県</t>
        </is>
      </c>
      <c r="C243" s="5" t="inlineStr">
        <is>
          <t>加須市</t>
        </is>
      </c>
      <c r="D243" s="5" t="inlineStr">
        <is>
          <t>花咲徳栄高等学校</t>
        </is>
      </c>
      <c r="E243" s="6" t="inlineStr">
        <is>
          <t>0480-65-7181</t>
        </is>
      </c>
      <c r="F243" s="13" t="inlineStr">
        <is>
          <t>中</t>
        </is>
      </c>
      <c r="G243" s="5" t="inlineStr">
        <is>
          <t>普通科・専門学科</t>
        </is>
      </c>
      <c r="H243" s="8" t="n"/>
      <c r="I243" s="9" t="n"/>
      <c r="J243" s="9" t="inlineStr">
        <is>
          <t>未架電</t>
        </is>
      </c>
      <c r="K243" s="8" t="n"/>
      <c r="L243" s="9" t="n"/>
      <c r="M243" s="10" t="inlineStr">
        <is>
          <t>学校情報サイト1件のみで確認</t>
        </is>
      </c>
      <c r="N243" s="11" t="inlineStr">
        <is>
          <t>https://www.inter-edu.com/schools/school/669</t>
        </is>
      </c>
      <c r="O243" s="12" t="inlineStr">
        <is>
          <t>開く</t>
        </is>
      </c>
    </row>
    <row r="244">
      <c r="A244" s="4" t="n">
        <v>240</v>
      </c>
      <c r="B244" s="5" t="inlineStr">
        <is>
          <t>埼玉県</t>
        </is>
      </c>
      <c r="C244" s="5" t="inlineStr">
        <is>
          <t>入間市</t>
        </is>
      </c>
      <c r="D244" s="5" t="inlineStr">
        <is>
          <t>東野高等学校</t>
        </is>
      </c>
      <c r="E244" s="6" t="inlineStr">
        <is>
          <t>04-2934-5292</t>
        </is>
      </c>
      <c r="F244" s="7" t="inlineStr">
        <is>
          <t>高</t>
        </is>
      </c>
      <c r="G244" s="5" t="inlineStr">
        <is>
          <t>普通科</t>
        </is>
      </c>
      <c r="H244" s="8" t="n"/>
      <c r="I244" s="9" t="n"/>
      <c r="J244" s="9" t="inlineStr">
        <is>
          <t>未架電</t>
        </is>
      </c>
      <c r="K244" s="8" t="n"/>
      <c r="L244" s="9" t="n"/>
      <c r="M244" s="10" t="inlineStr">
        <is>
          <t>正式名は盈進学園東野高校。2つのサイトで一致</t>
        </is>
      </c>
      <c r="N244" s="11" t="inlineStr">
        <is>
          <t>https://www.inter-edu.com/schools/school/1030 ; https://school.js88.com/scl_h/22005080</t>
        </is>
      </c>
      <c r="O244" s="12" t="inlineStr">
        <is>
          <t>開く</t>
        </is>
      </c>
    </row>
    <row r="245">
      <c r="A245" s="4" t="n">
        <v>241</v>
      </c>
      <c r="B245" s="5" t="inlineStr">
        <is>
          <t>埼玉県</t>
        </is>
      </c>
      <c r="C245" s="5" t="inlineStr">
        <is>
          <t>蕨市</t>
        </is>
      </c>
      <c r="D245" s="5" t="inlineStr">
        <is>
          <t>武南高等学校</t>
        </is>
      </c>
      <c r="E245" s="6" t="inlineStr">
        <is>
          <t>048-441-6948</t>
        </is>
      </c>
      <c r="F245" s="7" t="inlineStr">
        <is>
          <t>高</t>
        </is>
      </c>
      <c r="G245" s="5" t="inlineStr">
        <is>
          <t>普通科</t>
        </is>
      </c>
      <c r="H245" s="8" t="n"/>
      <c r="I245" s="9" t="n"/>
      <c r="J245" s="9" t="inlineStr">
        <is>
          <t>未架電</t>
        </is>
      </c>
      <c r="K245" s="8" t="n"/>
      <c r="L245" s="9" t="n"/>
      <c r="M245" s="10" t="inlineStr">
        <is>
          <t>中高併設。2つのサイトで一致</t>
        </is>
      </c>
      <c r="N245" s="11" t="inlineStr">
        <is>
          <t>https://www.inter-edu.com/schools/school/273 ; https://shingakunet.com/area/saitama/warabishi/</t>
        </is>
      </c>
      <c r="O245" s="12" t="inlineStr">
        <is>
          <t>開く</t>
        </is>
      </c>
    </row>
    <row r="246">
      <c r="A246" s="4" t="n">
        <v>242</v>
      </c>
      <c r="B246" s="5" t="inlineStr">
        <is>
          <t>埼玉県</t>
        </is>
      </c>
      <c r="C246" s="5" t="inlineStr">
        <is>
          <t>川越市</t>
        </is>
      </c>
      <c r="D246" s="5" t="inlineStr">
        <is>
          <t>星野高等学校</t>
        </is>
      </c>
      <c r="E246" s="6" t="inlineStr">
        <is>
          <t>049-223-2888</t>
        </is>
      </c>
      <c r="F246" s="13" t="inlineStr">
        <is>
          <t>中</t>
        </is>
      </c>
      <c r="G246" s="5" t="inlineStr">
        <is>
          <t>普通科</t>
        </is>
      </c>
      <c r="H246" s="8" t="n"/>
      <c r="I246" s="9" t="n"/>
      <c r="J246" s="9" t="inlineStr">
        <is>
          <t>未架電</t>
        </is>
      </c>
      <c r="K246" s="8" t="n"/>
      <c r="L246" s="9" t="n"/>
      <c r="M246" s="10" t="inlineStr">
        <is>
          <t>石原キャンパス（中高共通）の番号。女子部（末広キャンパス）は別番号の可能性</t>
        </is>
      </c>
      <c r="N246" s="11" t="inlineStr">
        <is>
          <t>https://www.inter-edu.com/schools/school/180 ; https://www.minkou.jp/hischool/school/4218/</t>
        </is>
      </c>
      <c r="O246" s="12" t="inlineStr">
        <is>
          <t>開く</t>
        </is>
      </c>
    </row>
    <row r="247">
      <c r="A247" s="4" t="n">
        <v>243</v>
      </c>
      <c r="B247" s="5" t="inlineStr">
        <is>
          <t>埼玉県</t>
        </is>
      </c>
      <c r="C247" s="5" t="inlineStr">
        <is>
          <t>志木市</t>
        </is>
      </c>
      <c r="D247" s="5" t="inlineStr">
        <is>
          <t>細田学園高等学校</t>
        </is>
      </c>
      <c r="E247" s="6" t="inlineStr">
        <is>
          <t>048-471-3255</t>
        </is>
      </c>
      <c r="F247" s="13" t="inlineStr">
        <is>
          <t>中</t>
        </is>
      </c>
      <c r="G247" s="5" t="inlineStr">
        <is>
          <t>普通科</t>
        </is>
      </c>
      <c r="H247" s="8" t="n"/>
      <c r="I247" s="9" t="n"/>
      <c r="J247" s="9" t="inlineStr">
        <is>
          <t>未架電</t>
        </is>
      </c>
      <c r="K247" s="8" t="n"/>
      <c r="L247" s="9" t="n"/>
      <c r="M247" s="10" t="inlineStr">
        <is>
          <t>学校情報サイト1件のみで確認</t>
        </is>
      </c>
      <c r="N247" s="11" t="inlineStr">
        <is>
          <t>https://www.inter-edu.com/schools/school/683</t>
        </is>
      </c>
      <c r="O247" s="12" t="inlineStr">
        <is>
          <t>開く</t>
        </is>
      </c>
    </row>
    <row r="248">
      <c r="A248" s="4" t="n">
        <v>244</v>
      </c>
      <c r="B248" s="5" t="inlineStr">
        <is>
          <t>埼玉県</t>
        </is>
      </c>
      <c r="C248" s="5" t="inlineStr">
        <is>
          <t>本庄市</t>
        </is>
      </c>
      <c r="D248" s="5" t="inlineStr">
        <is>
          <t>本庄第一高等学校</t>
        </is>
      </c>
      <c r="E248" s="6" t="inlineStr">
        <is>
          <t>0495-24-1331</t>
        </is>
      </c>
      <c r="F248" s="7" t="inlineStr">
        <is>
          <t>高</t>
        </is>
      </c>
      <c r="G248" s="5" t="inlineStr">
        <is>
          <t>普通科</t>
        </is>
      </c>
      <c r="H248" s="8" t="n"/>
      <c r="I248" s="9" t="n"/>
      <c r="J248" s="9" t="inlineStr">
        <is>
          <t>未架電</t>
        </is>
      </c>
      <c r="K248" s="8" t="n"/>
      <c r="L248" s="9" t="n"/>
      <c r="M248" s="10" t="inlineStr">
        <is>
          <t>公式資料と学校情報サイトで一致。0495-24-1332は中学校の番号</t>
        </is>
      </c>
      <c r="N248" s="11" t="inlineStr">
        <is>
          <t>https://school.js88.com/scl_h/22004700 ; https://www.hon1.ed.jp/wp-content/uploads/2024/03/67d4127a74b803e7daefda6a83089c2d.pdf</t>
        </is>
      </c>
      <c r="O248" s="12" t="inlineStr">
        <is>
          <t>開く</t>
        </is>
      </c>
    </row>
    <row r="249">
      <c r="A249" s="4" t="n">
        <v>245</v>
      </c>
      <c r="B249" s="5" t="inlineStr">
        <is>
          <t>埼玉県</t>
        </is>
      </c>
      <c r="C249" s="5" t="inlineStr">
        <is>
          <t>本庄市</t>
        </is>
      </c>
      <c r="D249" s="5" t="inlineStr">
        <is>
          <t>本庄東高等学校</t>
        </is>
      </c>
      <c r="E249" s="6" t="inlineStr">
        <is>
          <t>0495-22-6351</t>
        </is>
      </c>
      <c r="F249" s="7" t="inlineStr">
        <is>
          <t>高</t>
        </is>
      </c>
      <c r="G249" s="5" t="inlineStr">
        <is>
          <t>普通科</t>
        </is>
      </c>
      <c r="H249" s="8" t="n"/>
      <c r="I249" s="9" t="n"/>
      <c r="J249" s="9" t="inlineStr">
        <is>
          <t>未架電</t>
        </is>
      </c>
      <c r="K249" s="8" t="n"/>
      <c r="L249" s="9" t="n"/>
      <c r="M249" s="10" t="inlineStr">
        <is>
          <t>代表として掲載。附属中学校は別番号（0495-27-6711）</t>
        </is>
      </c>
      <c r="N249" s="11" t="inlineStr">
        <is>
          <t>https://www.honjo-higashi.ed.jp/senior/hyouka-sheet.pdf ; https://www.inter-edu.com/schools/school/181</t>
        </is>
      </c>
      <c r="O249" s="12" t="inlineStr">
        <is>
          <t>開く</t>
        </is>
      </c>
    </row>
    <row r="250">
      <c r="A250" s="4" t="n">
        <v>246</v>
      </c>
      <c r="B250" s="5" t="inlineStr">
        <is>
          <t>埼玉県</t>
        </is>
      </c>
      <c r="C250" s="5" t="inlineStr">
        <is>
          <t>春日部市</t>
        </is>
      </c>
      <c r="D250" s="5" t="inlineStr">
        <is>
          <t>松栄学園高等学校</t>
        </is>
      </c>
      <c r="E250" s="14" t="n"/>
      <c r="F250" s="15" t="inlineStr">
        <is>
          <t>要調査</t>
        </is>
      </c>
      <c r="G250" s="5" t="inlineStr">
        <is>
          <t>普通科</t>
        </is>
      </c>
      <c r="H250" s="8" t="n"/>
      <c r="I250" s="9" t="n"/>
      <c r="J250" s="9" t="inlineStr">
        <is>
          <t>未架電</t>
        </is>
      </c>
      <c r="K250" s="8" t="n"/>
      <c r="L250" s="9" t="n"/>
      <c r="M250" s="10" t="inlineStr">
        <is>
          <t>通信制。春日部本校の番号を確定できず。候補：048-978-0828（越谷校の番号の可能性）</t>
        </is>
      </c>
      <c r="N250" s="11" t="inlineStr">
        <is>
          <t>https://map.yahoo.co.jp/v3/place/x-2539sF1cY</t>
        </is>
      </c>
      <c r="O250" s="12" t="inlineStr">
        <is>
          <t>開く</t>
        </is>
      </c>
    </row>
    <row r="251">
      <c r="A251" s="4" t="n">
        <v>247</v>
      </c>
      <c r="B251" s="5" t="inlineStr">
        <is>
          <t>埼玉県</t>
        </is>
      </c>
      <c r="C251" s="5" t="inlineStr">
        <is>
          <t>越生町</t>
        </is>
      </c>
      <c r="D251" s="5" t="inlineStr">
        <is>
          <t>武蔵越生高等学校</t>
        </is>
      </c>
      <c r="E251" s="6" t="inlineStr">
        <is>
          <t>049-292-3245</t>
        </is>
      </c>
      <c r="F251" s="13" t="inlineStr">
        <is>
          <t>中</t>
        </is>
      </c>
      <c r="G251" s="5" t="inlineStr">
        <is>
          <t>普通科</t>
        </is>
      </c>
      <c r="H251" s="8" t="n"/>
      <c r="I251" s="9" t="n"/>
      <c r="J251" s="9" t="inlineStr">
        <is>
          <t>未架電</t>
        </is>
      </c>
      <c r="K251" s="8" t="n"/>
      <c r="L251" s="9" t="n"/>
      <c r="M251" s="10" t="inlineStr">
        <is>
          <t>学校情報サイト1件のみで確認</t>
        </is>
      </c>
      <c r="N251" s="11" t="inlineStr">
        <is>
          <t>https://www.inter-edu.com/schools/school/694</t>
        </is>
      </c>
      <c r="O251" s="12" t="inlineStr">
        <is>
          <t>開く</t>
        </is>
      </c>
    </row>
    <row r="252">
      <c r="A252" s="4" t="n">
        <v>248</v>
      </c>
      <c r="B252" s="5" t="inlineStr">
        <is>
          <t>埼玉県</t>
        </is>
      </c>
      <c r="C252" s="5" t="inlineStr">
        <is>
          <t>入間市</t>
        </is>
      </c>
      <c r="D252" s="5" t="inlineStr">
        <is>
          <t>武蔵野音楽大学附属高等学校</t>
        </is>
      </c>
      <c r="E252" s="6" t="inlineStr">
        <is>
          <t>04-2932-3063</t>
        </is>
      </c>
      <c r="F252" s="13" t="inlineStr">
        <is>
          <t>中</t>
        </is>
      </c>
      <c r="G252" s="5" t="inlineStr">
        <is>
          <t>専門学科</t>
        </is>
      </c>
      <c r="H252" s="8" t="n"/>
      <c r="I252" s="9" t="n"/>
      <c r="J252" s="9" t="inlineStr">
        <is>
          <t>未架電</t>
        </is>
      </c>
      <c r="K252" s="8" t="n"/>
      <c r="L252" s="9" t="n"/>
      <c r="M252" s="10" t="inlineStr">
        <is>
          <t>直通として掲載。2027年4月に練馬区へ移転予定との情報あり</t>
        </is>
      </c>
      <c r="N252" s="11" t="inlineStr">
        <is>
          <t>https://school.js88.com/scl_h/22004890</t>
        </is>
      </c>
      <c r="O252" s="12" t="inlineStr">
        <is>
          <t>開く</t>
        </is>
      </c>
    </row>
    <row r="253">
      <c r="A253" s="4" t="n">
        <v>249</v>
      </c>
      <c r="B253" s="5" t="inlineStr">
        <is>
          <t>埼玉県</t>
        </is>
      </c>
      <c r="C253" s="5" t="inlineStr">
        <is>
          <t>越谷市</t>
        </is>
      </c>
      <c r="D253" s="5" t="inlineStr">
        <is>
          <t>武蔵野星城高等学校</t>
        </is>
      </c>
      <c r="E253" s="6" t="inlineStr">
        <is>
          <t>048-987-1094</t>
        </is>
      </c>
      <c r="F253" s="13" t="inlineStr">
        <is>
          <t>中</t>
        </is>
      </c>
      <c r="G253" s="5" t="inlineStr">
        <is>
          <t>普通科</t>
        </is>
      </c>
      <c r="H253" s="8" t="n"/>
      <c r="I253" s="9" t="n"/>
      <c r="J253" s="9" t="inlineStr">
        <is>
          <t>未架電</t>
        </is>
      </c>
      <c r="K253" s="8" t="n"/>
      <c r="L253" s="9" t="n"/>
      <c r="M253" s="10" t="inlineStr">
        <is>
          <t>通信制。学校情報サイト2件で一致、公式未確認</t>
        </is>
      </c>
      <c r="N253" s="11" t="inlineStr">
        <is>
          <t>https://studychain.jp/media/guide-115-2/ ; https://shingakunet.com/area/saitama/koshigayashi/</t>
        </is>
      </c>
      <c r="O253" s="12" t="inlineStr">
        <is>
          <t>開く</t>
        </is>
      </c>
    </row>
    <row r="254">
      <c r="A254" s="4" t="n">
        <v>250</v>
      </c>
      <c r="B254" s="5" t="inlineStr">
        <is>
          <t>埼玉県</t>
        </is>
      </c>
      <c r="C254" s="5" t="inlineStr">
        <is>
          <t>川越市</t>
        </is>
      </c>
      <c r="D254" s="5" t="inlineStr">
        <is>
          <t>山村学園高等学校</t>
        </is>
      </c>
      <c r="E254" s="6" t="inlineStr">
        <is>
          <t>049-225-3565</t>
        </is>
      </c>
      <c r="F254" s="13" t="inlineStr">
        <is>
          <t>中</t>
        </is>
      </c>
      <c r="G254" s="5" t="inlineStr">
        <is>
          <t>普通科</t>
        </is>
      </c>
      <c r="H254" s="8" t="n"/>
      <c r="I254" s="9" t="n"/>
      <c r="J254" s="9" t="inlineStr">
        <is>
          <t>未架電</t>
        </is>
      </c>
      <c r="K254" s="8" t="n"/>
      <c r="L254" s="9" t="n"/>
      <c r="M254" s="10" t="inlineStr">
        <is>
          <t>学校情報サイト1件のみで確認。山村国際高校（坂戸市）とは別の学校</t>
        </is>
      </c>
      <c r="N254" s="11" t="inlineStr">
        <is>
          <t>https://www.inter-edu.com/schools/school/699</t>
        </is>
      </c>
      <c r="O254" s="12" t="inlineStr">
        <is>
          <t>開く</t>
        </is>
      </c>
    </row>
    <row r="255">
      <c r="A255" s="4" t="n">
        <v>251</v>
      </c>
      <c r="B255" s="5" t="inlineStr">
        <is>
          <t>埼玉県</t>
        </is>
      </c>
      <c r="C255" s="5" t="inlineStr">
        <is>
          <t>坂戸市</t>
        </is>
      </c>
      <c r="D255" s="5" t="inlineStr">
        <is>
          <t>山村国際高等学校</t>
        </is>
      </c>
      <c r="E255" s="6" t="inlineStr">
        <is>
          <t>049-281-0221</t>
        </is>
      </c>
      <c r="F255" s="7" t="inlineStr">
        <is>
          <t>高</t>
        </is>
      </c>
      <c r="G255" s="5" t="inlineStr">
        <is>
          <t>普通科</t>
        </is>
      </c>
      <c r="H255" s="8" t="n"/>
      <c r="I255" s="9" t="n"/>
      <c r="J255" s="9" t="inlineStr">
        <is>
          <t>未架電</t>
        </is>
      </c>
      <c r="K255" s="8" t="n"/>
      <c r="L255" s="9" t="n"/>
      <c r="M255" s="10" t="inlineStr">
        <is>
          <t>2つのサイトで一致。山村学園高校（川越市）とは別の学校</t>
        </is>
      </c>
      <c r="N255" s="11" t="inlineStr">
        <is>
          <t>https://www.inter-edu.com/schools/school/700 ; https://school.js88.com/scl_h/22004720</t>
        </is>
      </c>
      <c r="O255" s="12" t="inlineStr">
        <is>
          <t>開く</t>
        </is>
      </c>
    </row>
    <row r="256">
      <c r="A256" s="4" t="n">
        <v>252</v>
      </c>
      <c r="B256" s="5" t="inlineStr">
        <is>
          <t>埼玉県</t>
        </is>
      </c>
      <c r="C256" s="5" t="inlineStr">
        <is>
          <t>新座市</t>
        </is>
      </c>
      <c r="D256" s="5" t="inlineStr">
        <is>
          <t>立教新座高等学校</t>
        </is>
      </c>
      <c r="E256" s="6" t="inlineStr">
        <is>
          <t>048-471-2323</t>
        </is>
      </c>
      <c r="F256" s="7" t="inlineStr">
        <is>
          <t>高</t>
        </is>
      </c>
      <c r="G256" s="5" t="inlineStr">
        <is>
          <t>普通科</t>
        </is>
      </c>
      <c r="H256" s="8" t="n"/>
      <c r="I256" s="9" t="n"/>
      <c r="J256" s="9" t="inlineStr">
        <is>
          <t>未架電</t>
        </is>
      </c>
      <c r="K256" s="8" t="n"/>
      <c r="L256" s="9" t="n"/>
      <c r="M256" s="10" t="inlineStr">
        <is>
          <t>中高共通</t>
        </is>
      </c>
      <c r="N256" s="11" t="inlineStr">
        <is>
          <t>https://www.inter-edu.com/schools/school/1950</t>
        </is>
      </c>
      <c r="O256" s="12" t="inlineStr">
        <is>
          <t>開く</t>
        </is>
      </c>
    </row>
    <row r="257">
      <c r="A257" s="4" t="n">
        <v>253</v>
      </c>
      <c r="B257" s="5" t="inlineStr">
        <is>
          <t>埼玉県</t>
        </is>
      </c>
      <c r="C257" s="5" t="inlineStr">
        <is>
          <t>本庄市</t>
        </is>
      </c>
      <c r="D257" s="5" t="inlineStr">
        <is>
          <t>早稲田大学本庄高等学院</t>
        </is>
      </c>
      <c r="E257" s="6" t="inlineStr">
        <is>
          <t>0495-21-2400</t>
        </is>
      </c>
      <c r="F257" s="7" t="inlineStr">
        <is>
          <t>高</t>
        </is>
      </c>
      <c r="G257" s="5" t="inlineStr">
        <is>
          <t>普通科</t>
        </is>
      </c>
      <c r="H257" s="8" t="n"/>
      <c r="I257" s="9" t="n"/>
      <c r="J257" s="9" t="inlineStr">
        <is>
          <t>未架電</t>
        </is>
      </c>
      <c r="K257" s="8" t="n"/>
      <c r="L257" s="9" t="n"/>
      <c r="M257" s="10" t="inlineStr">
        <is>
          <t>公式サイトで確認</t>
        </is>
      </c>
      <c r="N257" s="11" t="inlineStr">
        <is>
          <t>https://www.waseda.jp/school/honjo/access ; https://map.yahoo.co.jp/v3/place/Ob_2QGs8iuA</t>
        </is>
      </c>
      <c r="O257" s="12" t="inlineStr">
        <is>
          <t>開く</t>
        </is>
      </c>
    </row>
    <row r="258">
      <c r="A258" s="4" t="n">
        <v>254</v>
      </c>
      <c r="B258" s="5" t="inlineStr">
        <is>
          <t>千葉県</t>
        </is>
      </c>
      <c r="C258" s="5" t="inlineStr">
        <is>
          <t>市川市</t>
        </is>
      </c>
      <c r="D258" s="5" t="inlineStr">
        <is>
          <t>日出学園高等学校</t>
        </is>
      </c>
      <c r="E258" s="6" t="inlineStr">
        <is>
          <t>047-324-0071</t>
        </is>
      </c>
      <c r="F258" s="13" t="inlineStr">
        <is>
          <t>中</t>
        </is>
      </c>
      <c r="G258" s="5" t="inlineStr">
        <is>
          <t>普通科</t>
        </is>
      </c>
      <c r="H258" s="8" t="n"/>
      <c r="I258" s="9" t="n"/>
      <c r="J258" s="9" t="inlineStr">
        <is>
          <t>未架電</t>
        </is>
      </c>
      <c r="K258" s="8" t="n"/>
      <c r="L258" s="9" t="n"/>
      <c r="M258" s="10" t="inlineStr">
        <is>
          <t>複数サイトで一致するが「学園業務部」の番号とする掲載あり。千葉県の古い一覧には047-322-3660の記載。代表か要確認</t>
        </is>
      </c>
      <c r="N258" s="11" t="inlineStr">
        <is>
          <t>https://www.inter-edu.com/schools/school/169 ; https://school.js88.com/scl_h/22006740/</t>
        </is>
      </c>
      <c r="O258" s="12" t="inlineStr">
        <is>
          <t>開く</t>
        </is>
      </c>
    </row>
    <row r="259">
      <c r="A259" s="4" t="n">
        <v>255</v>
      </c>
      <c r="B259" s="5" t="inlineStr">
        <is>
          <t>千葉県</t>
        </is>
      </c>
      <c r="C259" s="5" t="inlineStr">
        <is>
          <t>四街道市</t>
        </is>
      </c>
      <c r="D259" s="5" t="inlineStr">
        <is>
          <t>愛国学園大学附属四街道高等学校</t>
        </is>
      </c>
      <c r="E259" s="6" t="inlineStr">
        <is>
          <t>043-421-3533</t>
        </is>
      </c>
      <c r="F259" s="7" t="inlineStr">
        <is>
          <t>高</t>
        </is>
      </c>
      <c r="G259" s="5" t="inlineStr">
        <is>
          <t>普通科</t>
        </is>
      </c>
      <c r="H259" s="8" t="n"/>
      <c r="I259" s="9" t="n"/>
      <c r="J259" s="9" t="inlineStr">
        <is>
          <t>未架電</t>
        </is>
      </c>
      <c r="K259" s="8" t="n"/>
      <c r="L259" s="9" t="n"/>
      <c r="M259" s="10" t="inlineStr">
        <is>
          <t>複数サイトで一致</t>
        </is>
      </c>
      <c r="N259" s="11" t="inlineStr">
        <is>
          <t>https://school.js88.com/scl_h/22007000 ; https://www.minkou.jp/hischool/school/4/</t>
        </is>
      </c>
      <c r="O259" s="12" t="inlineStr">
        <is>
          <t>開く</t>
        </is>
      </c>
    </row>
    <row r="260">
      <c r="A260" s="4" t="n">
        <v>256</v>
      </c>
      <c r="B260" s="5" t="inlineStr">
        <is>
          <t>千葉県</t>
        </is>
      </c>
      <c r="C260" s="5" t="inlineStr">
        <is>
          <t>野田市</t>
        </is>
      </c>
      <c r="D260" s="5" t="inlineStr">
        <is>
          <t>あずさ第一高等学校</t>
        </is>
      </c>
      <c r="E260" s="14" t="n"/>
      <c r="F260" s="15" t="inlineStr">
        <is>
          <t>要調査</t>
        </is>
      </c>
      <c r="G260" s="5" t="inlineStr">
        <is>
          <t>普通科</t>
        </is>
      </c>
      <c r="H260" s="8" t="n"/>
      <c r="I260" s="9" t="n"/>
      <c r="J260" s="9" t="inlineStr">
        <is>
          <t>未架電</t>
        </is>
      </c>
      <c r="K260" s="8" t="n"/>
      <c r="L260" s="9" t="n"/>
      <c r="M260" s="10" t="inlineStr">
        <is>
          <t>通信制。代表番号が見つからず。候補：04-7122-2400（求人の応募用番号）</t>
        </is>
      </c>
      <c r="N260" s="11" t="inlineStr">
        <is>
          <t>https://www.minkou.jp/hischool/school/305/</t>
        </is>
      </c>
      <c r="O260" s="12" t="inlineStr">
        <is>
          <t>開く</t>
        </is>
      </c>
    </row>
    <row r="261">
      <c r="A261" s="4" t="n">
        <v>257</v>
      </c>
      <c r="B261" s="5" t="inlineStr">
        <is>
          <t>千葉県</t>
        </is>
      </c>
      <c r="C261" s="5" t="inlineStr">
        <is>
          <t>我孫子市</t>
        </is>
      </c>
      <c r="D261" s="5" t="inlineStr">
        <is>
          <t>我孫子二階堂高等学校</t>
        </is>
      </c>
      <c r="E261" s="6" t="inlineStr">
        <is>
          <t>04-7182-0101</t>
        </is>
      </c>
      <c r="F261" s="7" t="inlineStr">
        <is>
          <t>高</t>
        </is>
      </c>
      <c r="G261" s="5" t="inlineStr">
        <is>
          <t>普通科</t>
        </is>
      </c>
      <c r="H261" s="8" t="n"/>
      <c r="I261" s="9" t="n"/>
      <c r="J261" s="9" t="inlineStr">
        <is>
          <t>未架電</t>
        </is>
      </c>
      <c r="K261" s="8" t="n"/>
      <c r="L261" s="9" t="n"/>
      <c r="M261" s="10" t="inlineStr">
        <is>
          <t>学校情報サイトの複数ページで一致</t>
        </is>
      </c>
      <c r="N261" s="11" t="inlineStr">
        <is>
          <t>https://school.js88.com/scl_h/22006850</t>
        </is>
      </c>
      <c r="O261" s="12" t="inlineStr">
        <is>
          <t>開く</t>
        </is>
      </c>
    </row>
    <row r="262">
      <c r="A262" s="4" t="n">
        <v>258</v>
      </c>
      <c r="B262" s="5" t="inlineStr">
        <is>
          <t>千葉県</t>
        </is>
      </c>
      <c r="C262" s="5" t="inlineStr">
        <is>
          <t>市川市</t>
        </is>
      </c>
      <c r="D262" s="5" t="inlineStr">
        <is>
          <t>市川高等学校（千葉県）</t>
        </is>
      </c>
      <c r="E262" s="6" t="inlineStr">
        <is>
          <t>047-339-2681</t>
        </is>
      </c>
      <c r="F262" s="7" t="inlineStr">
        <is>
          <t>高</t>
        </is>
      </c>
      <c r="G262" s="5" t="inlineStr">
        <is>
          <t>普通科</t>
        </is>
      </c>
      <c r="H262" s="8" t="n"/>
      <c r="I262" s="9" t="n"/>
      <c r="J262" s="9" t="inlineStr">
        <is>
          <t>未架電</t>
        </is>
      </c>
      <c r="K262" s="8" t="n"/>
      <c r="L262" s="9" t="n"/>
      <c r="M262" s="10" t="inlineStr">
        <is>
          <t>中高共通。「代表」として掲載</t>
        </is>
      </c>
      <c r="N262" s="11" t="inlineStr">
        <is>
          <t>https://www.inter-edu.com/schools/school/24 ; https://school.js88.com/scl_h/22006640/</t>
        </is>
      </c>
      <c r="O262" s="12" t="inlineStr">
        <is>
          <t>開く</t>
        </is>
      </c>
    </row>
    <row r="263">
      <c r="A263" s="4" t="n">
        <v>259</v>
      </c>
      <c r="B263" s="5" t="inlineStr">
        <is>
          <t>千葉県</t>
        </is>
      </c>
      <c r="C263" s="5" t="inlineStr">
        <is>
          <t>市原市</t>
        </is>
      </c>
      <c r="D263" s="5" t="inlineStr">
        <is>
          <t>市原中央高等学校</t>
        </is>
      </c>
      <c r="E263" s="6" t="inlineStr">
        <is>
          <t>0436-36-7131</t>
        </is>
      </c>
      <c r="F263" s="13" t="inlineStr">
        <is>
          <t>中</t>
        </is>
      </c>
      <c r="G263" s="5" t="inlineStr">
        <is>
          <t>普通科</t>
        </is>
      </c>
      <c r="H263" s="8" t="n"/>
      <c r="I263" s="9" t="n"/>
      <c r="J263" s="9" t="inlineStr">
        <is>
          <t>未架電</t>
        </is>
      </c>
      <c r="K263" s="8" t="n"/>
      <c r="L263" s="9" t="n"/>
      <c r="M263" s="10" t="inlineStr">
        <is>
          <t>学校情報サイト1件のみで確認</t>
        </is>
      </c>
      <c r="N263" s="11" t="inlineStr">
        <is>
          <t>https://www.inter-edu.com/schools/school/558</t>
        </is>
      </c>
      <c r="O263" s="12" t="inlineStr">
        <is>
          <t>開く</t>
        </is>
      </c>
    </row>
    <row r="264">
      <c r="A264" s="4" t="n">
        <v>260</v>
      </c>
      <c r="B264" s="5" t="inlineStr">
        <is>
          <t>千葉県</t>
        </is>
      </c>
      <c r="C264" s="5" t="inlineStr">
        <is>
          <t>千葉市中央区</t>
        </is>
      </c>
      <c r="D264" s="5" t="inlineStr">
        <is>
          <t>植草学園大学附属高等学校</t>
        </is>
      </c>
      <c r="E264" s="6" t="inlineStr">
        <is>
          <t>043-252-3551</t>
        </is>
      </c>
      <c r="F264" s="7" t="inlineStr">
        <is>
          <t>高</t>
        </is>
      </c>
      <c r="G264" s="5" t="inlineStr">
        <is>
          <t>普通科・専門学科</t>
        </is>
      </c>
      <c r="H264" s="8" t="n"/>
      <c r="I264" s="9" t="n"/>
      <c r="J264" s="9" t="inlineStr">
        <is>
          <t>未架電</t>
        </is>
      </c>
      <c r="K264" s="8" t="n"/>
      <c r="L264" s="9" t="n"/>
      <c r="M264" s="10" t="inlineStr">
        <is>
          <t>2つの情報源で一致</t>
        </is>
      </c>
      <c r="N264" s="11" t="inlineStr">
        <is>
          <t>https://www.inter-edu.com/schools/school/560 ; https://www.univpress.co.jp/gk_pdf/12542.pdf</t>
        </is>
      </c>
      <c r="O264" s="12" t="inlineStr">
        <is>
          <t>開く</t>
        </is>
      </c>
    </row>
    <row r="265">
      <c r="A265" s="4" t="n">
        <v>261</v>
      </c>
      <c r="B265" s="5" t="inlineStr">
        <is>
          <t>千葉県</t>
        </is>
      </c>
      <c r="C265" s="5" t="inlineStr">
        <is>
          <t>千葉市若葉区</t>
        </is>
      </c>
      <c r="D265" s="5" t="inlineStr">
        <is>
          <t>桜林高等学校</t>
        </is>
      </c>
      <c r="E265" s="6" t="inlineStr">
        <is>
          <t>043-233-8081</t>
        </is>
      </c>
      <c r="F265" s="7" t="inlineStr">
        <is>
          <t>高</t>
        </is>
      </c>
      <c r="G265" s="5" t="inlineStr">
        <is>
          <t>普通科</t>
        </is>
      </c>
      <c r="H265" s="8" t="n"/>
      <c r="I265" s="9" t="n"/>
      <c r="J265" s="9" t="inlineStr">
        <is>
          <t>未架電</t>
        </is>
      </c>
      <c r="K265" s="8" t="n"/>
      <c r="L265" s="9" t="n"/>
      <c r="M265" s="10" t="inlineStr">
        <is>
          <t>2つのサイトで一致</t>
        </is>
      </c>
      <c r="N265" s="11" t="inlineStr">
        <is>
          <t>https://www.inter-edu.com/schools/school/1817 ; https://school.js88.com/scl_h/34025096</t>
        </is>
      </c>
      <c r="O265" s="12" t="inlineStr">
        <is>
          <t>開く</t>
        </is>
      </c>
    </row>
    <row r="266">
      <c r="A266" s="4" t="n">
        <v>262</v>
      </c>
      <c r="B266" s="5" t="inlineStr">
        <is>
          <t>千葉県</t>
        </is>
      </c>
      <c r="C266" s="5" t="inlineStr">
        <is>
          <t>鴨川市</t>
        </is>
      </c>
      <c r="D266" s="5" t="inlineStr">
        <is>
          <t>鴨川令徳高等学校</t>
        </is>
      </c>
      <c r="E266" s="6" t="inlineStr">
        <is>
          <t>04-7092-0267</t>
        </is>
      </c>
      <c r="F266" s="7" t="inlineStr">
        <is>
          <t>高</t>
        </is>
      </c>
      <c r="G266" s="5" t="inlineStr">
        <is>
          <t>普通科</t>
        </is>
      </c>
      <c r="H266" s="8" t="n"/>
      <c r="I266" s="9" t="n"/>
      <c r="J266" s="9" t="inlineStr">
        <is>
          <t>未架電</t>
        </is>
      </c>
      <c r="K266" s="8" t="n"/>
      <c r="L266" s="9" t="n"/>
      <c r="M266" s="10" t="inlineStr">
        <is>
          <t>公式の募集要項で確認</t>
        </is>
      </c>
      <c r="N266" s="11" t="inlineStr">
        <is>
          <t>https://reitoku.ed.jp/pdf/2024年度生徒募集要項.pdf</t>
        </is>
      </c>
      <c r="O266" s="12" t="inlineStr">
        <is>
          <t>開く</t>
        </is>
      </c>
    </row>
    <row r="267">
      <c r="A267" s="4" t="n">
        <v>263</v>
      </c>
      <c r="B267" s="5" t="inlineStr">
        <is>
          <t>千葉県</t>
        </is>
      </c>
      <c r="C267" s="5" t="inlineStr">
        <is>
          <t>木更津市</t>
        </is>
      </c>
      <c r="D267" s="5" t="inlineStr">
        <is>
          <t>木更津総合高等学校</t>
        </is>
      </c>
      <c r="E267" s="6" t="inlineStr">
        <is>
          <t>0438-30-5511</t>
        </is>
      </c>
      <c r="F267" s="13" t="inlineStr">
        <is>
          <t>中</t>
        </is>
      </c>
      <c r="G267" s="5" t="inlineStr">
        <is>
          <t>普通科</t>
        </is>
      </c>
      <c r="H267" s="8" t="n"/>
      <c r="I267" s="9" t="n"/>
      <c r="J267" s="9" t="inlineStr">
        <is>
          <t>未架電</t>
        </is>
      </c>
      <c r="K267" s="8" t="n"/>
      <c r="L267" s="9" t="n"/>
      <c r="M267" s="10" t="inlineStr">
        <is>
          <t>学校情報サイト1件のみで確認</t>
        </is>
      </c>
      <c r="N267" s="11" t="inlineStr">
        <is>
          <t>https://www.inter-edu.com/schools/school/579</t>
        </is>
      </c>
      <c r="O267" s="12" t="inlineStr">
        <is>
          <t>開く</t>
        </is>
      </c>
    </row>
    <row r="268">
      <c r="A268" s="4" t="n">
        <v>264</v>
      </c>
      <c r="B268" s="5" t="inlineStr">
        <is>
          <t>千葉県</t>
        </is>
      </c>
      <c r="C268" s="5" t="inlineStr">
        <is>
          <t>木更津市</t>
        </is>
      </c>
      <c r="D268" s="5" t="inlineStr">
        <is>
          <t>暁星国際高等学校</t>
        </is>
      </c>
      <c r="E268" s="6" t="inlineStr">
        <is>
          <t>0438-52-3291</t>
        </is>
      </c>
      <c r="F268" s="7" t="inlineStr">
        <is>
          <t>高</t>
        </is>
      </c>
      <c r="G268" s="5" t="inlineStr">
        <is>
          <t>普通科</t>
        </is>
      </c>
      <c r="H268" s="8" t="n"/>
      <c r="I268" s="9" t="n"/>
      <c r="J268" s="9" t="inlineStr">
        <is>
          <t>未架電</t>
        </is>
      </c>
      <c r="K268" s="8" t="n"/>
      <c r="L268" s="9" t="n"/>
      <c r="M268" s="10" t="inlineStr">
        <is>
          <t>中高共通。東京の暁星とは別の学校</t>
        </is>
      </c>
      <c r="N268" s="11" t="inlineStr">
        <is>
          <t>https://www.inter-edu.com/schools/school/27 ; https://www.minkou.jp/junior/school/9352/</t>
        </is>
      </c>
      <c r="O268" s="12" t="inlineStr">
        <is>
          <t>開く</t>
        </is>
      </c>
    </row>
    <row r="269">
      <c r="A269" s="4" t="n">
        <v>265</v>
      </c>
      <c r="B269" s="5" t="inlineStr">
        <is>
          <t>千葉県</t>
        </is>
      </c>
      <c r="C269" s="5" t="inlineStr">
        <is>
          <t>千葉市稲毛区</t>
        </is>
      </c>
      <c r="D269" s="5" t="inlineStr">
        <is>
          <t>敬愛学園高等学校</t>
        </is>
      </c>
      <c r="E269" s="6" t="inlineStr">
        <is>
          <t>043-251-6361</t>
        </is>
      </c>
      <c r="F269" s="7" t="inlineStr">
        <is>
          <t>高</t>
        </is>
      </c>
      <c r="G269" s="5" t="inlineStr">
        <is>
          <t>普通科</t>
        </is>
      </c>
      <c r="H269" s="8" t="n"/>
      <c r="I269" s="9" t="n"/>
      <c r="J269" s="9" t="inlineStr">
        <is>
          <t>未架電</t>
        </is>
      </c>
      <c r="K269" s="8" t="n"/>
      <c r="L269" s="9" t="n"/>
      <c r="M269" s="10" t="inlineStr">
        <is>
          <t>2つのサイトで一致。千葉敬愛・敬愛大学八日市場・横芝敬愛とは別の学校</t>
        </is>
      </c>
      <c r="N269" s="11" t="inlineStr">
        <is>
          <t>https://www.inter-edu.com/schools/school/583 ; https://school.js88.com/scl_h/22006800</t>
        </is>
      </c>
      <c r="O269" s="12" t="inlineStr">
        <is>
          <t>開く</t>
        </is>
      </c>
    </row>
    <row r="270">
      <c r="A270" s="4" t="n">
        <v>266</v>
      </c>
      <c r="B270" s="5" t="inlineStr">
        <is>
          <t>千葉県</t>
        </is>
      </c>
      <c r="C270" s="5" t="inlineStr">
        <is>
          <t>匝瑳市</t>
        </is>
      </c>
      <c r="D270" s="5" t="inlineStr">
        <is>
          <t>敬愛大学八日市場高等学校</t>
        </is>
      </c>
      <c r="E270" s="6" t="inlineStr">
        <is>
          <t>0479-72-1588</t>
        </is>
      </c>
      <c r="F270" s="7" t="inlineStr">
        <is>
          <t>高</t>
        </is>
      </c>
      <c r="G270" s="5" t="inlineStr">
        <is>
          <t>普通科</t>
        </is>
      </c>
      <c r="H270" s="8" t="n"/>
      <c r="I270" s="9" t="n"/>
      <c r="J270" s="9" t="inlineStr">
        <is>
          <t>未架電</t>
        </is>
      </c>
      <c r="K270" s="8" t="n"/>
      <c r="L270" s="9" t="n"/>
      <c r="M270" s="10" t="inlineStr">
        <is>
          <t>千葉県の私立高校名簿と一致。通信制の問い合わせは0479-79-6600とみられる</t>
        </is>
      </c>
      <c r="N270" s="11" t="inlineStr">
        <is>
          <t>https://www.pref.chiba.lg.jp/gakuji/shiritsutou/shiritsugakkou/koukou-meibo.html ; https://school.js88.com/scl_h/22006590</t>
        </is>
      </c>
      <c r="O270" s="12" t="inlineStr">
        <is>
          <t>開く</t>
        </is>
      </c>
    </row>
    <row r="271">
      <c r="A271" s="4" t="n">
        <v>267</v>
      </c>
      <c r="B271" s="5" t="inlineStr">
        <is>
          <t>千葉県</t>
        </is>
      </c>
      <c r="C271" s="5" t="inlineStr">
        <is>
          <t>松戸市</t>
        </is>
      </c>
      <c r="D271" s="5" t="inlineStr">
        <is>
          <t>光英VERITAS高等学校</t>
        </is>
      </c>
      <c r="E271" s="6" t="inlineStr">
        <is>
          <t>047-392-8111</t>
        </is>
      </c>
      <c r="F271" s="13" t="inlineStr">
        <is>
          <t>中</t>
        </is>
      </c>
      <c r="G271" s="5" t="inlineStr">
        <is>
          <t>普通科・専門学科</t>
        </is>
      </c>
      <c r="H271" s="8" t="n"/>
      <c r="I271" s="9" t="n"/>
      <c r="J271" s="9" t="inlineStr">
        <is>
          <t>未架電</t>
        </is>
      </c>
      <c r="K271" s="8" t="n"/>
      <c r="L271" s="9" t="n"/>
      <c r="M271" s="10" t="inlineStr">
        <is>
          <t>中高共通。旧 聖徳大学附属女子高校</t>
        </is>
      </c>
      <c r="N271" s="11" t="inlineStr">
        <is>
          <t>https://www.inter-edu.com/schools/school/532 ; https://school.js88.com/scl_h/22007070</t>
        </is>
      </c>
      <c r="O271" s="12" t="inlineStr">
        <is>
          <t>開く</t>
        </is>
      </c>
    </row>
    <row r="272">
      <c r="A272" s="4" t="n">
        <v>268</v>
      </c>
      <c r="B272" s="5" t="inlineStr">
        <is>
          <t>千葉県</t>
        </is>
      </c>
      <c r="C272" s="5" t="inlineStr">
        <is>
          <t>市川市</t>
        </is>
      </c>
      <c r="D272" s="5" t="inlineStr">
        <is>
          <t>国府台女子学院高等部</t>
        </is>
      </c>
      <c r="E272" s="6" t="inlineStr">
        <is>
          <t>047-326-8100</t>
        </is>
      </c>
      <c r="F272" s="13" t="inlineStr">
        <is>
          <t>中</t>
        </is>
      </c>
      <c r="G272" s="5" t="inlineStr">
        <is>
          <t>普通科・専門学科</t>
        </is>
      </c>
      <c r="H272" s="8" t="n"/>
      <c r="I272" s="9" t="n"/>
      <c r="J272" s="9" t="inlineStr">
        <is>
          <t>未架電</t>
        </is>
      </c>
      <c r="K272" s="8" t="n"/>
      <c r="L272" s="9" t="n"/>
      <c r="M272" s="10" t="inlineStr">
        <is>
          <t>千葉県の教育便覧では高等部の番号。中高の番号として047-322-7770を載せる資料もあり、代表か不明。中学部は047-322-7777</t>
        </is>
      </c>
      <c r="N272" s="11" t="inlineStr">
        <is>
          <t>https://school.js88.com/scl_h/22006780 ; https://www.pref.chiba.lg.jp/kyouiku/seisaku/kouhou/kyouikubinran/documents/192-197_1.pdf</t>
        </is>
      </c>
      <c r="O272" s="12" t="inlineStr">
        <is>
          <t>開く</t>
        </is>
      </c>
    </row>
    <row r="273">
      <c r="A273" s="4" t="n">
        <v>269</v>
      </c>
      <c r="B273" s="5" t="inlineStr">
        <is>
          <t>千葉県</t>
        </is>
      </c>
      <c r="C273" s="5" t="inlineStr">
        <is>
          <t>木更津市</t>
        </is>
      </c>
      <c r="D273" s="5" t="inlineStr">
        <is>
          <t>志学館高等部</t>
        </is>
      </c>
      <c r="E273" s="6" t="inlineStr">
        <is>
          <t>0438-37-3131</t>
        </is>
      </c>
      <c r="F273" s="7" t="inlineStr">
        <is>
          <t>高</t>
        </is>
      </c>
      <c r="G273" s="5" t="inlineStr">
        <is>
          <t>普通科</t>
        </is>
      </c>
      <c r="H273" s="8" t="n"/>
      <c r="I273" s="9" t="n"/>
      <c r="J273" s="9" t="inlineStr">
        <is>
          <t>未架電</t>
        </is>
      </c>
      <c r="K273" s="8" t="n"/>
      <c r="L273" s="9" t="n"/>
      <c r="M273" s="10" t="inlineStr">
        <is>
          <t>公式パンフレットに「代表」と記載</t>
        </is>
      </c>
      <c r="N273" s="11" t="inlineStr">
        <is>
          <t>https://www.shigakukan.ed.jp/contents/wp-content/uploads/2025/09/SS_Pamph2026.pdf</t>
        </is>
      </c>
      <c r="O273" s="12" t="inlineStr">
        <is>
          <t>開く</t>
        </is>
      </c>
    </row>
    <row r="274">
      <c r="A274" s="4" t="n">
        <v>270</v>
      </c>
      <c r="B274" s="5" t="inlineStr">
        <is>
          <t>千葉県</t>
        </is>
      </c>
      <c r="C274" s="5" t="inlineStr">
        <is>
          <t>柏市</t>
        </is>
      </c>
      <c r="D274" s="5" t="inlineStr">
        <is>
          <t>芝浦工業大学柏高等学校</t>
        </is>
      </c>
      <c r="E274" s="6" t="inlineStr">
        <is>
          <t>04-7174-3100</t>
        </is>
      </c>
      <c r="F274" s="7" t="inlineStr">
        <is>
          <t>高</t>
        </is>
      </c>
      <c r="G274" s="5" t="inlineStr">
        <is>
          <t>普通科</t>
        </is>
      </c>
      <c r="H274" s="8" t="n"/>
      <c r="I274" s="9" t="n"/>
      <c r="J274" s="9" t="inlineStr">
        <is>
          <t>未架電</t>
        </is>
      </c>
      <c r="K274" s="8" t="n"/>
      <c r="L274" s="9" t="n"/>
      <c r="M274" s="10" t="inlineStr">
        <is>
          <t>公式資料で確認。中高共通</t>
        </is>
      </c>
      <c r="N274" s="11" t="inlineStr">
        <is>
          <t>https://www.ka.shibaura-it.ac.jp/wp-content/uploads/2026/02/b3c50081251967bacbbff120efa7d4b7.pdf</t>
        </is>
      </c>
      <c r="O274" s="12" t="inlineStr">
        <is>
          <t>開く</t>
        </is>
      </c>
    </row>
    <row r="275">
      <c r="A275" s="4" t="n">
        <v>271</v>
      </c>
      <c r="B275" s="5" t="inlineStr">
        <is>
          <t>千葉県</t>
        </is>
      </c>
      <c r="C275" s="5" t="inlineStr">
        <is>
          <t>千葉市美浜区</t>
        </is>
      </c>
      <c r="D275" s="5" t="inlineStr">
        <is>
          <t>渋谷教育学園幕張高等学校</t>
        </is>
      </c>
      <c r="E275" s="6" t="inlineStr">
        <is>
          <t>043-271-1221</t>
        </is>
      </c>
      <c r="F275" s="7" t="inlineStr">
        <is>
          <t>高</t>
        </is>
      </c>
      <c r="G275" s="5" t="inlineStr">
        <is>
          <t>普通科</t>
        </is>
      </c>
      <c r="H275" s="8" t="n"/>
      <c r="I275" s="9" t="n"/>
      <c r="J275" s="9" t="inlineStr">
        <is>
          <t>未架電</t>
        </is>
      </c>
      <c r="K275" s="8" t="n"/>
      <c r="L275" s="9" t="n"/>
      <c r="M275" s="10" t="inlineStr">
        <is>
          <t>公式資料で確認。中高共通</t>
        </is>
      </c>
      <c r="N275" s="11" t="inlineStr">
        <is>
          <t>https://www.shibumaku.jp/wp-content/uploads/2021/03/transfer2021-4.pdf</t>
        </is>
      </c>
      <c r="O275" s="12" t="inlineStr">
        <is>
          <t>開く</t>
        </is>
      </c>
    </row>
    <row r="276">
      <c r="A276" s="4" t="n">
        <v>272</v>
      </c>
      <c r="B276" s="5" t="inlineStr">
        <is>
          <t>千葉県</t>
        </is>
      </c>
      <c r="C276" s="5" t="inlineStr">
        <is>
          <t>八千代市</t>
        </is>
      </c>
      <c r="D276" s="5" t="inlineStr">
        <is>
          <t>秀明大学学校教師学部附属秀明八千代高等学校</t>
        </is>
      </c>
      <c r="E276" s="6" t="inlineStr">
        <is>
          <t>047-450-7001</t>
        </is>
      </c>
      <c r="F276" s="7" t="inlineStr">
        <is>
          <t>高</t>
        </is>
      </c>
      <c r="G276" s="5" t="inlineStr">
        <is>
          <t>普通科</t>
        </is>
      </c>
      <c r="H276" s="8" t="n"/>
      <c r="I276" s="9" t="n"/>
      <c r="J276" s="9" t="inlineStr">
        <is>
          <t>未架電</t>
        </is>
      </c>
      <c r="K276" s="8" t="n"/>
      <c r="L276" s="9" t="n"/>
      <c r="M276" s="10" t="inlineStr">
        <is>
          <t>2つのサイトで一致</t>
        </is>
      </c>
      <c r="N276" s="11" t="inlineStr">
        <is>
          <t>https://school.js88.com/scl_h/22007080 ; https://www.inter-edu.com/schools/school/209</t>
        </is>
      </c>
      <c r="O276" s="12" t="inlineStr">
        <is>
          <t>開く</t>
        </is>
      </c>
    </row>
    <row r="277">
      <c r="A277" s="4" t="n">
        <v>273</v>
      </c>
      <c r="B277" s="5" t="inlineStr">
        <is>
          <t>千葉県</t>
        </is>
      </c>
      <c r="C277" s="5" t="inlineStr">
        <is>
          <t>君津市</t>
        </is>
      </c>
      <c r="D277" s="5" t="inlineStr">
        <is>
          <t>翔凜高等学校</t>
        </is>
      </c>
      <c r="E277" s="6" t="inlineStr">
        <is>
          <t>0439-55-1200</t>
        </is>
      </c>
      <c r="F277" s="7" t="inlineStr">
        <is>
          <t>高</t>
        </is>
      </c>
      <c r="G277" s="5" t="inlineStr">
        <is>
          <t>専門学科</t>
        </is>
      </c>
      <c r="H277" s="8" t="n"/>
      <c r="I277" s="9" t="n"/>
      <c r="J277" s="9" t="inlineStr">
        <is>
          <t>未架電</t>
        </is>
      </c>
      <c r="K277" s="8" t="n"/>
      <c r="L277" s="9" t="n"/>
      <c r="M277" s="10" t="inlineStr">
        <is>
          <t>中高共通</t>
        </is>
      </c>
      <c r="N277" s="11" t="inlineStr">
        <is>
          <t>https://school.js88.com/scl_h/22007120/ ; https://www.inter-edu.com/schools/school/1485</t>
        </is>
      </c>
      <c r="O277" s="12" t="inlineStr">
        <is>
          <t>開く</t>
        </is>
      </c>
    </row>
    <row r="278">
      <c r="A278" s="4" t="n">
        <v>274</v>
      </c>
      <c r="B278" s="5" t="inlineStr">
        <is>
          <t>千葉県</t>
        </is>
      </c>
      <c r="C278" s="5" t="inlineStr">
        <is>
          <t>市川市</t>
        </is>
      </c>
      <c r="D278" s="5" t="inlineStr">
        <is>
          <t>昭和学院高等学校</t>
        </is>
      </c>
      <c r="E278" s="6" t="inlineStr">
        <is>
          <t>047-323-4171</t>
        </is>
      </c>
      <c r="F278" s="7" t="inlineStr">
        <is>
          <t>高</t>
        </is>
      </c>
      <c r="G278" s="5" t="inlineStr">
        <is>
          <t>普通科</t>
        </is>
      </c>
      <c r="H278" s="8" t="n"/>
      <c r="I278" s="9" t="n"/>
      <c r="J278" s="9" t="inlineStr">
        <is>
          <t>未架電</t>
        </is>
      </c>
      <c r="K278" s="8" t="n"/>
      <c r="L278" s="9" t="n"/>
      <c r="M278" s="10" t="inlineStr">
        <is>
          <t>中高共通。昭和学院秀英（千葉市）とは別の学校</t>
        </is>
      </c>
      <c r="N278" s="11" t="inlineStr">
        <is>
          <t>https://www.inter-edu.com/schools/school/214 ; https://www.pref.chiba.lg.jp/gakuji/shiritsutou/shiritsugakkou/documents/r8chugaku.pdf</t>
        </is>
      </c>
      <c r="O278" s="12" t="inlineStr">
        <is>
          <t>開く</t>
        </is>
      </c>
    </row>
    <row r="279">
      <c r="A279" s="4" t="n">
        <v>275</v>
      </c>
      <c r="B279" s="5" t="inlineStr">
        <is>
          <t>千葉県</t>
        </is>
      </c>
      <c r="C279" s="5" t="inlineStr">
        <is>
          <t>千葉市美浜区</t>
        </is>
      </c>
      <c r="D279" s="5" t="inlineStr">
        <is>
          <t>昭和学院秀英高等学校</t>
        </is>
      </c>
      <c r="E279" s="6" t="inlineStr">
        <is>
          <t>043-272-2481</t>
        </is>
      </c>
      <c r="F279" s="7" t="inlineStr">
        <is>
          <t>高</t>
        </is>
      </c>
      <c r="G279" s="5" t="inlineStr">
        <is>
          <t>普通科</t>
        </is>
      </c>
      <c r="H279" s="8" t="n"/>
      <c r="I279" s="9" t="n"/>
      <c r="J279" s="9" t="inlineStr">
        <is>
          <t>未架電</t>
        </is>
      </c>
      <c r="K279" s="8" t="n"/>
      <c r="L279" s="9" t="n"/>
      <c r="M279" s="10" t="inlineStr">
        <is>
          <t>中高共通。複数サイトで一致</t>
        </is>
      </c>
      <c r="N279" s="11" t="inlineStr">
        <is>
          <t>https://www.inter-edu.com/schools/school/34</t>
        </is>
      </c>
      <c r="O279" s="12" t="inlineStr">
        <is>
          <t>開く</t>
        </is>
      </c>
    </row>
    <row r="280">
      <c r="A280" s="4" t="n">
        <v>276</v>
      </c>
      <c r="B280" s="5" t="inlineStr">
        <is>
          <t>千葉県</t>
        </is>
      </c>
      <c r="C280" s="5" t="inlineStr">
        <is>
          <t>野田市</t>
        </is>
      </c>
      <c r="D280" s="5" t="inlineStr">
        <is>
          <t>西武台千葉高等学校</t>
        </is>
      </c>
      <c r="E280" s="6" t="inlineStr">
        <is>
          <t>04-7127-1111</t>
        </is>
      </c>
      <c r="F280" s="7" t="inlineStr">
        <is>
          <t>高</t>
        </is>
      </c>
      <c r="G280" s="5" t="inlineStr">
        <is>
          <t>普通科</t>
        </is>
      </c>
      <c r="H280" s="8" t="n"/>
      <c r="I280" s="9" t="n"/>
      <c r="J280" s="9" t="inlineStr">
        <is>
          <t>未架電</t>
        </is>
      </c>
      <c r="K280" s="8" t="n"/>
      <c r="L280" s="9" t="n"/>
      <c r="M280" s="10" t="inlineStr">
        <is>
          <t>中高共通</t>
        </is>
      </c>
      <c r="N280" s="11" t="inlineStr">
        <is>
          <t>https://school.js88.com/scl_h/22007100/ ; https://www.inter-edu.com/schools/school/163</t>
        </is>
      </c>
      <c r="O280" s="12" t="inlineStr">
        <is>
          <t>開く</t>
        </is>
      </c>
    </row>
    <row r="281">
      <c r="A281" s="4" t="n">
        <v>277</v>
      </c>
      <c r="B281" s="5" t="inlineStr">
        <is>
          <t>千葉県</t>
        </is>
      </c>
      <c r="C281" s="5" t="inlineStr">
        <is>
          <t>松戸市</t>
        </is>
      </c>
      <c r="D281" s="5" t="inlineStr">
        <is>
          <t>専修大学松戸高等学校</t>
        </is>
      </c>
      <c r="E281" s="6" t="inlineStr">
        <is>
          <t>047-362-9101</t>
        </is>
      </c>
      <c r="F281" s="13" t="inlineStr">
        <is>
          <t>中</t>
        </is>
      </c>
      <c r="G281" s="5" t="inlineStr">
        <is>
          <t>普通科</t>
        </is>
      </c>
      <c r="H281" s="8" t="n"/>
      <c r="I281" s="9" t="n"/>
      <c r="J281" s="9" t="inlineStr">
        <is>
          <t>未架電</t>
        </is>
      </c>
      <c r="K281" s="8" t="n"/>
      <c r="L281" s="9" t="n"/>
      <c r="M281" s="10" t="inlineStr">
        <is>
          <t>資料では高校9101・中学9102と併記。中高代表を047-362-9102とするサイトもあり食い違い</t>
        </is>
      </c>
      <c r="N281" s="11" t="inlineStr">
        <is>
          <t>https://univpress.co.jp/gk_pdf/12524.pdf</t>
        </is>
      </c>
      <c r="O281" s="12" t="inlineStr">
        <is>
          <t>開く</t>
        </is>
      </c>
    </row>
    <row r="282">
      <c r="A282" s="4" t="n">
        <v>278</v>
      </c>
      <c r="B282" s="5" t="inlineStr">
        <is>
          <t>千葉県</t>
        </is>
      </c>
      <c r="C282" s="5" t="inlineStr">
        <is>
          <t>木更津市</t>
        </is>
      </c>
      <c r="D282" s="5" t="inlineStr">
        <is>
          <t>拓殖大学紅陵高等学校</t>
        </is>
      </c>
      <c r="E282" s="6" t="inlineStr">
        <is>
          <t>0438-37-2511</t>
        </is>
      </c>
      <c r="F282" s="13" t="inlineStr">
        <is>
          <t>中</t>
        </is>
      </c>
      <c r="G282" s="5" t="inlineStr">
        <is>
          <t>普通科</t>
        </is>
      </c>
      <c r="H282" s="8" t="n"/>
      <c r="I282" s="9" t="n"/>
      <c r="J282" s="9" t="inlineStr">
        <is>
          <t>未架電</t>
        </is>
      </c>
      <c r="K282" s="8" t="n"/>
      <c r="L282" s="9" t="n"/>
      <c r="M282" s="10" t="inlineStr">
        <is>
          <t>学校情報サイト1件のみで確認</t>
        </is>
      </c>
      <c r="N282" s="11" t="inlineStr">
        <is>
          <t>https://www.inter-edu.com/schools/school/627</t>
        </is>
      </c>
      <c r="O282" s="12" t="inlineStr">
        <is>
          <t>開く</t>
        </is>
      </c>
    </row>
    <row r="283">
      <c r="A283" s="4" t="n">
        <v>279</v>
      </c>
      <c r="B283" s="5" t="inlineStr">
        <is>
          <t>千葉県</t>
        </is>
      </c>
      <c r="C283" s="5" t="inlineStr">
        <is>
          <t>八千代市</t>
        </is>
      </c>
      <c r="D283" s="5" t="inlineStr">
        <is>
          <t>千葉英和高等学校</t>
        </is>
      </c>
      <c r="E283" s="6" t="inlineStr">
        <is>
          <t>047-484-5141</t>
        </is>
      </c>
      <c r="F283" s="7" t="inlineStr">
        <is>
          <t>高</t>
        </is>
      </c>
      <c r="G283" s="5" t="inlineStr">
        <is>
          <t>普通科・専門学科</t>
        </is>
      </c>
      <c r="H283" s="8" t="n"/>
      <c r="I283" s="9" t="n"/>
      <c r="J283" s="9" t="inlineStr">
        <is>
          <t>未架電</t>
        </is>
      </c>
      <c r="K283" s="8" t="n"/>
      <c r="L283" s="9" t="n"/>
      <c r="M283" s="10" t="inlineStr">
        <is>
          <t>2つのサイトで一致</t>
        </is>
      </c>
      <c r="N283" s="11" t="inlineStr">
        <is>
          <t>https://www.inter-edu.com/schools/school/643 ; https://school.js88.com/scl_h/22006720?page=5</t>
        </is>
      </c>
      <c r="O283" s="12" t="inlineStr">
        <is>
          <t>開く</t>
        </is>
      </c>
    </row>
    <row r="284">
      <c r="A284" s="4" t="n">
        <v>280</v>
      </c>
      <c r="B284" s="5" t="inlineStr">
        <is>
          <t>千葉県</t>
        </is>
      </c>
      <c r="C284" s="5" t="inlineStr">
        <is>
          <t>東金市</t>
        </is>
      </c>
      <c r="D284" s="5" t="inlineStr">
        <is>
          <t>千葉学芸高等学校</t>
        </is>
      </c>
      <c r="E284" s="6" t="inlineStr">
        <is>
          <t>0475-52-1161</t>
        </is>
      </c>
      <c r="F284" s="7" t="inlineStr">
        <is>
          <t>高</t>
        </is>
      </c>
      <c r="G284" s="5" t="inlineStr">
        <is>
          <t>普通科</t>
        </is>
      </c>
      <c r="H284" s="8" t="n"/>
      <c r="I284" s="9" t="n"/>
      <c r="J284" s="9" t="inlineStr">
        <is>
          <t>未架電</t>
        </is>
      </c>
      <c r="K284" s="8" t="n"/>
      <c r="L284" s="9" t="n"/>
      <c r="M284" s="10" t="inlineStr">
        <is>
          <t>公式資料で確認</t>
        </is>
      </c>
      <c r="N284" s="11" t="inlineStr">
        <is>
          <t>https://cgh.ed.jp/edu-contents/hyoka/2025evaluation.pdf</t>
        </is>
      </c>
      <c r="O284" s="12" t="inlineStr">
        <is>
          <t>開く</t>
        </is>
      </c>
    </row>
    <row r="285">
      <c r="A285" s="4" t="n">
        <v>281</v>
      </c>
      <c r="B285" s="5" t="inlineStr">
        <is>
          <t>千葉県</t>
        </is>
      </c>
      <c r="C285" s="5" t="inlineStr">
        <is>
          <t>四街道市</t>
        </is>
      </c>
      <c r="D285" s="5" t="inlineStr">
        <is>
          <t>千葉敬愛高等学校</t>
        </is>
      </c>
      <c r="E285" s="6" t="inlineStr">
        <is>
          <t>043-422-0131</t>
        </is>
      </c>
      <c r="F285" s="7" t="inlineStr">
        <is>
          <t>高</t>
        </is>
      </c>
      <c r="G285" s="5" t="inlineStr">
        <is>
          <t>普通科</t>
        </is>
      </c>
      <c r="H285" s="8" t="n"/>
      <c r="I285" s="9" t="n"/>
      <c r="J285" s="9" t="inlineStr">
        <is>
          <t>未架電</t>
        </is>
      </c>
      <c r="K285" s="8" t="n"/>
      <c r="L285" s="9" t="n"/>
      <c r="M285" s="10" t="inlineStr">
        <is>
          <t>千葉県の私立高校名簿（R8）で確認</t>
        </is>
      </c>
      <c r="N285" s="11" t="inlineStr">
        <is>
          <t>https://www.pref.chiba.lg.jp/gakuji/shiritsutou/shiritsugakkou/koukou-meibo.html</t>
        </is>
      </c>
      <c r="O285" s="12" t="inlineStr">
        <is>
          <t>開く</t>
        </is>
      </c>
    </row>
    <row r="286">
      <c r="A286" s="4" t="n">
        <v>282</v>
      </c>
      <c r="B286" s="5" t="inlineStr">
        <is>
          <t>千葉県</t>
        </is>
      </c>
      <c r="C286" s="5" t="inlineStr">
        <is>
          <t>千葉市稲毛区</t>
        </is>
      </c>
      <c r="D286" s="5" t="inlineStr">
        <is>
          <t>千葉経済大学附属高等学校</t>
        </is>
      </c>
      <c r="E286" s="6" t="inlineStr">
        <is>
          <t>043-251-7221</t>
        </is>
      </c>
      <c r="F286" s="7" t="inlineStr">
        <is>
          <t>高</t>
        </is>
      </c>
      <c r="G286" s="5" t="inlineStr">
        <is>
          <t>普通科・専門学科</t>
        </is>
      </c>
      <c r="H286" s="8" t="n"/>
      <c r="I286" s="9" t="n"/>
      <c r="J286" s="9" t="inlineStr">
        <is>
          <t>未架電</t>
        </is>
      </c>
      <c r="K286" s="8" t="n"/>
      <c r="L286" s="9" t="n"/>
      <c r="M286" s="10" t="inlineStr">
        <is>
          <t>千葉県の私立高校名簿で確認</t>
        </is>
      </c>
      <c r="N286" s="11" t="inlineStr">
        <is>
          <t>https://www.pref.chiba.lg.jp/gakuji/shiritsutou/shiritsugakkou/koukou-meibo.html</t>
        </is>
      </c>
      <c r="O286" s="12" t="inlineStr">
        <is>
          <t>開く</t>
        </is>
      </c>
    </row>
    <row r="287">
      <c r="A287" s="4" t="n">
        <v>283</v>
      </c>
      <c r="B287" s="5" t="inlineStr">
        <is>
          <t>千葉県</t>
        </is>
      </c>
      <c r="C287" s="5" t="inlineStr">
        <is>
          <t>館山市</t>
        </is>
      </c>
      <c r="D287" s="5" t="inlineStr">
        <is>
          <t>千葉県安房西高等学校</t>
        </is>
      </c>
      <c r="E287" s="6" t="inlineStr">
        <is>
          <t>0470-22-0545</t>
        </is>
      </c>
      <c r="F287" s="13" t="inlineStr">
        <is>
          <t>中</t>
        </is>
      </c>
      <c r="G287" s="5" t="inlineStr">
        <is>
          <t>普通科</t>
        </is>
      </c>
      <c r="H287" s="8" t="n"/>
      <c r="I287" s="9" t="n"/>
      <c r="J287" s="9" t="inlineStr">
        <is>
          <t>未架電</t>
        </is>
      </c>
      <c r="K287" s="8" t="n"/>
      <c r="L287" s="9" t="n"/>
      <c r="M287" s="10" t="inlineStr">
        <is>
          <t>私立。学校情報サイト1件のみで確認。県立安房高校（0470-22-0130）とは別の学校</t>
        </is>
      </c>
      <c r="N287" s="11" t="inlineStr">
        <is>
          <t>https://school.js88.com/scl_h/22006670</t>
        </is>
      </c>
      <c r="O287" s="12" t="inlineStr">
        <is>
          <t>開く</t>
        </is>
      </c>
    </row>
    <row r="288">
      <c r="A288" s="4" t="n">
        <v>284</v>
      </c>
      <c r="B288" s="5" t="inlineStr">
        <is>
          <t>千葉県</t>
        </is>
      </c>
      <c r="C288" s="5" t="inlineStr">
        <is>
          <t>市川市</t>
        </is>
      </c>
      <c r="D288" s="5" t="inlineStr">
        <is>
          <t>千葉商科大学付属高等学校</t>
        </is>
      </c>
      <c r="E288" s="6" t="inlineStr">
        <is>
          <t>047-373-2111</t>
        </is>
      </c>
      <c r="F288" s="7" t="inlineStr">
        <is>
          <t>高</t>
        </is>
      </c>
      <c r="G288" s="5" t="inlineStr">
        <is>
          <t>普通科・専門学科</t>
        </is>
      </c>
      <c r="H288" s="8" t="n"/>
      <c r="I288" s="9" t="n"/>
      <c r="J288" s="9" t="inlineStr">
        <is>
          <t>未架電</t>
        </is>
      </c>
      <c r="K288" s="8" t="n"/>
      <c r="L288" s="9" t="n"/>
      <c r="M288" s="10" t="inlineStr">
        <is>
          <t>2つの情報源で一致</t>
        </is>
      </c>
      <c r="N288" s="11" t="inlineStr">
        <is>
          <t>https://www.inter-edu.com/schools/school/644 ; https://www.univpress.co.jp/gk_pdf/12519.pdf</t>
        </is>
      </c>
      <c r="O288" s="12" t="inlineStr">
        <is>
          <t>開く</t>
        </is>
      </c>
    </row>
    <row r="289">
      <c r="A289" s="4" t="n">
        <v>285</v>
      </c>
      <c r="B289" s="5" t="inlineStr">
        <is>
          <t>千葉県</t>
        </is>
      </c>
      <c r="C289" s="5" t="inlineStr">
        <is>
          <t>千葉市中央区</t>
        </is>
      </c>
      <c r="D289" s="5" t="inlineStr">
        <is>
          <t>千葉聖心高等学校</t>
        </is>
      </c>
      <c r="E289" s="6" t="inlineStr">
        <is>
          <t>043-225-4151</t>
        </is>
      </c>
      <c r="F289" s="13" t="inlineStr">
        <is>
          <t>中</t>
        </is>
      </c>
      <c r="G289" s="5" t="inlineStr">
        <is>
          <t>普通科</t>
        </is>
      </c>
      <c r="H289" s="8" t="n"/>
      <c r="I289" s="9" t="n"/>
      <c r="J289" s="9" t="inlineStr">
        <is>
          <t>未架電</t>
        </is>
      </c>
      <c r="K289" s="8" t="n"/>
      <c r="L289" s="9" t="n"/>
      <c r="M289" s="10" t="inlineStr">
        <is>
          <t>学校情報サイト1件のみで確認</t>
        </is>
      </c>
      <c r="N289" s="11" t="inlineStr">
        <is>
          <t>https://www.inter-edu.com/schools/school/999</t>
        </is>
      </c>
      <c r="O289" s="12" t="inlineStr">
        <is>
          <t>開く</t>
        </is>
      </c>
    </row>
    <row r="290">
      <c r="A290" s="4" t="n">
        <v>286</v>
      </c>
      <c r="B290" s="5" t="inlineStr">
        <is>
          <t>千葉県</t>
        </is>
      </c>
      <c r="C290" s="5" t="inlineStr">
        <is>
          <t>船橋市</t>
        </is>
      </c>
      <c r="D290" s="5" t="inlineStr">
        <is>
          <t>千葉日本大学第一高等学校</t>
        </is>
      </c>
      <c r="E290" s="6" t="inlineStr">
        <is>
          <t>047-466-5155</t>
        </is>
      </c>
      <c r="F290" s="13" t="inlineStr">
        <is>
          <t>中</t>
        </is>
      </c>
      <c r="G290" s="5" t="inlineStr">
        <is>
          <t>普通科</t>
        </is>
      </c>
      <c r="H290" s="8" t="n"/>
      <c r="I290" s="9" t="n"/>
      <c r="J290" s="9" t="inlineStr">
        <is>
          <t>未架電</t>
        </is>
      </c>
      <c r="K290" s="8" t="n"/>
      <c r="L290" s="9" t="n"/>
      <c r="M290" s="10" t="inlineStr">
        <is>
          <t>中高共通。学校情報サイト1件のみで確認</t>
        </is>
      </c>
      <c r="N290" s="11" t="inlineStr">
        <is>
          <t>https://www.inter-edu.com/schools/school/165</t>
        </is>
      </c>
      <c r="O290" s="12" t="inlineStr">
        <is>
          <t>開く</t>
        </is>
      </c>
    </row>
    <row r="291">
      <c r="A291" s="4" t="n">
        <v>287</v>
      </c>
      <c r="B291" s="5" t="inlineStr">
        <is>
          <t>千葉県</t>
        </is>
      </c>
      <c r="C291" s="5" t="inlineStr">
        <is>
          <t>香取市</t>
        </is>
      </c>
      <c r="D291" s="5" t="inlineStr">
        <is>
          <t>千葉萌陽高等学校</t>
        </is>
      </c>
      <c r="E291" s="6" t="inlineStr">
        <is>
          <t>0478-52-2959</t>
        </is>
      </c>
      <c r="F291" s="13" t="inlineStr">
        <is>
          <t>中</t>
        </is>
      </c>
      <c r="G291" s="5" t="inlineStr">
        <is>
          <t>普通科</t>
        </is>
      </c>
      <c r="H291" s="8" t="n"/>
      <c r="I291" s="9" t="n"/>
      <c r="J291" s="9" t="inlineStr">
        <is>
          <t>未架電</t>
        </is>
      </c>
      <c r="K291" s="8" t="n"/>
      <c r="L291" s="9" t="n"/>
      <c r="M291" s="10" t="inlineStr">
        <is>
          <t>学校情報サイト1件のみで確認</t>
        </is>
      </c>
      <c r="N291" s="11" t="inlineStr">
        <is>
          <t>https://school.js88.com/scl_h/22006730?page=6</t>
        </is>
      </c>
      <c r="O291" s="12" t="inlineStr">
        <is>
          <t>開く</t>
        </is>
      </c>
    </row>
    <row r="292">
      <c r="A292" s="4" t="n">
        <v>288</v>
      </c>
      <c r="B292" s="5" t="inlineStr">
        <is>
          <t>千葉県</t>
        </is>
      </c>
      <c r="C292" s="5" t="inlineStr">
        <is>
          <t>千葉市中央区</t>
        </is>
      </c>
      <c r="D292" s="5" t="inlineStr">
        <is>
          <t>千葉明徳高等学校</t>
        </is>
      </c>
      <c r="E292" s="6" t="inlineStr">
        <is>
          <t>043-265-1612</t>
        </is>
      </c>
      <c r="F292" s="7" t="inlineStr">
        <is>
          <t>高</t>
        </is>
      </c>
      <c r="G292" s="5" t="inlineStr">
        <is>
          <t>普通科</t>
        </is>
      </c>
      <c r="H292" s="8" t="n"/>
      <c r="I292" s="9" t="n"/>
      <c r="J292" s="9" t="inlineStr">
        <is>
          <t>未架電</t>
        </is>
      </c>
      <c r="K292" s="8" t="n"/>
      <c r="L292" s="9" t="n"/>
      <c r="M292" s="10" t="inlineStr">
        <is>
          <t>中高共通（公式資料で確認）。043-265-1611は法人事務所</t>
        </is>
      </c>
      <c r="N292" s="11" t="inlineStr">
        <is>
          <t>https://edu.chibameitoku.ac.jp/contents/wp-content/uploads/2025/06/sembatsu.pdf</t>
        </is>
      </c>
      <c r="O292" s="12" t="inlineStr">
        <is>
          <t>開く</t>
        </is>
      </c>
    </row>
    <row r="293">
      <c r="A293" s="4" t="n">
        <v>289</v>
      </c>
      <c r="B293" s="5" t="inlineStr">
        <is>
          <t>千葉県</t>
        </is>
      </c>
      <c r="C293" s="5" t="inlineStr">
        <is>
          <t>八街市</t>
        </is>
      </c>
      <c r="D293" s="5" t="inlineStr">
        <is>
          <t>千葉黎明高等学校</t>
        </is>
      </c>
      <c r="E293" s="6" t="inlineStr">
        <is>
          <t>043-443-3221</t>
        </is>
      </c>
      <c r="F293" s="7" t="inlineStr">
        <is>
          <t>高</t>
        </is>
      </c>
      <c r="G293" s="5" t="inlineStr">
        <is>
          <t>普通科・専門学科</t>
        </is>
      </c>
      <c r="H293" s="8" t="n"/>
      <c r="I293" s="9" t="n"/>
      <c r="J293" s="9" t="inlineStr">
        <is>
          <t>未架電</t>
        </is>
      </c>
      <c r="K293" s="8" t="n"/>
      <c r="L293" s="9" t="n"/>
      <c r="M293" s="10" t="inlineStr">
        <is>
          <t>2つの情報源で一致</t>
        </is>
      </c>
      <c r="N293" s="11" t="inlineStr">
        <is>
          <t>https://www.inter-edu.com/schools/school/642 ; https://map.yahoo.co.jp/v3/place/QKbeFNPqVqA</t>
        </is>
      </c>
      <c r="O293" s="12" t="inlineStr">
        <is>
          <t>開く</t>
        </is>
      </c>
    </row>
    <row r="294">
      <c r="A294" s="4" t="n">
        <v>290</v>
      </c>
      <c r="B294" s="5" t="inlineStr">
        <is>
          <t>千葉県</t>
        </is>
      </c>
      <c r="C294" s="5" t="inlineStr">
        <is>
          <t>我孫子市</t>
        </is>
      </c>
      <c r="D294" s="5" t="inlineStr">
        <is>
          <t>中央学院高等学校</t>
        </is>
      </c>
      <c r="E294" s="6" t="inlineStr">
        <is>
          <t>04-7188-1101</t>
        </is>
      </c>
      <c r="F294" s="7" t="inlineStr">
        <is>
          <t>高</t>
        </is>
      </c>
      <c r="G294" s="5" t="inlineStr">
        <is>
          <t>普通科</t>
        </is>
      </c>
      <c r="H294" s="8" t="n"/>
      <c r="I294" s="9" t="n"/>
      <c r="J294" s="9" t="inlineStr">
        <is>
          <t>未架電</t>
        </is>
      </c>
      <c r="K294" s="8" t="n"/>
      <c r="L294" s="9" t="n"/>
      <c r="M294" s="10" t="inlineStr">
        <is>
          <t>公式資料で確認</t>
        </is>
      </c>
      <c r="N294" s="11" t="inlineStr">
        <is>
          <t>https://www.chuogakuin-h.ed.jp/contents/wp-content/uploads/2022/06/549b6957b0479fd3fb964d3fc7063ede.pdf</t>
        </is>
      </c>
      <c r="O294" s="12" t="inlineStr">
        <is>
          <t>開く</t>
        </is>
      </c>
    </row>
    <row r="295">
      <c r="A295" s="4" t="n">
        <v>291</v>
      </c>
      <c r="B295" s="5" t="inlineStr">
        <is>
          <t>千葉県</t>
        </is>
      </c>
      <c r="C295" s="5" t="inlineStr">
        <is>
          <t>市原市</t>
        </is>
      </c>
      <c r="D295" s="5" t="inlineStr">
        <is>
          <t>東海大学付属市原望洋高等学校</t>
        </is>
      </c>
      <c r="E295" s="6" t="inlineStr">
        <is>
          <t>0436-74-4721</t>
        </is>
      </c>
      <c r="F295" s="13" t="inlineStr">
        <is>
          <t>中</t>
        </is>
      </c>
      <c r="G295" s="5" t="inlineStr">
        <is>
          <t>普通科</t>
        </is>
      </c>
      <c r="H295" s="8" t="n"/>
      <c r="I295" s="9" t="n"/>
      <c r="J295" s="9" t="inlineStr">
        <is>
          <t>未架電</t>
        </is>
      </c>
      <c r="K295" s="8" t="n"/>
      <c r="L295" s="9" t="n"/>
      <c r="M295" s="10" t="inlineStr">
        <is>
          <t>学校情報サイト1件のみで確認</t>
        </is>
      </c>
      <c r="N295" s="11" t="inlineStr">
        <is>
          <t>https://school.js88.com/scl_h/22006900</t>
        </is>
      </c>
      <c r="O295" s="12" t="inlineStr">
        <is>
          <t>開く</t>
        </is>
      </c>
    </row>
    <row r="296">
      <c r="A296" s="4" t="n">
        <v>292</v>
      </c>
      <c r="B296" s="5" t="inlineStr">
        <is>
          <t>千葉県</t>
        </is>
      </c>
      <c r="C296" s="5" t="inlineStr">
        <is>
          <t>浦安市</t>
        </is>
      </c>
      <c r="D296" s="5" t="inlineStr">
        <is>
          <t>東海大学付属浦安高等学校</t>
        </is>
      </c>
      <c r="E296" s="6" t="inlineStr">
        <is>
          <t>047-351-2371</t>
        </is>
      </c>
      <c r="F296" s="7" t="inlineStr">
        <is>
          <t>高</t>
        </is>
      </c>
      <c r="G296" s="5" t="inlineStr">
        <is>
          <t>普通科</t>
        </is>
      </c>
      <c r="H296" s="8" t="n"/>
      <c r="I296" s="9" t="n"/>
      <c r="J296" s="9" t="inlineStr">
        <is>
          <t>未架電</t>
        </is>
      </c>
      <c r="K296" s="8" t="n"/>
      <c r="L296" s="9" t="n"/>
      <c r="M296" s="10" t="inlineStr">
        <is>
          <t>高校・中等部共通。複数サイトで一致</t>
        </is>
      </c>
      <c r="N296" s="11" t="inlineStr">
        <is>
          <t>https://www.inter-edu.com/schools/school/166</t>
        </is>
      </c>
      <c r="O296" s="12" t="inlineStr">
        <is>
          <t>開く</t>
        </is>
      </c>
    </row>
    <row r="297">
      <c r="A297" s="4" t="n">
        <v>293</v>
      </c>
      <c r="B297" s="5" t="inlineStr">
        <is>
          <t>千葉県</t>
        </is>
      </c>
      <c r="C297" s="5" t="inlineStr">
        <is>
          <t>浦安市</t>
        </is>
      </c>
      <c r="D297" s="5" t="inlineStr">
        <is>
          <t>東京学館浦安高等学校</t>
        </is>
      </c>
      <c r="E297" s="6" t="inlineStr">
        <is>
          <t>047-353-8821</t>
        </is>
      </c>
      <c r="F297" s="7" t="inlineStr">
        <is>
          <t>高</t>
        </is>
      </c>
      <c r="G297" s="5" t="inlineStr">
        <is>
          <t>普通科</t>
        </is>
      </c>
      <c r="H297" s="8" t="n"/>
      <c r="I297" s="9" t="n"/>
      <c r="J297" s="9" t="inlineStr">
        <is>
          <t>未架電</t>
        </is>
      </c>
      <c r="K297" s="8" t="n"/>
      <c r="L297" s="9" t="n"/>
      <c r="M297" s="10" t="inlineStr">
        <is>
          <t>2つのサイトで一致</t>
        </is>
      </c>
      <c r="N297" s="11" t="inlineStr">
        <is>
          <t>https://www.inter-edu.com/schools/school/167 ; https://school.js88.com/scl_h/22007020?page=5</t>
        </is>
      </c>
      <c r="O297" s="12" t="inlineStr">
        <is>
          <t>開く</t>
        </is>
      </c>
    </row>
    <row r="298">
      <c r="A298" s="4" t="n">
        <v>294</v>
      </c>
      <c r="B298" s="5" t="inlineStr">
        <is>
          <t>千葉県</t>
        </is>
      </c>
      <c r="C298" s="5" t="inlineStr">
        <is>
          <t>酒々井町</t>
        </is>
      </c>
      <c r="D298" s="5" t="inlineStr">
        <is>
          <t>東京学館高等学校</t>
        </is>
      </c>
      <c r="E298" s="6" t="inlineStr">
        <is>
          <t>043-496-3881</t>
        </is>
      </c>
      <c r="F298" s="13" t="inlineStr">
        <is>
          <t>中</t>
        </is>
      </c>
      <c r="G298" s="5" t="inlineStr">
        <is>
          <t>普通科</t>
        </is>
      </c>
      <c r="H298" s="8" t="n"/>
      <c r="I298" s="9" t="n"/>
      <c r="J298" s="9" t="inlineStr">
        <is>
          <t>未架電</t>
        </is>
      </c>
      <c r="K298" s="8" t="n"/>
      <c r="L298" s="9" t="n"/>
      <c r="M298" s="10" t="inlineStr">
        <is>
          <t>学校情報サイト1件のみで確認。東京学館浦安・東京学館船橋とは別の学校</t>
        </is>
      </c>
      <c r="N298" s="11" t="inlineStr">
        <is>
          <t>https://www.inter-edu.com/schools/school/660</t>
        </is>
      </c>
      <c r="O298" s="12" t="inlineStr">
        <is>
          <t>開く</t>
        </is>
      </c>
    </row>
    <row r="299">
      <c r="A299" s="4" t="n">
        <v>295</v>
      </c>
      <c r="B299" s="5" t="inlineStr">
        <is>
          <t>千葉県</t>
        </is>
      </c>
      <c r="C299" s="5" t="inlineStr">
        <is>
          <t>船橋市</t>
        </is>
      </c>
      <c r="D299" s="5" t="inlineStr">
        <is>
          <t>東京学館船橋高等学校</t>
        </is>
      </c>
      <c r="E299" s="6" t="inlineStr">
        <is>
          <t>047-457-4611</t>
        </is>
      </c>
      <c r="F299" s="13" t="inlineStr">
        <is>
          <t>中</t>
        </is>
      </c>
      <c r="G299" s="5" t="inlineStr">
        <is>
          <t>普通科・専門学科</t>
        </is>
      </c>
      <c r="H299" s="8" t="n"/>
      <c r="I299" s="9" t="n"/>
      <c r="J299" s="9" t="inlineStr">
        <is>
          <t>未架電</t>
        </is>
      </c>
      <c r="K299" s="8" t="n"/>
      <c r="L299" s="9" t="n"/>
      <c r="M299" s="10" t="inlineStr">
        <is>
          <t>代表として掲載。学校情報サイト1件のみで確認</t>
        </is>
      </c>
      <c r="N299" s="11" t="inlineStr">
        <is>
          <t>https://school.js88.com/scl_h/22007110</t>
        </is>
      </c>
      <c r="O299" s="12" t="inlineStr">
        <is>
          <t>開く</t>
        </is>
      </c>
    </row>
    <row r="300">
      <c r="A300" s="4" t="n">
        <v>296</v>
      </c>
      <c r="B300" s="5" t="inlineStr">
        <is>
          <t>千葉県</t>
        </is>
      </c>
      <c r="C300" s="5" t="inlineStr">
        <is>
          <t>習志野市</t>
        </is>
      </c>
      <c r="D300" s="5" t="inlineStr">
        <is>
          <t>東邦大学付属東邦高等学校</t>
        </is>
      </c>
      <c r="E300" s="6" t="inlineStr">
        <is>
          <t>047-472-8191</t>
        </is>
      </c>
      <c r="F300" s="13" t="inlineStr">
        <is>
          <t>中</t>
        </is>
      </c>
      <c r="G300" s="5" t="inlineStr">
        <is>
          <t>普通科</t>
        </is>
      </c>
      <c r="H300" s="8" t="n"/>
      <c r="I300" s="9" t="n"/>
      <c r="J300" s="9" t="inlineStr">
        <is>
          <t>未架電</t>
        </is>
      </c>
      <c r="K300" s="8" t="n"/>
      <c r="L300" s="9" t="n"/>
      <c r="M300" s="10" t="inlineStr">
        <is>
          <t>中高共通。高校募集なし（完全中高一貫）との情報あり</t>
        </is>
      </c>
      <c r="N300" s="11" t="inlineStr">
        <is>
          <t>https://www.inter-edu.com/schools/school/39</t>
        </is>
      </c>
      <c r="O300" s="12" t="inlineStr">
        <is>
          <t>開く</t>
        </is>
      </c>
    </row>
    <row r="301">
      <c r="A301" s="4" t="n">
        <v>297</v>
      </c>
      <c r="B301" s="5" t="inlineStr">
        <is>
          <t>千葉県</t>
        </is>
      </c>
      <c r="C301" s="5" t="inlineStr">
        <is>
          <t>船橋市</t>
        </is>
      </c>
      <c r="D301" s="5" t="inlineStr">
        <is>
          <t>東葉高等学校</t>
        </is>
      </c>
      <c r="E301" s="6" t="inlineStr">
        <is>
          <t>047-463-2111</t>
        </is>
      </c>
      <c r="F301" s="13" t="inlineStr">
        <is>
          <t>中</t>
        </is>
      </c>
      <c r="G301" s="5" t="inlineStr">
        <is>
          <t>普通科</t>
        </is>
      </c>
      <c r="H301" s="8" t="n"/>
      <c r="I301" s="9" t="n"/>
      <c r="J301" s="9" t="inlineStr">
        <is>
          <t>未架電</t>
        </is>
      </c>
      <c r="K301" s="8" t="n"/>
      <c r="L301" s="9" t="n"/>
      <c r="M301" s="10" t="inlineStr">
        <is>
          <t>学校情報サイト1件のみで確認</t>
        </is>
      </c>
      <c r="N301" s="11" t="inlineStr">
        <is>
          <t>https://www.inter-edu.com/schools/school/1027</t>
        </is>
      </c>
      <c r="O301" s="12" t="inlineStr">
        <is>
          <t>開く</t>
        </is>
      </c>
    </row>
    <row r="302">
      <c r="A302" s="4" t="n">
        <v>298</v>
      </c>
      <c r="B302" s="5" t="inlineStr">
        <is>
          <t>千葉県</t>
        </is>
      </c>
      <c r="C302" s="5" t="inlineStr">
        <is>
          <t>船橋市</t>
        </is>
      </c>
      <c r="D302" s="5" t="inlineStr">
        <is>
          <t>中山学園高等学校</t>
        </is>
      </c>
      <c r="E302" s="6" t="inlineStr">
        <is>
          <t>047-422-4380</t>
        </is>
      </c>
      <c r="F302" s="13" t="inlineStr">
        <is>
          <t>中</t>
        </is>
      </c>
      <c r="G302" s="5" t="inlineStr">
        <is>
          <t>普通科</t>
        </is>
      </c>
      <c r="H302" s="8" t="n"/>
      <c r="I302" s="9" t="n"/>
      <c r="J302" s="9" t="inlineStr">
        <is>
          <t>未架電</t>
        </is>
      </c>
      <c r="K302" s="8" t="n"/>
      <c r="L302" s="9" t="n"/>
      <c r="M302" s="10" t="inlineStr">
        <is>
          <t>通信制。学校情報サイト1件のみで確認</t>
        </is>
      </c>
      <c r="N302" s="11" t="inlineStr">
        <is>
          <t>https://studychain.jp/media/?p=36633</t>
        </is>
      </c>
      <c r="O302" s="12" t="inlineStr">
        <is>
          <t>開く</t>
        </is>
      </c>
    </row>
    <row r="303">
      <c r="A303" s="4" t="n">
        <v>299</v>
      </c>
      <c r="B303" s="5" t="inlineStr">
        <is>
          <t>千葉県</t>
        </is>
      </c>
      <c r="C303" s="5" t="inlineStr">
        <is>
          <t>成田市</t>
        </is>
      </c>
      <c r="D303" s="5" t="inlineStr">
        <is>
          <t>成田高等学校</t>
        </is>
      </c>
      <c r="E303" s="6" t="inlineStr">
        <is>
          <t>0476-22-2131</t>
        </is>
      </c>
      <c r="F303" s="7" t="inlineStr">
        <is>
          <t>高</t>
        </is>
      </c>
      <c r="G303" s="5" t="inlineStr">
        <is>
          <t>普通科</t>
        </is>
      </c>
      <c r="H303" s="8" t="n"/>
      <c r="I303" s="9" t="n"/>
      <c r="J303" s="9" t="inlineStr">
        <is>
          <t>未架電</t>
        </is>
      </c>
      <c r="K303" s="8" t="n"/>
      <c r="L303" s="9" t="n"/>
      <c r="M303" s="10" t="inlineStr">
        <is>
          <t>中高共通。2つのサイトで一致</t>
        </is>
      </c>
      <c r="N303" s="11" t="inlineStr">
        <is>
          <t>https://www.inter-edu.com/schools/school/168</t>
        </is>
      </c>
      <c r="O303" s="12" t="inlineStr">
        <is>
          <t>開く</t>
        </is>
      </c>
    </row>
    <row r="304">
      <c r="A304" s="4" t="n">
        <v>300</v>
      </c>
      <c r="B304" s="5" t="inlineStr">
        <is>
          <t>千葉県</t>
        </is>
      </c>
      <c r="C304" s="5" t="inlineStr">
        <is>
          <t>柏市</t>
        </is>
      </c>
      <c r="D304" s="5" t="inlineStr">
        <is>
          <t>二松学舎大学附属柏高等学校</t>
        </is>
      </c>
      <c r="E304" s="6" t="inlineStr">
        <is>
          <t>04-7191-5242</t>
        </is>
      </c>
      <c r="F304" s="13" t="inlineStr">
        <is>
          <t>中</t>
        </is>
      </c>
      <c r="G304" s="5" t="inlineStr">
        <is>
          <t>普通科</t>
        </is>
      </c>
      <c r="H304" s="8" t="n"/>
      <c r="I304" s="9" t="n"/>
      <c r="J304" s="9" t="inlineStr">
        <is>
          <t>未架電</t>
        </is>
      </c>
      <c r="K304" s="8" t="n"/>
      <c r="L304" s="9" t="n"/>
      <c r="M304" s="10" t="inlineStr">
        <is>
          <t>04-7191-3179を載せるサイトもあり食い違い</t>
        </is>
      </c>
      <c r="N304" s="11" t="inlineStr">
        <is>
          <t>https://school.js88.com/scl_h/22006870 ; https://univpress.co.jp/gk_pdf/12531.pdf</t>
        </is>
      </c>
      <c r="O304" s="12" t="inlineStr">
        <is>
          <t>開く</t>
        </is>
      </c>
    </row>
    <row r="305">
      <c r="A305" s="4" t="n">
        <v>301</v>
      </c>
      <c r="B305" s="5" t="inlineStr">
        <is>
          <t>千葉県</t>
        </is>
      </c>
      <c r="C305" s="5" t="inlineStr">
        <is>
          <t>柏市</t>
        </is>
      </c>
      <c r="D305" s="5" t="inlineStr">
        <is>
          <t>日本体育大学柏高等学校</t>
        </is>
      </c>
      <c r="E305" s="6" t="inlineStr">
        <is>
          <t>04-7167-1301</t>
        </is>
      </c>
      <c r="F305" s="13" t="inlineStr">
        <is>
          <t>中</t>
        </is>
      </c>
      <c r="G305" s="5" t="inlineStr">
        <is>
          <t>普通科</t>
        </is>
      </c>
      <c r="H305" s="8" t="n"/>
      <c r="I305" s="9" t="n"/>
      <c r="J305" s="9" t="inlineStr">
        <is>
          <t>未架電</t>
        </is>
      </c>
      <c r="K305" s="8" t="n"/>
      <c r="L305" s="9" t="n"/>
      <c r="M305" s="10" t="inlineStr">
        <is>
          <t>学校情報サイト1件のみで確認</t>
        </is>
      </c>
      <c r="N305" s="11" t="inlineStr">
        <is>
          <t>https://www.inter-edu.com/schools/school/667</t>
        </is>
      </c>
      <c r="O305" s="12" t="inlineStr">
        <is>
          <t>開く</t>
        </is>
      </c>
    </row>
    <row r="306">
      <c r="A306" s="4" t="n">
        <v>302</v>
      </c>
      <c r="B306" s="5" t="inlineStr">
        <is>
          <t>千葉県</t>
        </is>
      </c>
      <c r="C306" s="5" t="inlineStr">
        <is>
          <t>船橋市</t>
        </is>
      </c>
      <c r="D306" s="5" t="inlineStr">
        <is>
          <t>日本大学習志野高等学校</t>
        </is>
      </c>
      <c r="E306" s="6" t="inlineStr">
        <is>
          <t>047-469-5555</t>
        </is>
      </c>
      <c r="F306" s="7" t="inlineStr">
        <is>
          <t>高</t>
        </is>
      </c>
      <c r="G306" s="5" t="inlineStr">
        <is>
          <t>普通科</t>
        </is>
      </c>
      <c r="H306" s="8" t="n"/>
      <c r="I306" s="9" t="n"/>
      <c r="J306" s="9" t="inlineStr">
        <is>
          <t>未架電</t>
        </is>
      </c>
      <c r="K306" s="8" t="n"/>
      <c r="L306" s="9" t="n"/>
      <c r="M306" s="10" t="inlineStr">
        <is>
          <t>公式資料に「代表」と記載</t>
        </is>
      </c>
      <c r="N306" s="11" t="inlineStr">
        <is>
          <t>https://www.nnhs.cst.nihon-u.ac.jp/pdf/recruit/educational_r9.pdf</t>
        </is>
      </c>
      <c r="O306" s="12" t="inlineStr">
        <is>
          <t>開く</t>
        </is>
      </c>
    </row>
    <row r="307">
      <c r="A307" s="4" t="n">
        <v>303</v>
      </c>
      <c r="B307" s="5" t="inlineStr">
        <is>
          <t>千葉県</t>
        </is>
      </c>
      <c r="C307" s="5" t="inlineStr">
        <is>
          <t>市川市</t>
        </is>
      </c>
      <c r="D307" s="5" t="inlineStr">
        <is>
          <t>不二女子高等学校</t>
        </is>
      </c>
      <c r="E307" s="6" t="inlineStr">
        <is>
          <t>047-333-6345</t>
        </is>
      </c>
      <c r="F307" s="7" t="inlineStr">
        <is>
          <t>高</t>
        </is>
      </c>
      <c r="G307" s="5" t="inlineStr">
        <is>
          <t>普通科</t>
        </is>
      </c>
      <c r="H307" s="8" t="n"/>
      <c r="I307" s="9" t="n"/>
      <c r="J307" s="9" t="inlineStr">
        <is>
          <t>未架電</t>
        </is>
      </c>
      <c r="K307" s="8" t="n"/>
      <c r="L307" s="9" t="n"/>
      <c r="M307" s="10" t="inlineStr">
        <is>
          <t>2つのサイトで一致</t>
        </is>
      </c>
      <c r="N307" s="11" t="inlineStr">
        <is>
          <t>https://www.inter-edu.com/schools/school/1000 ; https://school.js88.com/scl_h/22006940</t>
        </is>
      </c>
      <c r="O307" s="12" t="inlineStr">
        <is>
          <t>開く</t>
        </is>
      </c>
    </row>
    <row r="308">
      <c r="A308" s="4" t="n">
        <v>304</v>
      </c>
      <c r="B308" s="5" t="inlineStr">
        <is>
          <t>千葉県</t>
        </is>
      </c>
      <c r="C308" s="5" t="inlineStr">
        <is>
          <t>千葉市中央区</t>
        </is>
      </c>
      <c r="D308" s="5" t="inlineStr">
        <is>
          <t>明聖高等学校</t>
        </is>
      </c>
      <c r="E308" s="14" t="n"/>
      <c r="F308" s="15" t="inlineStr">
        <is>
          <t>要調査</t>
        </is>
      </c>
      <c r="G308" s="5" t="inlineStr">
        <is>
          <t>普通科</t>
        </is>
      </c>
      <c r="H308" s="8" t="n"/>
      <c r="I308" s="9" t="n"/>
      <c r="J308" s="9" t="inlineStr">
        <is>
          <t>未架電</t>
        </is>
      </c>
      <c r="K308" s="8" t="n"/>
      <c r="L308" s="9" t="n"/>
      <c r="M308" s="10" t="inlineStr">
        <is>
          <t>通信制。【移転】2026年9月に千葉本校が中央区中央港へ移転。移転前の番号は043-225-5622で、移転後の番号は確認できず</t>
        </is>
      </c>
      <c r="N308" s="11" t="inlineStr">
        <is>
          <t>https://map.yahoo.co.jp/v3/place/luayqlYCpL2 ; https://resemom.jp/release/prtimes/20260903/209471.html</t>
        </is>
      </c>
      <c r="O308" s="12" t="inlineStr">
        <is>
          <t>開く</t>
        </is>
      </c>
    </row>
    <row r="309">
      <c r="A309" s="4" t="n">
        <v>305</v>
      </c>
      <c r="B309" s="5" t="inlineStr">
        <is>
          <t>千葉県</t>
        </is>
      </c>
      <c r="C309" s="5" t="inlineStr">
        <is>
          <t>茂原市</t>
        </is>
      </c>
      <c r="D309" s="5" t="inlineStr">
        <is>
          <t>茂原北陵高等学校</t>
        </is>
      </c>
      <c r="E309" s="6" t="inlineStr">
        <is>
          <t>0475-34-3211</t>
        </is>
      </c>
      <c r="F309" s="13" t="inlineStr">
        <is>
          <t>中</t>
        </is>
      </c>
      <c r="G309" s="5" t="inlineStr">
        <is>
          <t>普通科・専門学科</t>
        </is>
      </c>
      <c r="H309" s="8" t="n"/>
      <c r="I309" s="9" t="n"/>
      <c r="J309" s="9" t="inlineStr">
        <is>
          <t>未架電</t>
        </is>
      </c>
      <c r="K309" s="8" t="n"/>
      <c r="L309" s="9" t="n"/>
      <c r="M309" s="10" t="inlineStr">
        <is>
          <t>学校情報サイト1件のみで確認</t>
        </is>
      </c>
      <c r="N309" s="11" t="inlineStr">
        <is>
          <t>https://www.inter-edu.com/schools/school/1028</t>
        </is>
      </c>
      <c r="O309" s="12" t="inlineStr">
        <is>
          <t>開く</t>
        </is>
      </c>
    </row>
    <row r="310">
      <c r="A310" s="4" t="n">
        <v>306</v>
      </c>
      <c r="B310" s="5" t="inlineStr">
        <is>
          <t>千葉県</t>
        </is>
      </c>
      <c r="C310" s="5" t="inlineStr">
        <is>
          <t>八千代市</t>
        </is>
      </c>
      <c r="D310" s="5" t="inlineStr">
        <is>
          <t>八千代松陰高等学校</t>
        </is>
      </c>
      <c r="E310" s="6" t="inlineStr">
        <is>
          <t>047-482-1234</t>
        </is>
      </c>
      <c r="F310" s="7" t="inlineStr">
        <is>
          <t>高</t>
        </is>
      </c>
      <c r="G310" s="5" t="inlineStr">
        <is>
          <t>普通科</t>
        </is>
      </c>
      <c r="H310" s="8" t="n"/>
      <c r="I310" s="9" t="n"/>
      <c r="J310" s="9" t="inlineStr">
        <is>
          <t>未架電</t>
        </is>
      </c>
      <c r="K310" s="8" t="n"/>
      <c r="L310" s="9" t="n"/>
      <c r="M310" s="10" t="inlineStr">
        <is>
          <t>公式サイトで確認。中高共通</t>
        </is>
      </c>
      <c r="N310" s="11" t="inlineStr">
        <is>
          <t>https://www.yachiyoshoin.ac.jp/shs/admission-s/school-guide-s/</t>
        </is>
      </c>
      <c r="O310" s="12" t="inlineStr">
        <is>
          <t>開く</t>
        </is>
      </c>
    </row>
    <row r="311">
      <c r="A311" s="4" t="n">
        <v>307</v>
      </c>
      <c r="B311" s="5" t="inlineStr">
        <is>
          <t>千葉県</t>
        </is>
      </c>
      <c r="C311" s="5" t="inlineStr">
        <is>
          <t>横芝光町</t>
        </is>
      </c>
      <c r="D311" s="5" t="inlineStr">
        <is>
          <t>横芝敬愛高等学校</t>
        </is>
      </c>
      <c r="E311" s="6" t="inlineStr">
        <is>
          <t>0479-82-1239</t>
        </is>
      </c>
      <c r="F311" s="13" t="inlineStr">
        <is>
          <t>中</t>
        </is>
      </c>
      <c r="G311" s="5" t="inlineStr">
        <is>
          <t>普通科</t>
        </is>
      </c>
      <c r="H311" s="8" t="n"/>
      <c r="I311" s="9" t="n"/>
      <c r="J311" s="9" t="inlineStr">
        <is>
          <t>未架電</t>
        </is>
      </c>
      <c r="K311" s="8" t="n"/>
      <c r="L311" s="9" t="n"/>
      <c r="M311" s="10" t="inlineStr">
        <is>
          <t>学校情報サイト1件のみで確認</t>
        </is>
      </c>
      <c r="N311" s="11" t="inlineStr">
        <is>
          <t>https://school.js88.com/scl_h/22006910</t>
        </is>
      </c>
      <c r="O311" s="12" t="inlineStr">
        <is>
          <t>開く</t>
        </is>
      </c>
    </row>
    <row r="312">
      <c r="A312" s="4" t="n">
        <v>308</v>
      </c>
      <c r="B312" s="5" t="inlineStr">
        <is>
          <t>千葉県</t>
        </is>
      </c>
      <c r="C312" s="5" t="inlineStr">
        <is>
          <t>柏市</t>
        </is>
      </c>
      <c r="D312" s="5" t="inlineStr">
        <is>
          <t>流通経済大学付属柏高等学校</t>
        </is>
      </c>
      <c r="E312" s="6" t="inlineStr">
        <is>
          <t>04-7131-5611</t>
        </is>
      </c>
      <c r="F312" s="7" t="inlineStr">
        <is>
          <t>高</t>
        </is>
      </c>
      <c r="G312" s="5" t="inlineStr">
        <is>
          <t>普通科</t>
        </is>
      </c>
      <c r="H312" s="8" t="n"/>
      <c r="I312" s="9" t="n"/>
      <c r="J312" s="9" t="inlineStr">
        <is>
          <t>未架電</t>
        </is>
      </c>
      <c r="K312" s="8" t="n"/>
      <c r="L312" s="9" t="n"/>
      <c r="M312" s="10" t="inlineStr">
        <is>
          <t>2つのサイトで一致</t>
        </is>
      </c>
      <c r="N312" s="11" t="inlineStr">
        <is>
          <t>https://www.inter-edu.com/schools/school/2185 ; https://school.js88.com/scl_h/22007090</t>
        </is>
      </c>
      <c r="O312" s="12" t="inlineStr">
        <is>
          <t>開く</t>
        </is>
      </c>
    </row>
    <row r="313">
      <c r="A313" s="4" t="n">
        <v>309</v>
      </c>
      <c r="B313" s="5" t="inlineStr">
        <is>
          <t>千葉県</t>
        </is>
      </c>
      <c r="C313" s="5" t="inlineStr">
        <is>
          <t>柏市</t>
        </is>
      </c>
      <c r="D313" s="5" t="inlineStr">
        <is>
          <t>麗澤高等学校</t>
        </is>
      </c>
      <c r="E313" s="6" t="inlineStr">
        <is>
          <t>04-7173-3700</t>
        </is>
      </c>
      <c r="F313" s="7" t="inlineStr">
        <is>
          <t>高</t>
        </is>
      </c>
      <c r="G313" s="5" t="inlineStr">
        <is>
          <t>普通科</t>
        </is>
      </c>
      <c r="H313" s="8" t="n"/>
      <c r="I313" s="9" t="n"/>
      <c r="J313" s="9" t="inlineStr">
        <is>
          <t>未架電</t>
        </is>
      </c>
      <c r="K313" s="8" t="n"/>
      <c r="L313" s="9" t="n"/>
      <c r="M313" s="10" t="inlineStr">
        <is>
          <t>中高共通</t>
        </is>
      </c>
      <c r="N313" s="11" t="inlineStr">
        <is>
          <t>https://www.inter-edu.com/schools/school/46 ; https://school.js88.com/scl_h/22006710?page=5</t>
        </is>
      </c>
      <c r="O313" s="12" t="inlineStr">
        <is>
          <t>開く</t>
        </is>
      </c>
    </row>
    <row r="314">
      <c r="A314" s="4" t="n">
        <v>310</v>
      </c>
      <c r="B314" s="5" t="inlineStr">
        <is>
          <t>千葉県</t>
        </is>
      </c>
      <c r="C314" s="5" t="inlineStr">
        <is>
          <t>多古町</t>
        </is>
      </c>
      <c r="D314" s="5" t="inlineStr">
        <is>
          <t>わせがく高等学校</t>
        </is>
      </c>
      <c r="E314" s="6" t="inlineStr">
        <is>
          <t>0479-70-7622</t>
        </is>
      </c>
      <c r="F314" s="7" t="inlineStr">
        <is>
          <t>高</t>
        </is>
      </c>
      <c r="G314" s="5" t="inlineStr">
        <is>
          <t>普通科</t>
        </is>
      </c>
      <c r="H314" s="8" t="n"/>
      <c r="I314" s="9" t="n"/>
      <c r="J314" s="9" t="inlineStr">
        <is>
          <t>未架電</t>
        </is>
      </c>
      <c r="K314" s="8" t="n"/>
      <c r="L314" s="9" t="n"/>
      <c r="M314" s="10" t="inlineStr">
        <is>
          <t>通信制。公式の学校要覧で多古町の本校の番号として確認</t>
        </is>
      </c>
      <c r="N314" s="11" t="inlineStr">
        <is>
          <t>https://www.wasegaku.ac.jp/img/others/informationdisclosure/schoolcatalog.pdf</t>
        </is>
      </c>
      <c r="O314" s="12" t="inlineStr">
        <is>
          <t>開く</t>
        </is>
      </c>
    </row>
    <row r="315">
      <c r="A315" s="4" t="n">
        <v>311</v>
      </c>
      <c r="B315" s="5" t="inlineStr">
        <is>
          <t>千葉県</t>
        </is>
      </c>
      <c r="C315" s="5" t="inlineStr">
        <is>
          <t>市川市</t>
        </is>
      </c>
      <c r="D315" s="5" t="inlineStr">
        <is>
          <t>和洋国府台女子高等学校</t>
        </is>
      </c>
      <c r="E315" s="6" t="inlineStr">
        <is>
          <t>047-371-1120</t>
        </is>
      </c>
      <c r="F315" s="7" t="inlineStr">
        <is>
          <t>高</t>
        </is>
      </c>
      <c r="G315" s="5" t="inlineStr">
        <is>
          <t>普通科</t>
        </is>
      </c>
      <c r="H315" s="8" t="n"/>
      <c r="I315" s="9" t="n"/>
      <c r="J315" s="9" t="inlineStr">
        <is>
          <t>未架電</t>
        </is>
      </c>
      <c r="K315" s="8" t="n"/>
      <c r="L315" s="9" t="n"/>
      <c r="M315" s="10" t="inlineStr">
        <is>
          <t>2つのサイトで一致</t>
        </is>
      </c>
      <c r="N315" s="11" t="inlineStr">
        <is>
          <t>https://www.inter-edu.com/schools/school/2051 ; https://school.js88.com/scl_h/22006700</t>
        </is>
      </c>
      <c r="O315" s="12" t="inlineStr">
        <is>
          <t>開く</t>
        </is>
      </c>
    </row>
    <row r="316">
      <c r="A316" s="4" t="n">
        <v>312</v>
      </c>
      <c r="B316" s="5" t="inlineStr">
        <is>
          <t>東京都</t>
        </is>
      </c>
      <c r="C316" s="5" t="inlineStr">
        <is>
          <t>江戸川区</t>
        </is>
      </c>
      <c r="D316" s="5" t="inlineStr">
        <is>
          <t>愛国高等学校</t>
        </is>
      </c>
      <c r="E316" s="6" t="inlineStr">
        <is>
          <t>03-3658-4111</t>
        </is>
      </c>
      <c r="F316" s="7" t="inlineStr">
        <is>
          <t>高</t>
        </is>
      </c>
      <c r="G316" s="5" t="inlineStr">
        <is>
          <t>普通科・専門学科</t>
        </is>
      </c>
      <c r="H316" s="8" t="n"/>
      <c r="I316" s="9" t="n"/>
      <c r="J316" s="9" t="inlineStr">
        <is>
          <t>未架電</t>
        </is>
      </c>
      <c r="K316" s="8" t="n"/>
      <c r="L316" s="9" t="n"/>
      <c r="M316" s="10" t="inlineStr">
        <is>
          <t>東京都の私立高校一覧ほかで一致。中高共通</t>
        </is>
      </c>
      <c r="N316" s="11" t="inlineStr">
        <is>
          <t>https://www.seikatubunka.metro.tokyo.lg.jp/documents/d/seikatubunka/07high_zennichi_r61201 ; https://www.inter-edu.com/schools/school/2206</t>
        </is>
      </c>
      <c r="O316" s="12" t="inlineStr">
        <is>
          <t>開く</t>
        </is>
      </c>
    </row>
    <row r="317">
      <c r="A317" s="4" t="n">
        <v>313</v>
      </c>
      <c r="B317" s="5" t="inlineStr">
        <is>
          <t>東京都</t>
        </is>
      </c>
      <c r="C317" s="5" t="inlineStr">
        <is>
          <t>渋谷区</t>
        </is>
      </c>
      <c r="D317" s="5" t="inlineStr">
        <is>
          <t>青山学院高等部</t>
        </is>
      </c>
      <c r="E317" s="6" t="inlineStr">
        <is>
          <t>03-3409-3880</t>
        </is>
      </c>
      <c r="F317" s="13" t="inlineStr">
        <is>
          <t>中</t>
        </is>
      </c>
      <c r="G317" s="5" t="inlineStr">
        <is>
          <t>普通科</t>
        </is>
      </c>
      <c r="H317" s="8" t="n"/>
      <c r="I317" s="9" t="n"/>
      <c r="J317" s="9" t="inlineStr">
        <is>
          <t>未架電</t>
        </is>
      </c>
      <c r="K317" s="8" t="n"/>
      <c r="L317" s="9" t="n"/>
      <c r="M317" s="10" t="inlineStr">
        <is>
          <t>東京都の私立高校一覧の番号。03-3407-7463（中等部の番号の可能性）を載せるサイトもあり。公式未確認</t>
        </is>
      </c>
      <c r="N317" s="11" t="inlineStr">
        <is>
          <t>https://www.seikatubunka.metro.tokyo.lg.jp/documents/d/seikatubunka/07high_zennichi_r61201</t>
        </is>
      </c>
      <c r="O317" s="12" t="inlineStr">
        <is>
          <t>開く</t>
        </is>
      </c>
    </row>
    <row r="318">
      <c r="A318" s="4" t="n">
        <v>314</v>
      </c>
      <c r="B318" s="5" t="inlineStr">
        <is>
          <t>東京都</t>
        </is>
      </c>
      <c r="C318" s="5" t="inlineStr">
        <is>
          <t>港区</t>
        </is>
      </c>
      <c r="D318" s="5" t="inlineStr">
        <is>
          <t>麻布高等学校</t>
        </is>
      </c>
      <c r="E318" s="6" t="inlineStr">
        <is>
          <t>03-3446-6541</t>
        </is>
      </c>
      <c r="F318" s="7" t="inlineStr">
        <is>
          <t>高</t>
        </is>
      </c>
      <c r="G318" s="5" t="inlineStr">
        <is>
          <t>普通科</t>
        </is>
      </c>
      <c r="H318" s="8" t="n"/>
      <c r="I318" s="9" t="n"/>
      <c r="J318" s="9" t="inlineStr">
        <is>
          <t>未架電</t>
        </is>
      </c>
      <c r="K318" s="8" t="n"/>
      <c r="L318" s="9" t="n"/>
      <c r="M318" s="10" t="inlineStr">
        <is>
          <t>中高共通</t>
        </is>
      </c>
      <c r="N318" s="11" t="inlineStr">
        <is>
          <t>https://www.seikatubunka.metro.tokyo.lg.jp/documents/d/seikatubunka/07high_zennichi_r61201 ; https://www.inter-edu.com/schools/school/2</t>
        </is>
      </c>
      <c r="O318" s="12" t="inlineStr">
        <is>
          <t>開く</t>
        </is>
      </c>
    </row>
    <row r="319">
      <c r="A319" s="4" t="n">
        <v>315</v>
      </c>
      <c r="B319" s="5" t="inlineStr">
        <is>
          <t>東京都</t>
        </is>
      </c>
      <c r="C319" s="5" t="inlineStr">
        <is>
          <t>足立区</t>
        </is>
      </c>
      <c r="D319" s="5" t="inlineStr">
        <is>
          <t>足立学園高等学校</t>
        </is>
      </c>
      <c r="E319" s="6" t="inlineStr">
        <is>
          <t>03-3888-5331</t>
        </is>
      </c>
      <c r="F319" s="7" t="inlineStr">
        <is>
          <t>高</t>
        </is>
      </c>
      <c r="G319" s="5" t="inlineStr">
        <is>
          <t>普通科</t>
        </is>
      </c>
      <c r="H319" s="8" t="n"/>
      <c r="I319" s="9" t="n"/>
      <c r="J319" s="9" t="inlineStr">
        <is>
          <t>未架電</t>
        </is>
      </c>
      <c r="K319" s="8" t="n"/>
      <c r="L319" s="9" t="n"/>
      <c r="M319" s="10" t="inlineStr">
        <is>
          <t>東京都の私立高校一覧ほかで一致。中高共通</t>
        </is>
      </c>
      <c r="N319" s="11" t="inlineStr">
        <is>
          <t>https://www.seikatubunka.metro.tokyo.lg.jp/documents/d/seikatubunka/07high_zennichi_r61201</t>
        </is>
      </c>
      <c r="O319" s="12" t="inlineStr">
        <is>
          <t>開く</t>
        </is>
      </c>
    </row>
    <row r="320">
      <c r="A320" s="4" t="n">
        <v>316</v>
      </c>
      <c r="B320" s="5" t="inlineStr">
        <is>
          <t>東京都</t>
        </is>
      </c>
      <c r="C320" s="5" t="inlineStr">
        <is>
          <t>文京区</t>
        </is>
      </c>
      <c r="D320" s="5" t="inlineStr">
        <is>
          <t>跡見学園高等学校</t>
        </is>
      </c>
      <c r="E320" s="6" t="inlineStr">
        <is>
          <t>03-3941-8167</t>
        </is>
      </c>
      <c r="F320" s="7" t="inlineStr">
        <is>
          <t>高</t>
        </is>
      </c>
      <c r="G320" s="5" t="inlineStr">
        <is>
          <t>普通科</t>
        </is>
      </c>
      <c r="H320" s="8" t="n"/>
      <c r="I320" s="9" t="n"/>
      <c r="J320" s="9" t="inlineStr">
        <is>
          <t>未架電</t>
        </is>
      </c>
      <c r="K320" s="8" t="n"/>
      <c r="L320" s="9" t="n"/>
      <c r="M320" s="10" t="inlineStr">
        <is>
          <t>中高共通。高校からの生徒募集なし（完全中高一貫）</t>
        </is>
      </c>
      <c r="N320" s="11" t="inlineStr">
        <is>
          <t>https://www.seikatubunka.metro.tokyo.lg.jp/documents/d/seikatubunka/07high_zennichi_r61201 ; https://www.inter-edu.com/schools/school/182</t>
        </is>
      </c>
      <c r="O320" s="12" t="inlineStr">
        <is>
          <t>開く</t>
        </is>
      </c>
    </row>
    <row r="321">
      <c r="A321" s="4" t="n">
        <v>317</v>
      </c>
      <c r="B321" s="5" t="inlineStr">
        <is>
          <t>東京都</t>
        </is>
      </c>
      <c r="C321" s="5" t="inlineStr">
        <is>
          <t>北区</t>
        </is>
      </c>
      <c r="D321" s="5" t="inlineStr">
        <is>
          <t>安部学院高等学校</t>
        </is>
      </c>
      <c r="E321" s="6" t="inlineStr">
        <is>
          <t>03-3913-2323</t>
        </is>
      </c>
      <c r="F321" s="7" t="inlineStr">
        <is>
          <t>高</t>
        </is>
      </c>
      <c r="G321" s="5" t="inlineStr">
        <is>
          <t>専門学科</t>
        </is>
      </c>
      <c r="H321" s="8" t="n"/>
      <c r="I321" s="9" t="n"/>
      <c r="J321" s="9" t="inlineStr">
        <is>
          <t>未架電</t>
        </is>
      </c>
      <c r="K321" s="8" t="n"/>
      <c r="L321" s="9" t="n"/>
      <c r="M321" s="10" t="inlineStr">
        <is>
          <t>東京都の私立高校一覧ほかで一致</t>
        </is>
      </c>
      <c r="N321" s="11" t="inlineStr">
        <is>
          <t>https://www.seikatubunka.metro.tokyo.lg.jp/documents/d/seikatubunka/07high_zennichi_r61201 ; https://www.inter-edu.com/schools/school/1786</t>
        </is>
      </c>
      <c r="O321" s="12" t="inlineStr">
        <is>
          <t>開く</t>
        </is>
      </c>
    </row>
    <row r="322">
      <c r="A322" s="4" t="n">
        <v>318</v>
      </c>
      <c r="B322" s="5" t="inlineStr">
        <is>
          <t>東京都</t>
        </is>
      </c>
      <c r="C322" s="5" t="inlineStr">
        <is>
          <t>文京区</t>
        </is>
      </c>
      <c r="D322" s="5" t="inlineStr">
        <is>
          <t>郁文館グローバル高等学校</t>
        </is>
      </c>
      <c r="E322" s="6" t="inlineStr">
        <is>
          <t>03-3828-2206</t>
        </is>
      </c>
      <c r="F322" s="7" t="inlineStr">
        <is>
          <t>高</t>
        </is>
      </c>
      <c r="G322" s="5" t="inlineStr">
        <is>
          <t>専門学科</t>
        </is>
      </c>
      <c r="H322" s="8" t="n"/>
      <c r="I322" s="9" t="n"/>
      <c r="J322" s="9" t="inlineStr">
        <is>
          <t>未架電</t>
        </is>
      </c>
      <c r="K322" s="8" t="n"/>
      <c r="L322" s="9" t="n"/>
      <c r="M322" s="10" t="inlineStr">
        <is>
          <t>郁文館中学・高校と共通の代表番号</t>
        </is>
      </c>
      <c r="N322" s="11" t="inlineStr">
        <is>
          <t>https://www.inter-edu.com/schools/school/984 ; https://www.seikatubunka.metro.tokyo.lg.jp/documents/d/seikatubunka/07high_zennichi_r61201</t>
        </is>
      </c>
      <c r="O322" s="12" t="inlineStr">
        <is>
          <t>開く</t>
        </is>
      </c>
    </row>
    <row r="323">
      <c r="A323" s="4" t="n">
        <v>319</v>
      </c>
      <c r="B323" s="5" t="inlineStr">
        <is>
          <t>東京都</t>
        </is>
      </c>
      <c r="C323" s="5" t="inlineStr">
        <is>
          <t>文京区</t>
        </is>
      </c>
      <c r="D323" s="5" t="inlineStr">
        <is>
          <t>郁文館高等学校</t>
        </is>
      </c>
      <c r="E323" s="6" t="inlineStr">
        <is>
          <t>03-3828-2206</t>
        </is>
      </c>
      <c r="F323" s="7" t="inlineStr">
        <is>
          <t>高</t>
        </is>
      </c>
      <c r="G323" s="5" t="inlineStr">
        <is>
          <t>普通科</t>
        </is>
      </c>
      <c r="H323" s="8" t="n"/>
      <c r="I323" s="9" t="n"/>
      <c r="J323" s="9" t="inlineStr">
        <is>
          <t>未架電</t>
        </is>
      </c>
      <c r="K323" s="8" t="n"/>
      <c r="L323" s="9" t="n"/>
      <c r="M323" s="10" t="inlineStr">
        <is>
          <t>中学・郁文館グローバル高校と共通の代表番号</t>
        </is>
      </c>
      <c r="N323" s="11" t="inlineStr">
        <is>
          <t>https://www.seikatubunka.metro.tokyo.lg.jp/documents/d/seikatubunka/07high_zennichi_r61201 ; https://www.inter-edu.com/schools/school/185</t>
        </is>
      </c>
      <c r="O323" s="12" t="inlineStr">
        <is>
          <t>開く</t>
        </is>
      </c>
    </row>
    <row r="324">
      <c r="A324" s="4" t="n">
        <v>320</v>
      </c>
      <c r="B324" s="5" t="inlineStr">
        <is>
          <t>東京都</t>
        </is>
      </c>
      <c r="C324" s="5" t="inlineStr">
        <is>
          <t>台東区</t>
        </is>
      </c>
      <c r="D324" s="5" t="inlineStr">
        <is>
          <t>岩倉高等学校</t>
        </is>
      </c>
      <c r="E324" s="6" t="inlineStr">
        <is>
          <t>03-3841-3086</t>
        </is>
      </c>
      <c r="F324" s="7" t="inlineStr">
        <is>
          <t>高</t>
        </is>
      </c>
      <c r="G324" s="5" t="inlineStr">
        <is>
          <t>普通科・専門学科</t>
        </is>
      </c>
      <c r="H324" s="8" t="n"/>
      <c r="I324" s="9" t="n"/>
      <c r="J324" s="9" t="inlineStr">
        <is>
          <t>未架電</t>
        </is>
      </c>
      <c r="K324" s="8" t="n"/>
      <c r="L324" s="9" t="n"/>
      <c r="M324" s="10" t="inlineStr">
        <is>
          <t>公式サイトに「代表」と記載。入試相談室は03-3841-3009</t>
        </is>
      </c>
      <c r="N324" s="11" t="inlineStr">
        <is>
          <t>https://www.tky-iwakura-h.ed.jp/intro/access/</t>
        </is>
      </c>
      <c r="O324" s="12" t="inlineStr">
        <is>
          <t>開く</t>
        </is>
      </c>
    </row>
    <row r="325">
      <c r="A325" s="4" t="n">
        <v>321</v>
      </c>
      <c r="B325" s="5" t="inlineStr">
        <is>
          <t>東京都</t>
        </is>
      </c>
      <c r="C325" s="5" t="inlineStr">
        <is>
          <t>台東区</t>
        </is>
      </c>
      <c r="D325" s="5" t="inlineStr">
        <is>
          <t>上野学園高等学校</t>
        </is>
      </c>
      <c r="E325" s="6" t="inlineStr">
        <is>
          <t>03-3847-2201</t>
        </is>
      </c>
      <c r="F325" s="7" t="inlineStr">
        <is>
          <t>高</t>
        </is>
      </c>
      <c r="G325" s="5" t="inlineStr">
        <is>
          <t>普通科・専門学科</t>
        </is>
      </c>
      <c r="H325" s="8" t="n"/>
      <c r="I325" s="9" t="n"/>
      <c r="J325" s="9" t="inlineStr">
        <is>
          <t>未架電</t>
        </is>
      </c>
      <c r="K325" s="8" t="n"/>
      <c r="L325" s="9" t="n"/>
      <c r="M325" s="10" t="inlineStr">
        <is>
          <t>中高共通</t>
        </is>
      </c>
      <c r="N325" s="11" t="inlineStr">
        <is>
          <t>https://www.seikatubunka.metro.tokyo.lg.jp/documents/d/seikatubunka/07high_zennichi_r61201 ; https://www.inter-edu.com/schools/school/1988</t>
        </is>
      </c>
      <c r="O325" s="12" t="inlineStr">
        <is>
          <t>開く</t>
        </is>
      </c>
    </row>
    <row r="326">
      <c r="A326" s="4" t="n">
        <v>322</v>
      </c>
      <c r="B326" s="5" t="inlineStr">
        <is>
          <t>東京都</t>
        </is>
      </c>
      <c r="C326" s="5" t="inlineStr">
        <is>
          <t>八王子市</t>
        </is>
      </c>
      <c r="D326" s="5" t="inlineStr">
        <is>
          <t>穎明館高等学校</t>
        </is>
      </c>
      <c r="E326" s="6" t="inlineStr">
        <is>
          <t>042-664-6000</t>
        </is>
      </c>
      <c r="F326" s="7" t="inlineStr">
        <is>
          <t>高</t>
        </is>
      </c>
      <c r="G326" s="5" t="inlineStr">
        <is>
          <t>普通科</t>
        </is>
      </c>
      <c r="H326" s="8" t="n"/>
      <c r="I326" s="9" t="n"/>
      <c r="J326" s="9" t="inlineStr">
        <is>
          <t>未架電</t>
        </is>
      </c>
      <c r="K326" s="8" t="n"/>
      <c r="L326" s="9" t="n"/>
      <c r="M326" s="10" t="inlineStr">
        <is>
          <t>中高共通</t>
        </is>
      </c>
      <c r="N326" s="11" t="inlineStr">
        <is>
          <t>https://www.seikatubunka.metro.tokyo.lg.jp/documents/d/seikatubunka/07high_zennichi_r61201 ; https://www.inter-edu.com/schools/school/25</t>
        </is>
      </c>
      <c r="O326" s="12" t="inlineStr">
        <is>
          <t>開く</t>
        </is>
      </c>
    </row>
    <row r="327">
      <c r="A327" s="4" t="n">
        <v>323</v>
      </c>
      <c r="B327" s="5" t="inlineStr">
        <is>
          <t>東京都</t>
        </is>
      </c>
      <c r="C327" s="5" t="inlineStr">
        <is>
          <t>練馬区</t>
        </is>
      </c>
      <c r="D327" s="5" t="inlineStr">
        <is>
          <t>英明フロンティア高等学校</t>
        </is>
      </c>
      <c r="E327" s="6" t="inlineStr">
        <is>
          <t>03-3920-5151</t>
        </is>
      </c>
      <c r="F327" s="7" t="inlineStr">
        <is>
          <t>高</t>
        </is>
      </c>
      <c r="G327" s="5" t="inlineStr">
        <is>
          <t>普通科</t>
        </is>
      </c>
      <c r="H327" s="8" t="n"/>
      <c r="I327" s="9" t="n"/>
      <c r="J327" s="9" t="inlineStr">
        <is>
          <t>未架電</t>
        </is>
      </c>
      <c r="K327" s="8" t="n"/>
      <c r="L327" s="9" t="n"/>
      <c r="M327" s="10" t="inlineStr">
        <is>
          <t>【校名変更】2025年4月に東京女子学院から改称・共学化。公式サイトで確認。中高共通</t>
        </is>
      </c>
      <c r="N327" s="11" t="inlineStr">
        <is>
          <t>https://eimei-frontier.ed.jp/ ; https://recruit.eimei-frontier.ed.jp/contact</t>
        </is>
      </c>
      <c r="O327" s="12" t="inlineStr">
        <is>
          <t>開く</t>
        </is>
      </c>
    </row>
    <row r="328">
      <c r="A328" s="4" t="n">
        <v>324</v>
      </c>
      <c r="B328" s="5" t="inlineStr">
        <is>
          <t>東京都</t>
        </is>
      </c>
      <c r="C328" s="5" t="inlineStr">
        <is>
          <t>江戸川区</t>
        </is>
      </c>
      <c r="D328" s="5" t="inlineStr">
        <is>
          <t>江戸川女子高等学校</t>
        </is>
      </c>
      <c r="E328" s="6" t="inlineStr">
        <is>
          <t>03-3659-1241</t>
        </is>
      </c>
      <c r="F328" s="7" t="inlineStr">
        <is>
          <t>高</t>
        </is>
      </c>
      <c r="G328" s="5" t="inlineStr">
        <is>
          <t>普通科・専門学科</t>
        </is>
      </c>
      <c r="H328" s="8" t="n"/>
      <c r="I328" s="9" t="n"/>
      <c r="J328" s="9" t="inlineStr">
        <is>
          <t>未架電</t>
        </is>
      </c>
      <c r="K328" s="8" t="n"/>
      <c r="L328" s="9" t="n"/>
      <c r="M328" s="10" t="inlineStr">
        <is>
          <t>江戸川区の一覧ほかで一致。中高共通</t>
        </is>
      </c>
      <c r="N328" s="11" t="inlineStr">
        <is>
          <t>https://www.city.edogawa.tokyo.jp/e004/kuseijoho/gaiyo/shisetsuguide/bunya/gakko/toritsushiritsu.html ; https://www.inter-edu.com/schools/school/2036</t>
        </is>
      </c>
      <c r="O328" s="12" t="inlineStr">
        <is>
          <t>開く</t>
        </is>
      </c>
    </row>
    <row r="329">
      <c r="A329" s="4" t="n">
        <v>325</v>
      </c>
      <c r="B329" s="5" t="inlineStr">
        <is>
          <t>東京都</t>
        </is>
      </c>
      <c r="C329" s="5" t="inlineStr">
        <is>
          <t>国立市</t>
        </is>
      </c>
      <c r="D329" s="5" t="inlineStr">
        <is>
          <t>NHK学園高等学校</t>
        </is>
      </c>
      <c r="E329" s="6" t="inlineStr">
        <is>
          <t>042-572-3151</t>
        </is>
      </c>
      <c r="F329" s="13" t="inlineStr">
        <is>
          <t>中</t>
        </is>
      </c>
      <c r="G329" s="5" t="inlineStr">
        <is>
          <t>普通科</t>
        </is>
      </c>
      <c r="H329" s="8" t="n"/>
      <c r="I329" s="9" t="n"/>
      <c r="J329" s="9" t="inlineStr">
        <is>
          <t>未架電</t>
        </is>
      </c>
      <c r="K329" s="8" t="n"/>
      <c r="L329" s="9" t="n"/>
      <c r="M329" s="10" t="inlineStr">
        <is>
          <t>通信制。東京都の通信制一覧の番号。042-572-3155は法人の代表、042-573-8111は旧番号の可能性</t>
        </is>
      </c>
      <c r="N329" s="11" t="inlineStr">
        <is>
          <t>https://www.seikatubunka.metro.tokyo.lg.jp/documents/d/seikatubunka/13high_tushin_r61201</t>
        </is>
      </c>
      <c r="O329" s="12" t="inlineStr">
        <is>
          <t>開く</t>
        </is>
      </c>
    </row>
    <row r="330">
      <c r="A330" s="4" t="n">
        <v>326</v>
      </c>
      <c r="B330" s="5" t="inlineStr">
        <is>
          <t>東京都</t>
        </is>
      </c>
      <c r="C330" s="5" t="inlineStr">
        <is>
          <t>文京区</t>
        </is>
      </c>
      <c r="D330" s="5" t="inlineStr">
        <is>
          <t>桜蔭高等学校</t>
        </is>
      </c>
      <c r="E330" s="6" t="inlineStr">
        <is>
          <t>03-3811-0147</t>
        </is>
      </c>
      <c r="F330" s="7" t="inlineStr">
        <is>
          <t>高</t>
        </is>
      </c>
      <c r="G330" s="5" t="inlineStr">
        <is>
          <t>普通科</t>
        </is>
      </c>
      <c r="H330" s="8" t="n"/>
      <c r="I330" s="9" t="n"/>
      <c r="J330" s="9" t="inlineStr">
        <is>
          <t>未架電</t>
        </is>
      </c>
      <c r="K330" s="8" t="n"/>
      <c r="L330" s="9" t="n"/>
      <c r="M330" s="10" t="inlineStr">
        <is>
          <t>東京都の私立高校一覧ほかで一致</t>
        </is>
      </c>
      <c r="N330" s="11" t="inlineStr">
        <is>
          <t>https://www.seikatubunka.metro.tokyo.lg.jp/documents/d/seikatubunka/07high_zennichi_r61201 ; https://www.inter-edu.com/schools/school/48</t>
        </is>
      </c>
      <c r="O330" s="12" t="inlineStr">
        <is>
          <t>開く</t>
        </is>
      </c>
    </row>
    <row r="331">
      <c r="A331" s="4" t="n">
        <v>327</v>
      </c>
      <c r="B331" s="5" t="inlineStr">
        <is>
          <t>東京都</t>
        </is>
      </c>
      <c r="C331" s="5" t="inlineStr">
        <is>
          <t>町田市</t>
        </is>
      </c>
      <c r="D331" s="5" t="inlineStr">
        <is>
          <t>桜美林高等学校</t>
        </is>
      </c>
      <c r="E331" s="6" t="inlineStr">
        <is>
          <t>042-797-2668</t>
        </is>
      </c>
      <c r="F331" s="13" t="inlineStr">
        <is>
          <t>中</t>
        </is>
      </c>
      <c r="G331" s="5" t="inlineStr">
        <is>
          <t>普通科</t>
        </is>
      </c>
      <c r="H331" s="8" t="n"/>
      <c r="I331" s="9" t="n"/>
      <c r="J331" s="9" t="inlineStr">
        <is>
          <t>未架電</t>
        </is>
      </c>
      <c r="K331" s="8" t="n"/>
      <c r="L331" s="9" t="n"/>
      <c r="M331" s="10" t="inlineStr">
        <is>
          <t>東京都の私立高校一覧には042-797-2667とあり食い違い。要確認</t>
        </is>
      </c>
      <c r="N331" s="11" t="inlineStr">
        <is>
          <t>https://www.inter-edu.com/schools/school/1953 ; https://unesco-sdgs.mext.go.jp/?p=6997</t>
        </is>
      </c>
      <c r="O331" s="12" t="inlineStr">
        <is>
          <t>開く</t>
        </is>
      </c>
    </row>
    <row r="332">
      <c r="A332" s="4" t="n">
        <v>328</v>
      </c>
      <c r="B332" s="5" t="inlineStr">
        <is>
          <t>東京都</t>
        </is>
      </c>
      <c r="C332" s="5" t="inlineStr">
        <is>
          <t>世田谷区</t>
        </is>
      </c>
      <c r="D332" s="5" t="inlineStr">
        <is>
          <t>鷗友学園女子高等学校</t>
        </is>
      </c>
      <c r="E332" s="6" t="inlineStr">
        <is>
          <t>03-3420-0136</t>
        </is>
      </c>
      <c r="F332" s="13" t="inlineStr">
        <is>
          <t>中</t>
        </is>
      </c>
      <c r="G332" s="5" t="inlineStr">
        <is>
          <t>普通科</t>
        </is>
      </c>
      <c r="H332" s="8" t="n"/>
      <c r="I332" s="9" t="n"/>
      <c r="J332" s="9" t="inlineStr">
        <is>
          <t>未架電</t>
        </is>
      </c>
      <c r="K332" s="8" t="n"/>
      <c r="L332" s="9" t="n"/>
      <c r="M332" s="10" t="inlineStr">
        <is>
          <t>東京都の私立高校一覧のみで確認</t>
        </is>
      </c>
      <c r="N332" s="11" t="inlineStr">
        <is>
          <t>https://www.seikatubunka.metro.tokyo.lg.jp/documents/d/seikatubunka/07high_zennichi_r61201</t>
        </is>
      </c>
      <c r="O332" s="12" t="inlineStr">
        <is>
          <t>開く</t>
        </is>
      </c>
    </row>
    <row r="333">
      <c r="A333" s="4" t="n">
        <v>329</v>
      </c>
      <c r="B333" s="5" t="inlineStr">
        <is>
          <t>東京都</t>
        </is>
      </c>
      <c r="C333" s="5" t="inlineStr">
        <is>
          <t>千代田区</t>
        </is>
      </c>
      <c r="D333" s="5" t="inlineStr">
        <is>
          <t>大妻高等学校</t>
        </is>
      </c>
      <c r="E333" s="6" t="inlineStr">
        <is>
          <t>03-5275-6002</t>
        </is>
      </c>
      <c r="F333" s="7" t="inlineStr">
        <is>
          <t>高</t>
        </is>
      </c>
      <c r="G333" s="5" t="inlineStr">
        <is>
          <t>普通科</t>
        </is>
      </c>
      <c r="H333" s="8" t="n"/>
      <c r="I333" s="9" t="n"/>
      <c r="J333" s="9" t="inlineStr">
        <is>
          <t>未架電</t>
        </is>
      </c>
      <c r="K333" s="8" t="n"/>
      <c r="L333" s="9" t="n"/>
      <c r="M333" s="10" t="inlineStr">
        <is>
          <t>中高共通</t>
        </is>
      </c>
      <c r="N333" s="11" t="inlineStr">
        <is>
          <t>https://www.seikatubunka.metro.tokyo.lg.jp/documents/d/seikatubunka/07high_zennichi_r61201 ; https://www.inter-edu.com/schools/school/50</t>
        </is>
      </c>
      <c r="O333" s="12" t="inlineStr">
        <is>
          <t>開く</t>
        </is>
      </c>
    </row>
    <row r="334">
      <c r="A334" s="4" t="n">
        <v>330</v>
      </c>
      <c r="B334" s="5" t="inlineStr">
        <is>
          <t>東京都</t>
        </is>
      </c>
      <c r="C334" s="5" t="inlineStr">
        <is>
          <t>多摩市</t>
        </is>
      </c>
      <c r="D334" s="5" t="inlineStr">
        <is>
          <t>大妻多摩高等学校</t>
        </is>
      </c>
      <c r="E334" s="6" t="inlineStr">
        <is>
          <t>042-372-9113</t>
        </is>
      </c>
      <c r="F334" s="7" t="inlineStr">
        <is>
          <t>高</t>
        </is>
      </c>
      <c r="G334" s="5" t="inlineStr">
        <is>
          <t>普通科</t>
        </is>
      </c>
      <c r="H334" s="8" t="n"/>
      <c r="I334" s="9" t="n"/>
      <c r="J334" s="9" t="inlineStr">
        <is>
          <t>未架電</t>
        </is>
      </c>
      <c r="K334" s="8" t="n"/>
      <c r="L334" s="9" t="n"/>
      <c r="M334" s="10" t="inlineStr">
        <is>
          <t>東京都の私立高校一覧ほかで一致</t>
        </is>
      </c>
      <c r="N334" s="11" t="inlineStr">
        <is>
          <t>https://www.seikatubunka.metro.tokyo.lg.jp/documents/d/seikatubunka/07high_zennichi_r61201 ; https://www.inter-edu.com/schools/school/51</t>
        </is>
      </c>
      <c r="O334" s="12" t="inlineStr">
        <is>
          <t>開く</t>
        </is>
      </c>
    </row>
    <row r="335">
      <c r="A335" s="4" t="n">
        <v>331</v>
      </c>
      <c r="B335" s="5" t="inlineStr">
        <is>
          <t>東京都</t>
        </is>
      </c>
      <c r="C335" s="5" t="inlineStr">
        <is>
          <t>中野区</t>
        </is>
      </c>
      <c r="D335" s="5" t="inlineStr">
        <is>
          <t>大妻中野高等学校</t>
        </is>
      </c>
      <c r="E335" s="6" t="inlineStr">
        <is>
          <t>03-3389-7211</t>
        </is>
      </c>
      <c r="F335" s="7" t="inlineStr">
        <is>
          <t>高</t>
        </is>
      </c>
      <c r="G335" s="5" t="inlineStr">
        <is>
          <t>普通科</t>
        </is>
      </c>
      <c r="H335" s="8" t="n"/>
      <c r="I335" s="9" t="n"/>
      <c r="J335" s="9" t="inlineStr">
        <is>
          <t>未架電</t>
        </is>
      </c>
      <c r="K335" s="8" t="n"/>
      <c r="L335" s="9" t="n"/>
      <c r="M335" s="10" t="inlineStr">
        <is>
          <t>中高共通</t>
        </is>
      </c>
      <c r="N335" s="11" t="inlineStr">
        <is>
          <t>https://unesco-sdgs.mext.go.jp/?p=6992 ; https://www.inter-edu.com/schools/school/52</t>
        </is>
      </c>
      <c r="O335" s="12" t="inlineStr">
        <is>
          <t>開く</t>
        </is>
      </c>
    </row>
    <row r="336">
      <c r="A336" s="4" t="n">
        <v>332</v>
      </c>
      <c r="B336" s="5" t="inlineStr">
        <is>
          <t>東京都</t>
        </is>
      </c>
      <c r="C336" s="5" t="inlineStr">
        <is>
          <t>千代田区</t>
        </is>
      </c>
      <c r="D336" s="5" t="inlineStr">
        <is>
          <t>大原学園美空高等学校</t>
        </is>
      </c>
      <c r="E336" s="6" t="inlineStr">
        <is>
          <t>03-3237-3141</t>
        </is>
      </c>
      <c r="F336" s="7" t="inlineStr">
        <is>
          <t>高</t>
        </is>
      </c>
      <c r="G336" s="5" t="inlineStr">
        <is>
          <t>普通科</t>
        </is>
      </c>
      <c r="H336" s="8" t="n"/>
      <c r="I336" s="9" t="n"/>
      <c r="J336" s="9" t="inlineStr">
        <is>
          <t>未架電</t>
        </is>
      </c>
      <c r="K336" s="8" t="n"/>
      <c r="L336" s="9" t="n"/>
      <c r="M336" s="10" t="inlineStr">
        <is>
          <t>通信制。東京都の通信制一覧とYahoo!マップで一致。町田キャンパスは別番号の可能性</t>
        </is>
      </c>
      <c r="N336" s="11" t="inlineStr">
        <is>
          <t>https://www.seikatubunka.metro.tokyo.lg.jp/documents/d/seikatubunka/13high_tushin_r61201 ; https://map.yahoo.co.jp/v3/place/P1V36L6F1ko</t>
        </is>
      </c>
      <c r="O336" s="12" t="inlineStr">
        <is>
          <t>開く</t>
        </is>
      </c>
    </row>
    <row r="337">
      <c r="A337" s="4" t="n">
        <v>333</v>
      </c>
      <c r="B337" s="5" t="inlineStr">
        <is>
          <t>東京都</t>
        </is>
      </c>
      <c r="C337" s="5" t="inlineStr">
        <is>
          <t>大田区</t>
        </is>
      </c>
      <c r="D337" s="5" t="inlineStr">
        <is>
          <t>大森学園高等学校</t>
        </is>
      </c>
      <c r="E337" s="6" t="inlineStr">
        <is>
          <t>03-3762-7336</t>
        </is>
      </c>
      <c r="F337" s="13" t="inlineStr">
        <is>
          <t>中</t>
        </is>
      </c>
      <c r="G337" s="5" t="inlineStr">
        <is>
          <t>普通科・専門学科</t>
        </is>
      </c>
      <c r="H337" s="8" t="n"/>
      <c r="I337" s="9" t="n"/>
      <c r="J337" s="9" t="inlineStr">
        <is>
          <t>未架電</t>
        </is>
      </c>
      <c r="K337" s="8" t="n"/>
      <c r="L337" s="9" t="n"/>
      <c r="M337" s="10" t="inlineStr">
        <is>
          <t>学校情報サイト1件のみで確認</t>
        </is>
      </c>
      <c r="N337" s="11" t="inlineStr">
        <is>
          <t>https://www.inter-edu.com/schools/school/565</t>
        </is>
      </c>
      <c r="O337" s="12" t="inlineStr">
        <is>
          <t>開く</t>
        </is>
      </c>
    </row>
    <row r="338">
      <c r="A338" s="4" t="n">
        <v>334</v>
      </c>
      <c r="B338" s="5" t="inlineStr">
        <is>
          <t>東京都</t>
        </is>
      </c>
      <c r="C338" s="5" t="inlineStr">
        <is>
          <t>新宿区</t>
        </is>
      </c>
      <c r="D338" s="5" t="inlineStr">
        <is>
          <t>海城高等学校</t>
        </is>
      </c>
      <c r="E338" s="6" t="inlineStr">
        <is>
          <t>03-3209-5880</t>
        </is>
      </c>
      <c r="F338" s="7" t="inlineStr">
        <is>
          <t>高</t>
        </is>
      </c>
      <c r="G338" s="5" t="inlineStr">
        <is>
          <t>普通科</t>
        </is>
      </c>
      <c r="H338" s="8" t="n"/>
      <c r="I338" s="9" t="n"/>
      <c r="J338" s="9" t="inlineStr">
        <is>
          <t>未架電</t>
        </is>
      </c>
      <c r="K338" s="8" t="n"/>
      <c r="L338" s="9" t="n"/>
      <c r="M338" s="10" t="inlineStr">
        <is>
          <t>中高共通</t>
        </is>
      </c>
      <c r="N338" s="11" t="inlineStr">
        <is>
          <t>https://www.inter-edu.com/schools/school/4 ; https://www.seikatubunka.metro.tokyo.lg.jp/documents/d/seikatubunka/07high_zennichi_r61201</t>
        </is>
      </c>
      <c r="O338" s="12" t="inlineStr">
        <is>
          <t>開く</t>
        </is>
      </c>
    </row>
    <row r="339">
      <c r="A339" s="4" t="n">
        <v>335</v>
      </c>
      <c r="B339" s="5" t="inlineStr">
        <is>
          <t>東京都</t>
        </is>
      </c>
      <c r="C339" s="5" t="inlineStr">
        <is>
          <t>荒川区</t>
        </is>
      </c>
      <c r="D339" s="5" t="inlineStr">
        <is>
          <t>開成高等学校</t>
        </is>
      </c>
      <c r="E339" s="6" t="inlineStr">
        <is>
          <t>03-3822-0741</t>
        </is>
      </c>
      <c r="F339" s="13" t="inlineStr">
        <is>
          <t>中</t>
        </is>
      </c>
      <c r="G339" s="5" t="inlineStr">
        <is>
          <t>普通科</t>
        </is>
      </c>
      <c r="H339" s="8" t="n"/>
      <c r="I339" s="9" t="n"/>
      <c r="J339" s="9" t="inlineStr">
        <is>
          <t>未架電</t>
        </is>
      </c>
      <c r="K339" s="8" t="n"/>
      <c r="L339" s="9" t="n"/>
      <c r="M339" s="10" t="inlineStr">
        <is>
          <t>中高共通とみられる。公式の教員募集資料には高校の問い合わせ先として03-3822-0743の記載あり</t>
        </is>
      </c>
      <c r="N339" s="11" t="inlineStr">
        <is>
          <t>https://www.inter-edu.com/schools/school/1941</t>
        </is>
      </c>
      <c r="O339" s="12" t="inlineStr">
        <is>
          <t>開く</t>
        </is>
      </c>
    </row>
    <row r="340">
      <c r="A340" s="4" t="n">
        <v>336</v>
      </c>
      <c r="B340" s="5" t="inlineStr">
        <is>
          <t>東京都</t>
        </is>
      </c>
      <c r="C340" s="5" t="inlineStr">
        <is>
          <t>中央区</t>
        </is>
      </c>
      <c r="D340" s="5" t="inlineStr">
        <is>
          <t>開智日本橋学園高等学校</t>
        </is>
      </c>
      <c r="E340" s="6" t="inlineStr">
        <is>
          <t>03-3662-2507</t>
        </is>
      </c>
      <c r="F340" s="7" t="inlineStr">
        <is>
          <t>高</t>
        </is>
      </c>
      <c r="G340" s="5" t="inlineStr">
        <is>
          <t>普通科</t>
        </is>
      </c>
      <c r="H340" s="8" t="n"/>
      <c r="I340" s="9" t="n"/>
      <c r="J340" s="9" t="inlineStr">
        <is>
          <t>未架電</t>
        </is>
      </c>
      <c r="K340" s="8" t="n"/>
      <c r="L340" s="9" t="n"/>
      <c r="M340" s="10" t="inlineStr">
        <is>
          <t>中高共通。高校募集なし（完全中高一貫）との情報あり</t>
        </is>
      </c>
      <c r="N340" s="11" t="inlineStr">
        <is>
          <t>https://www.seikatubunka.metro.tokyo.lg.jp/documents/d/seikatubunka/07high_zennichi_r61201 ; https://www.inter-edu.com/schools/school/255</t>
        </is>
      </c>
      <c r="O340" s="12" t="inlineStr">
        <is>
          <t>開く</t>
        </is>
      </c>
    </row>
    <row r="341">
      <c r="A341" s="4" t="n">
        <v>337</v>
      </c>
      <c r="B341" s="5" t="inlineStr">
        <is>
          <t>東京都</t>
        </is>
      </c>
      <c r="C341" s="5" t="inlineStr">
        <is>
          <t>江東区</t>
        </is>
      </c>
      <c r="D341" s="5" t="inlineStr">
        <is>
          <t>かえつ有明高等学校</t>
        </is>
      </c>
      <c r="E341" s="6" t="inlineStr">
        <is>
          <t>03-5564-2161</t>
        </is>
      </c>
      <c r="F341" s="13" t="inlineStr">
        <is>
          <t>中</t>
        </is>
      </c>
      <c r="G341" s="5" t="inlineStr">
        <is>
          <t>普通科</t>
        </is>
      </c>
      <c r="H341" s="8" t="n"/>
      <c r="I341" s="9" t="n"/>
      <c r="J341" s="9" t="inlineStr">
        <is>
          <t>未架電</t>
        </is>
      </c>
      <c r="K341" s="8" t="n"/>
      <c r="L341" s="9" t="n"/>
      <c r="M341" s="10" t="inlineStr">
        <is>
          <t>中高共通。「広報室」と表記するサイトもあり、代表か不明</t>
        </is>
      </c>
      <c r="N341" s="11" t="inlineStr">
        <is>
          <t>https://www.inter-edu.com/schools/school/1989</t>
        </is>
      </c>
      <c r="O341" s="12" t="inlineStr">
        <is>
          <t>開く</t>
        </is>
      </c>
    </row>
    <row r="342">
      <c r="A342" s="4" t="n">
        <v>338</v>
      </c>
      <c r="B342" s="5" t="inlineStr">
        <is>
          <t>東京都</t>
        </is>
      </c>
      <c r="C342" s="5" t="inlineStr">
        <is>
          <t>世田谷区</t>
        </is>
      </c>
      <c r="D342" s="5" t="inlineStr">
        <is>
          <t>科学技術学園高等学校</t>
        </is>
      </c>
      <c r="E342" s="6" t="inlineStr">
        <is>
          <t>03-5494-7711</t>
        </is>
      </c>
      <c r="F342" s="7" t="inlineStr">
        <is>
          <t>高</t>
        </is>
      </c>
      <c r="G342" s="5" t="inlineStr">
        <is>
          <t>普通科</t>
        </is>
      </c>
      <c r="H342" s="8" t="n"/>
      <c r="I342" s="9" t="n"/>
      <c r="J342" s="9" t="inlineStr">
        <is>
          <t>未架電</t>
        </is>
      </c>
      <c r="K342" s="8" t="n"/>
      <c r="L342" s="9" t="n"/>
      <c r="M342" s="10" t="inlineStr">
        <is>
          <t>全日制・通信制の東京都一覧で一致。定時制あり</t>
        </is>
      </c>
      <c r="N342" s="11" t="inlineStr">
        <is>
          <t>https://www.seikatubunka.metro.tokyo.lg.jp/documents/d/seikatubunka/07high_zennichi_r61201 ; https://www.seikatubunka.metro.tokyo.lg.jp/documents/d/seikatubunka/13high_tushin_r61201</t>
        </is>
      </c>
      <c r="O342" s="12" t="inlineStr">
        <is>
          <t>開く</t>
        </is>
      </c>
    </row>
    <row r="343">
      <c r="A343" s="4" t="n">
        <v>339</v>
      </c>
      <c r="B343" s="5" t="inlineStr">
        <is>
          <t>東京都</t>
        </is>
      </c>
      <c r="C343" s="5" t="inlineStr">
        <is>
          <t>豊島区</t>
        </is>
      </c>
      <c r="D343" s="5" t="inlineStr">
        <is>
          <t>川村高等学校</t>
        </is>
      </c>
      <c r="E343" s="6" t="inlineStr">
        <is>
          <t>03-3984-8321</t>
        </is>
      </c>
      <c r="F343" s="7" t="inlineStr">
        <is>
          <t>高</t>
        </is>
      </c>
      <c r="G343" s="5" t="inlineStr">
        <is>
          <t>普通科</t>
        </is>
      </c>
      <c r="H343" s="8" t="n"/>
      <c r="I343" s="9" t="n"/>
      <c r="J343" s="9" t="inlineStr">
        <is>
          <t>未架電</t>
        </is>
      </c>
      <c r="K343" s="8" t="n"/>
      <c r="L343" s="9" t="n"/>
      <c r="M343" s="10" t="inlineStr">
        <is>
          <t>学校資料に「代表」と記載。中高共通</t>
        </is>
      </c>
      <c r="N343" s="11" t="inlineStr">
        <is>
          <t>https://www.univpress.co.jp/wp-content/uploads/29kawamura-.pdf ; https://map.yahoo.co.jp/v3/place/0LqAmew92LU</t>
        </is>
      </c>
      <c r="O343" s="12" t="inlineStr">
        <is>
          <t>開く</t>
        </is>
      </c>
    </row>
    <row r="344">
      <c r="A344" s="4" t="n">
        <v>340</v>
      </c>
      <c r="B344" s="5" t="inlineStr">
        <is>
          <t>東京都</t>
        </is>
      </c>
      <c r="C344" s="5" t="inlineStr">
        <is>
          <t>千代田区</t>
        </is>
      </c>
      <c r="D344" s="5" t="inlineStr">
        <is>
          <t>神田女学園高等学校</t>
        </is>
      </c>
      <c r="E344" s="6" t="inlineStr">
        <is>
          <t>03-6383-3751</t>
        </is>
      </c>
      <c r="F344" s="7" t="inlineStr">
        <is>
          <t>高</t>
        </is>
      </c>
      <c r="G344" s="5" t="inlineStr">
        <is>
          <t>普通科</t>
        </is>
      </c>
      <c r="H344" s="8" t="n"/>
      <c r="I344" s="9" t="n"/>
      <c r="J344" s="9" t="inlineStr">
        <is>
          <t>未架電</t>
        </is>
      </c>
      <c r="K344" s="8" t="n"/>
      <c r="L344" s="9" t="n"/>
      <c r="M344" s="10" t="inlineStr">
        <is>
          <t>中高共通。複数の情報源で一致</t>
        </is>
      </c>
      <c r="N344" s="11" t="inlineStr">
        <is>
          <t>https://www.inter-edu.com/schools/school/2211 ; https://school.js88.com/scl_h/22037920</t>
        </is>
      </c>
      <c r="O344" s="12" t="inlineStr">
        <is>
          <t>開く</t>
        </is>
      </c>
    </row>
    <row r="345">
      <c r="A345" s="4" t="n">
        <v>341</v>
      </c>
      <c r="B345" s="5" t="inlineStr">
        <is>
          <t>東京都</t>
        </is>
      </c>
      <c r="C345" s="5" t="inlineStr">
        <is>
          <t>渋谷区</t>
        </is>
      </c>
      <c r="D345" s="5" t="inlineStr">
        <is>
          <t>関東国際高等学校</t>
        </is>
      </c>
      <c r="E345" s="6" t="inlineStr">
        <is>
          <t>03-3376-2244</t>
        </is>
      </c>
      <c r="F345" s="7" t="inlineStr">
        <is>
          <t>高</t>
        </is>
      </c>
      <c r="G345" s="5" t="inlineStr">
        <is>
          <t>普通科・専門学科</t>
        </is>
      </c>
      <c r="H345" s="8" t="n"/>
      <c r="I345" s="9" t="n"/>
      <c r="J345" s="9" t="inlineStr">
        <is>
          <t>未架電</t>
        </is>
      </c>
      <c r="K345" s="8" t="n"/>
      <c r="L345" s="9" t="n"/>
      <c r="M345" s="10" t="inlineStr">
        <is>
          <t>東京都の私立高校一覧と一致</t>
        </is>
      </c>
      <c r="N345" s="11" t="inlineStr">
        <is>
          <t>https://www.inter-edu.com/schools/school/566 ; https://www.seikatubunka.metro.tokyo.lg.jp/documents/d/seikatubunka/07high_zennichi_r61201</t>
        </is>
      </c>
      <c r="O345" s="12" t="inlineStr">
        <is>
          <t>開く</t>
        </is>
      </c>
    </row>
    <row r="346">
      <c r="A346" s="4" t="n">
        <v>342</v>
      </c>
      <c r="B346" s="5" t="inlineStr">
        <is>
          <t>東京都</t>
        </is>
      </c>
      <c r="C346" s="5" t="inlineStr">
        <is>
          <t>江戸川区</t>
        </is>
      </c>
      <c r="D346" s="5" t="inlineStr">
        <is>
          <t>関東第一高等学校</t>
        </is>
      </c>
      <c r="E346" s="6" t="inlineStr">
        <is>
          <t>03-3653-1541</t>
        </is>
      </c>
      <c r="F346" s="7" t="inlineStr">
        <is>
          <t>高</t>
        </is>
      </c>
      <c r="G346" s="5" t="inlineStr">
        <is>
          <t>普通科</t>
        </is>
      </c>
      <c r="H346" s="8" t="n"/>
      <c r="I346" s="9" t="n"/>
      <c r="J346" s="9" t="inlineStr">
        <is>
          <t>未架電</t>
        </is>
      </c>
      <c r="K346" s="8" t="n"/>
      <c r="L346" s="9" t="n"/>
      <c r="M346" s="10" t="inlineStr">
        <is>
          <t>公式資料に学校代表として記載。広報直通は03-3653-1680</t>
        </is>
      </c>
      <c r="N346" s="11" t="inlineStr">
        <is>
          <t>https://www.kanto-ichiko.ac.jp/topics/assets/fdd62acf219d9e2f1087e8a41dadae25fea8c585.pdf</t>
        </is>
      </c>
      <c r="O346" s="12" t="inlineStr">
        <is>
          <t>開く</t>
        </is>
      </c>
    </row>
    <row r="347">
      <c r="A347" s="4" t="n">
        <v>343</v>
      </c>
      <c r="B347" s="5" t="inlineStr">
        <is>
          <t>東京都</t>
        </is>
      </c>
      <c r="C347" s="5" t="inlineStr">
        <is>
          <t>豊島区</t>
        </is>
      </c>
      <c r="D347" s="5" t="inlineStr">
        <is>
          <t>学習院高等科</t>
        </is>
      </c>
      <c r="E347" s="6" t="inlineStr">
        <is>
          <t>03-5992-1032</t>
        </is>
      </c>
      <c r="F347" s="7" t="inlineStr">
        <is>
          <t>高</t>
        </is>
      </c>
      <c r="G347" s="5" t="inlineStr">
        <is>
          <t>普通科</t>
        </is>
      </c>
      <c r="H347" s="8" t="n"/>
      <c r="I347" s="9" t="n"/>
      <c r="J347" s="9" t="inlineStr">
        <is>
          <t>未架電</t>
        </is>
      </c>
      <c r="K347" s="8" t="n"/>
      <c r="L347" s="9" t="n"/>
      <c r="M347" s="10" t="inlineStr">
        <is>
          <t>公式の学校案内と東京都の一覧で一致。一部サイトの03-3986-0221は旧番号の可能性</t>
        </is>
      </c>
      <c r="N347" s="11" t="inlineStr">
        <is>
          <t>https://www.gakushuin.ac.jp/bsh/admission/pdf/leaf2023.pdf ; https://www.seikatubunka.metro.tokyo.lg.jp/documents/d/seikatubunka/07high_zennichi_r61201</t>
        </is>
      </c>
      <c r="O347" s="12" t="inlineStr">
        <is>
          <t>開く</t>
        </is>
      </c>
    </row>
    <row r="348">
      <c r="A348" s="4" t="n">
        <v>344</v>
      </c>
      <c r="B348" s="5" t="inlineStr">
        <is>
          <t>東京都</t>
        </is>
      </c>
      <c r="C348" s="5" t="inlineStr">
        <is>
          <t>新宿区</t>
        </is>
      </c>
      <c r="D348" s="5" t="inlineStr">
        <is>
          <t>学習院女子高等科</t>
        </is>
      </c>
      <c r="E348" s="6" t="inlineStr">
        <is>
          <t>03-3203-1901</t>
        </is>
      </c>
      <c r="F348" s="13" t="inlineStr">
        <is>
          <t>中</t>
        </is>
      </c>
      <c r="G348" s="5" t="inlineStr">
        <is>
          <t>普通科</t>
        </is>
      </c>
      <c r="H348" s="8" t="n"/>
      <c r="I348" s="9" t="n"/>
      <c r="J348" s="9" t="inlineStr">
        <is>
          <t>未架電</t>
        </is>
      </c>
      <c r="K348" s="8" t="n"/>
      <c r="L348" s="9" t="n"/>
      <c r="M348" s="10" t="inlineStr">
        <is>
          <t>学校情報サイトのみで確認。03-3203-1906は学習院女子大学の番号なので注意</t>
        </is>
      </c>
      <c r="N348" s="11" t="inlineStr">
        <is>
          <t>https://www.inter-edu.com/schools/school/54 ; https://www.minkou.jp/junior/school/7530/</t>
        </is>
      </c>
      <c r="O348" s="12" t="inlineStr">
        <is>
          <t>開く</t>
        </is>
      </c>
    </row>
    <row r="349">
      <c r="A349" s="4" t="n">
        <v>345</v>
      </c>
      <c r="B349" s="5" t="inlineStr">
        <is>
          <t>東京都</t>
        </is>
      </c>
      <c r="C349" s="5" t="inlineStr">
        <is>
          <t>北区</t>
        </is>
      </c>
      <c r="D349" s="5" t="inlineStr">
        <is>
          <t>北里大学附属順天高等学校</t>
        </is>
      </c>
      <c r="E349" s="6" t="inlineStr">
        <is>
          <t>03-3908-2966</t>
        </is>
      </c>
      <c r="F349" s="7" t="inlineStr">
        <is>
          <t>高</t>
        </is>
      </c>
      <c r="G349" s="5" t="inlineStr">
        <is>
          <t>普通科</t>
        </is>
      </c>
      <c r="H349" s="8" t="n"/>
      <c r="I349" s="9" t="n"/>
      <c r="J349" s="9" t="inlineStr">
        <is>
          <t>未架電</t>
        </is>
      </c>
      <c r="K349" s="8" t="n"/>
      <c r="L349" s="9" t="n"/>
      <c r="M349" s="10" t="inlineStr">
        <is>
          <t>旧 順天高校。2つのサイトで一致</t>
        </is>
      </c>
      <c r="N349" s="11" t="inlineStr">
        <is>
          <t>https://www.inter-edu.com/schools/school/1995 ; https://school.js88.com/scl_h/22038690?page=6</t>
        </is>
      </c>
      <c r="O349" s="12" t="inlineStr">
        <is>
          <t>開く</t>
        </is>
      </c>
    </row>
    <row r="350">
      <c r="A350" s="4" t="n">
        <v>346</v>
      </c>
      <c r="B350" s="5" t="inlineStr">
        <is>
          <t>東京都</t>
        </is>
      </c>
      <c r="C350" s="5" t="inlineStr">
        <is>
          <t>荒川区</t>
        </is>
      </c>
      <c r="D350" s="5" t="inlineStr">
        <is>
          <t>北豊島高等学校</t>
        </is>
      </c>
      <c r="E350" s="6" t="inlineStr">
        <is>
          <t>03-3895-4490</t>
        </is>
      </c>
      <c r="F350" s="13" t="inlineStr">
        <is>
          <t>中</t>
        </is>
      </c>
      <c r="G350" s="5" t="inlineStr">
        <is>
          <t>普通科</t>
        </is>
      </c>
      <c r="H350" s="8" t="n"/>
      <c r="I350" s="9" t="n"/>
      <c r="J350" s="9" t="inlineStr">
        <is>
          <t>未架電</t>
        </is>
      </c>
      <c r="K350" s="8" t="n"/>
      <c r="L350" s="9" t="n"/>
      <c r="M350" s="10" t="inlineStr">
        <is>
          <t>全日制の番号（学校情報サイト）。通信制課程は03-3895-3051</t>
        </is>
      </c>
      <c r="N350" s="11" t="inlineStr">
        <is>
          <t>https://www.inter-edu.com/schools/school/189</t>
        </is>
      </c>
      <c r="O350" s="12" t="inlineStr">
        <is>
          <t>開く</t>
        </is>
      </c>
    </row>
    <row r="351">
      <c r="A351" s="4" t="n">
        <v>347</v>
      </c>
      <c r="B351" s="5" t="inlineStr">
        <is>
          <t>東京都</t>
        </is>
      </c>
      <c r="C351" s="5" t="inlineStr">
        <is>
          <t>武蔵野市</t>
        </is>
      </c>
      <c r="D351" s="5" t="inlineStr">
        <is>
          <t>吉祥寺湧水高等学校</t>
        </is>
      </c>
      <c r="E351" s="6" t="inlineStr">
        <is>
          <t>0422-22-1266</t>
        </is>
      </c>
      <c r="F351" s="13" t="inlineStr">
        <is>
          <t>中</t>
        </is>
      </c>
      <c r="G351" s="5" t="inlineStr">
        <is>
          <t>普通科</t>
        </is>
      </c>
      <c r="H351" s="8" t="n"/>
      <c r="I351" s="9" t="n"/>
      <c r="J351" s="9" t="inlineStr">
        <is>
          <t>未架電</t>
        </is>
      </c>
      <c r="K351" s="8" t="n"/>
      <c r="L351" s="9" t="n"/>
      <c r="M351" s="10" t="inlineStr">
        <is>
          <t>【校名変更予定】現在は藤村女子高校（2027年4月に改称予定）。学校情報サイトのみで確認</t>
        </is>
      </c>
      <c r="N351" s="11" t="inlineStr">
        <is>
          <t>https://www.inter-edu.com/schools/school/2102 ; https://www.minkou.jp/junior/school/8077/</t>
        </is>
      </c>
      <c r="O351" s="12" t="inlineStr">
        <is>
          <t>開く</t>
        </is>
      </c>
    </row>
    <row r="352">
      <c r="A352" s="4" t="n">
        <v>348</v>
      </c>
      <c r="B352" s="5" t="inlineStr">
        <is>
          <t>東京都</t>
        </is>
      </c>
      <c r="C352" s="5" t="inlineStr">
        <is>
          <t>武蔵野市</t>
        </is>
      </c>
      <c r="D352" s="5" t="inlineStr">
        <is>
          <t>吉祥女子高等学校</t>
        </is>
      </c>
      <c r="E352" s="6" t="inlineStr">
        <is>
          <t>0422-22-8117</t>
        </is>
      </c>
      <c r="F352" s="13" t="inlineStr">
        <is>
          <t>中</t>
        </is>
      </c>
      <c r="G352" s="5" t="inlineStr">
        <is>
          <t>普通科</t>
        </is>
      </c>
      <c r="H352" s="8" t="n"/>
      <c r="I352" s="9" t="n"/>
      <c r="J352" s="9" t="inlineStr">
        <is>
          <t>未架電</t>
        </is>
      </c>
      <c r="K352" s="8" t="n"/>
      <c r="L352" s="9" t="n"/>
      <c r="M352" s="10" t="inlineStr">
        <is>
          <t>学校情報サイト1件のみで確認</t>
        </is>
      </c>
      <c r="N352" s="11" t="inlineStr">
        <is>
          <t>https://www.inter-edu.com/schools/school/103</t>
        </is>
      </c>
      <c r="O352" s="12" t="inlineStr">
        <is>
          <t>開く</t>
        </is>
      </c>
    </row>
    <row r="353">
      <c r="A353" s="4" t="n">
        <v>349</v>
      </c>
      <c r="B353" s="5" t="inlineStr">
        <is>
          <t>東京都</t>
        </is>
      </c>
      <c r="C353" s="5" t="inlineStr">
        <is>
          <t>葛飾区</t>
        </is>
      </c>
      <c r="D353" s="5" t="inlineStr">
        <is>
          <t>共栄学園高等学校</t>
        </is>
      </c>
      <c r="E353" s="6" t="inlineStr">
        <is>
          <t>03-3601-7136</t>
        </is>
      </c>
      <c r="F353" s="7" t="inlineStr">
        <is>
          <t>高</t>
        </is>
      </c>
      <c r="G353" s="5" t="inlineStr">
        <is>
          <t>普通科</t>
        </is>
      </c>
      <c r="H353" s="8" t="n"/>
      <c r="I353" s="9" t="n"/>
      <c r="J353" s="9" t="inlineStr">
        <is>
          <t>未架電</t>
        </is>
      </c>
      <c r="K353" s="8" t="n"/>
      <c r="L353" s="9" t="n"/>
      <c r="M353" s="10" t="inlineStr">
        <is>
          <t>2つの情報源で一致</t>
        </is>
      </c>
      <c r="N353" s="11" t="inlineStr">
        <is>
          <t>https://www.inter-edu.com/schools/school/1992 ; https://univpress.co.jp/gk_pdf/13604.pdf</t>
        </is>
      </c>
      <c r="O353" s="12" t="inlineStr">
        <is>
          <t>開く</t>
        </is>
      </c>
    </row>
    <row r="354">
      <c r="A354" s="4" t="n">
        <v>350</v>
      </c>
      <c r="B354" s="5" t="inlineStr">
        <is>
          <t>東京都</t>
        </is>
      </c>
      <c r="C354" s="5" t="inlineStr">
        <is>
          <t>千代田区</t>
        </is>
      </c>
      <c r="D354" s="5" t="inlineStr">
        <is>
          <t>共立女子高等学校</t>
        </is>
      </c>
      <c r="E354" s="6" t="inlineStr">
        <is>
          <t>03-3237-2744</t>
        </is>
      </c>
      <c r="F354" s="7" t="inlineStr">
        <is>
          <t>高</t>
        </is>
      </c>
      <c r="G354" s="5" t="inlineStr">
        <is>
          <t>普通科</t>
        </is>
      </c>
      <c r="H354" s="8" t="n"/>
      <c r="I354" s="9" t="n"/>
      <c r="J354" s="9" t="inlineStr">
        <is>
          <t>未架電</t>
        </is>
      </c>
      <c r="K354" s="8" t="n"/>
      <c r="L354" s="9" t="n"/>
      <c r="M354" s="10" t="inlineStr">
        <is>
          <t>東京都の私立高校一覧ほかで一致</t>
        </is>
      </c>
      <c r="N354" s="11" t="inlineStr">
        <is>
          <t>https://www.seikatubunka.metro.tokyo.lg.jp/documents/d/seikatubunka/07high_zennichi_r61201 ; https://www.inter-edu.com/schools/school/104</t>
        </is>
      </c>
      <c r="O354" s="12" t="inlineStr">
        <is>
          <t>開く</t>
        </is>
      </c>
    </row>
    <row r="355">
      <c r="A355" s="4" t="n">
        <v>351</v>
      </c>
      <c r="B355" s="5" t="inlineStr">
        <is>
          <t>東京都</t>
        </is>
      </c>
      <c r="C355" s="5" t="inlineStr">
        <is>
          <t>八王子市</t>
        </is>
      </c>
      <c r="D355" s="5" t="inlineStr">
        <is>
          <t>共立女子第二高等学校</t>
        </is>
      </c>
      <c r="E355" s="6" t="inlineStr">
        <is>
          <t>042-661-9952</t>
        </is>
      </c>
      <c r="F355" s="13" t="inlineStr">
        <is>
          <t>中</t>
        </is>
      </c>
      <c r="G355" s="5" t="inlineStr">
        <is>
          <t>普通科</t>
        </is>
      </c>
      <c r="H355" s="8" t="n"/>
      <c r="I355" s="9" t="n"/>
      <c r="J355" s="9" t="inlineStr">
        <is>
          <t>未架電</t>
        </is>
      </c>
      <c r="K355" s="8" t="n"/>
      <c r="L355" s="9" t="n"/>
      <c r="M355" s="10" t="inlineStr">
        <is>
          <t>学校情報サイトのみで確認</t>
        </is>
      </c>
      <c r="N355" s="11" t="inlineStr">
        <is>
          <t>https://www.inter-edu.com/schools/school/1875</t>
        </is>
      </c>
      <c r="O355" s="12" t="inlineStr">
        <is>
          <t>開く</t>
        </is>
      </c>
    </row>
    <row r="356">
      <c r="A356" s="4" t="n">
        <v>352</v>
      </c>
      <c r="B356" s="5" t="inlineStr">
        <is>
          <t>東京都</t>
        </is>
      </c>
      <c r="C356" s="5" t="inlineStr">
        <is>
          <t>千代田区</t>
        </is>
      </c>
      <c r="D356" s="5" t="inlineStr">
        <is>
          <t>錦城学園高等学校</t>
        </is>
      </c>
      <c r="E356" s="6" t="inlineStr">
        <is>
          <t>03-3291-3211</t>
        </is>
      </c>
      <c r="F356" s="13" t="inlineStr">
        <is>
          <t>中</t>
        </is>
      </c>
      <c r="G356" s="5" t="inlineStr">
        <is>
          <t>普通科</t>
        </is>
      </c>
      <c r="H356" s="8" t="n"/>
      <c r="I356" s="9" t="n"/>
      <c r="J356" s="9" t="inlineStr">
        <is>
          <t>未架電</t>
        </is>
      </c>
      <c r="K356" s="8" t="n"/>
      <c r="L356" s="9" t="n"/>
      <c r="M356" s="10" t="inlineStr">
        <is>
          <t>学校情報サイトのみで確認。錦城高校（小平市）とは別の学校</t>
        </is>
      </c>
      <c r="N356" s="11" t="inlineStr">
        <is>
          <t>https://www.inter-edu.com/schools/school/1017 ; https://school.js88.com/scl_h/22037990</t>
        </is>
      </c>
      <c r="O356" s="12" t="inlineStr">
        <is>
          <t>開く</t>
        </is>
      </c>
    </row>
    <row r="357">
      <c r="A357" s="4" t="n">
        <v>353</v>
      </c>
      <c r="B357" s="5" t="inlineStr">
        <is>
          <t>東京都</t>
        </is>
      </c>
      <c r="C357" s="5" t="inlineStr">
        <is>
          <t>小平市</t>
        </is>
      </c>
      <c r="D357" s="5" t="inlineStr">
        <is>
          <t>錦城高等学校</t>
        </is>
      </c>
      <c r="E357" s="6" t="inlineStr">
        <is>
          <t>042-341-0741</t>
        </is>
      </c>
      <c r="F357" s="7" t="inlineStr">
        <is>
          <t>高</t>
        </is>
      </c>
      <c r="G357" s="5" t="inlineStr">
        <is>
          <t>普通科</t>
        </is>
      </c>
      <c r="H357" s="8" t="n"/>
      <c r="I357" s="9" t="n"/>
      <c r="J357" s="9" t="inlineStr">
        <is>
          <t>未架電</t>
        </is>
      </c>
      <c r="K357" s="8" t="n"/>
      <c r="L357" s="9" t="n"/>
      <c r="M357" s="10" t="inlineStr">
        <is>
          <t>複数の資料で一致。錦城学園（千代田区）とは別の学校</t>
        </is>
      </c>
      <c r="N357" s="11" t="inlineStr">
        <is>
          <t>https://www.inter-edu.com/schools/school/575 ; https://www.univpress.co.jp/gk_pdf/13720.pdf</t>
        </is>
      </c>
      <c r="O357" s="12" t="inlineStr">
        <is>
          <t>開く</t>
        </is>
      </c>
    </row>
    <row r="358">
      <c r="A358" s="4" t="n">
        <v>354</v>
      </c>
      <c r="B358" s="5" t="inlineStr">
        <is>
          <t>東京都</t>
        </is>
      </c>
      <c r="C358" s="5" t="inlineStr">
        <is>
          <t>千代田区</t>
        </is>
      </c>
      <c r="D358" s="5" t="inlineStr">
        <is>
          <t>暁星高等学校</t>
        </is>
      </c>
      <c r="E358" s="6" t="inlineStr">
        <is>
          <t>03-3262-3291</t>
        </is>
      </c>
      <c r="F358" s="7" t="inlineStr">
        <is>
          <t>高</t>
        </is>
      </c>
      <c r="G358" s="5" t="inlineStr">
        <is>
          <t>普通科</t>
        </is>
      </c>
      <c r="H358" s="8" t="n"/>
      <c r="I358" s="9" t="n"/>
      <c r="J358" s="9" t="inlineStr">
        <is>
          <t>未架電</t>
        </is>
      </c>
      <c r="K358" s="8" t="n"/>
      <c r="L358" s="9" t="n"/>
      <c r="M358" s="10" t="inlineStr">
        <is>
          <t>中高共通。東京都の私立高校一覧と一致</t>
        </is>
      </c>
      <c r="N358" s="11" t="inlineStr">
        <is>
          <t>https://www.seikatubunka.metro.tokyo.lg.jp/documents/d/seikatubunka/07high_zennichi_r61201 ; https://www.inter-edu.com/schools/school/105</t>
        </is>
      </c>
      <c r="O358" s="12" t="inlineStr">
        <is>
          <t>開く</t>
        </is>
      </c>
    </row>
    <row r="359">
      <c r="A359" s="4" t="n">
        <v>355</v>
      </c>
      <c r="B359" s="5" t="inlineStr">
        <is>
          <t>東京都</t>
        </is>
      </c>
      <c r="C359" s="5" t="inlineStr">
        <is>
          <t>国立市</t>
        </is>
      </c>
      <c r="D359" s="5" t="inlineStr">
        <is>
          <t>国立音楽大学附属高等学校</t>
        </is>
      </c>
      <c r="E359" s="6" t="inlineStr">
        <is>
          <t>042-572-4111</t>
        </is>
      </c>
      <c r="F359" s="7" t="inlineStr">
        <is>
          <t>高</t>
        </is>
      </c>
      <c r="G359" s="5" t="inlineStr">
        <is>
          <t>普通科・専門学科</t>
        </is>
      </c>
      <c r="H359" s="8" t="n"/>
      <c r="I359" s="9" t="n"/>
      <c r="J359" s="9" t="inlineStr">
        <is>
          <t>未架電</t>
        </is>
      </c>
      <c r="K359" s="8" t="n"/>
      <c r="L359" s="9" t="n"/>
      <c r="M359" s="10" t="inlineStr">
        <is>
          <t>中高共通。複数の情報源で一致</t>
        </is>
      </c>
      <c r="N359" s="11" t="inlineStr">
        <is>
          <t>https://www.inter-edu.com/schools/school/1873 ; https://www.minkou.jp/junior/school/8203/</t>
        </is>
      </c>
      <c r="O359" s="12" t="inlineStr">
        <is>
          <t>開く</t>
        </is>
      </c>
    </row>
    <row r="360">
      <c r="A360" s="4" t="n">
        <v>356</v>
      </c>
      <c r="B360" s="5" t="inlineStr">
        <is>
          <t>東京都</t>
        </is>
      </c>
      <c r="C360" s="5" t="inlineStr">
        <is>
          <t>世田谷区</t>
        </is>
      </c>
      <c r="D360" s="5" t="inlineStr">
        <is>
          <t>国本女子高等学校</t>
        </is>
      </c>
      <c r="E360" s="6" t="inlineStr">
        <is>
          <t>03-3416-4722</t>
        </is>
      </c>
      <c r="F360" s="7" t="inlineStr">
        <is>
          <t>高</t>
        </is>
      </c>
      <c r="G360" s="5" t="inlineStr">
        <is>
          <t>普通科</t>
        </is>
      </c>
      <c r="H360" s="8" t="n"/>
      <c r="I360" s="9" t="n"/>
      <c r="J360" s="9" t="inlineStr">
        <is>
          <t>未架電</t>
        </is>
      </c>
      <c r="K360" s="8" t="n"/>
      <c r="L360" s="9" t="n"/>
      <c r="M360" s="10" t="inlineStr">
        <is>
          <t>中高共通。複数の情報源で一致</t>
        </is>
      </c>
      <c r="N360" s="11" t="inlineStr">
        <is>
          <t>https://www.inter-edu.com/schools/school/2112 ; https://school.js88.com/scl_h/22039150</t>
        </is>
      </c>
      <c r="O360" s="12" t="inlineStr">
        <is>
          <t>開く</t>
        </is>
      </c>
    </row>
    <row r="361">
      <c r="A361" s="4" t="n">
        <v>357</v>
      </c>
      <c r="B361" s="5" t="inlineStr">
        <is>
          <t>東京都</t>
        </is>
      </c>
      <c r="C361" s="5" t="inlineStr">
        <is>
          <t>港区</t>
        </is>
      </c>
      <c r="D361" s="5" t="inlineStr">
        <is>
          <t>慶應義塾女子高等学校</t>
        </is>
      </c>
      <c r="E361" s="6" t="inlineStr">
        <is>
          <t>03-5427-1674</t>
        </is>
      </c>
      <c r="F361" s="7" t="inlineStr">
        <is>
          <t>高</t>
        </is>
      </c>
      <c r="G361" s="5" t="inlineStr">
        <is>
          <t>普通科</t>
        </is>
      </c>
      <c r="H361" s="8" t="n"/>
      <c r="I361" s="9" t="n"/>
      <c r="J361" s="9" t="inlineStr">
        <is>
          <t>未架電</t>
        </is>
      </c>
      <c r="K361" s="8" t="n"/>
      <c r="L361" s="9" t="n"/>
      <c r="M361" s="10" t="inlineStr">
        <is>
          <t>公式の入試要項に「代表」と記載</t>
        </is>
      </c>
      <c r="N361" s="11" t="inlineStr">
        <is>
          <t>https://www.gshs.keio.ac.jp/common/pdf/2026nyushiyoko_suisen.pdf</t>
        </is>
      </c>
      <c r="O361" s="12" t="inlineStr">
        <is>
          <t>開く</t>
        </is>
      </c>
    </row>
    <row r="362">
      <c r="A362" s="4" t="n">
        <v>358</v>
      </c>
      <c r="B362" s="5" t="inlineStr">
        <is>
          <t>東京都</t>
        </is>
      </c>
      <c r="C362" s="5" t="inlineStr">
        <is>
          <t>文京区</t>
        </is>
      </c>
      <c r="D362" s="5" t="inlineStr">
        <is>
          <t>京華高等学校</t>
        </is>
      </c>
      <c r="E362" s="6" t="inlineStr">
        <is>
          <t>03-3946-4451</t>
        </is>
      </c>
      <c r="F362" s="7" t="inlineStr">
        <is>
          <t>高</t>
        </is>
      </c>
      <c r="G362" s="5" t="inlineStr">
        <is>
          <t>普通科</t>
        </is>
      </c>
      <c r="H362" s="8" t="n"/>
      <c r="I362" s="9" t="n"/>
      <c r="J362" s="9" t="inlineStr">
        <is>
          <t>未架電</t>
        </is>
      </c>
      <c r="K362" s="8" t="n"/>
      <c r="L362" s="9" t="n"/>
      <c r="M362" s="10" t="inlineStr">
        <is>
          <t>中高共通。京華商業・京華女子とは別番号</t>
        </is>
      </c>
      <c r="N362" s="11" t="inlineStr">
        <is>
          <t>https://www.inter-edu.com/schools/school/1991 ; https://www.city.bunkyo.lg.jp/documents/5788/kizi_2024.pdf</t>
        </is>
      </c>
      <c r="O362" s="12" t="inlineStr">
        <is>
          <t>開く</t>
        </is>
      </c>
    </row>
    <row r="363">
      <c r="A363" s="4" t="n">
        <v>359</v>
      </c>
      <c r="B363" s="5" t="inlineStr">
        <is>
          <t>東京都</t>
        </is>
      </c>
      <c r="C363" s="5" t="inlineStr">
        <is>
          <t>文京区</t>
        </is>
      </c>
      <c r="D363" s="5" t="inlineStr">
        <is>
          <t>京華商業高等学校</t>
        </is>
      </c>
      <c r="E363" s="6" t="inlineStr">
        <is>
          <t>03-3946-4491</t>
        </is>
      </c>
      <c r="F363" s="7" t="inlineStr">
        <is>
          <t>高</t>
        </is>
      </c>
      <c r="G363" s="5" t="inlineStr">
        <is>
          <t>専門学科</t>
        </is>
      </c>
      <c r="H363" s="8" t="n"/>
      <c r="I363" s="9" t="n"/>
      <c r="J363" s="9" t="inlineStr">
        <is>
          <t>未架電</t>
        </is>
      </c>
      <c r="K363" s="8" t="n"/>
      <c r="L363" s="9" t="n"/>
      <c r="M363" s="10" t="inlineStr">
        <is>
          <t>京華・京華女子とは別番号</t>
        </is>
      </c>
      <c r="N363" s="11" t="inlineStr">
        <is>
          <t>https://www.city.bunkyo.lg.jp/b003/p006756.html ; https://www.univpress.co.jp/gk_pdf/13568.pdf</t>
        </is>
      </c>
      <c r="O363" s="12" t="inlineStr">
        <is>
          <t>開く</t>
        </is>
      </c>
    </row>
    <row r="364">
      <c r="A364" s="4" t="n">
        <v>360</v>
      </c>
      <c r="B364" s="5" t="inlineStr">
        <is>
          <t>東京都</t>
        </is>
      </c>
      <c r="C364" s="5" t="inlineStr">
        <is>
          <t>文京区</t>
        </is>
      </c>
      <c r="D364" s="5" t="inlineStr">
        <is>
          <t>京華女子高等学校</t>
        </is>
      </c>
      <c r="E364" s="6" t="inlineStr">
        <is>
          <t>03-3946-4434</t>
        </is>
      </c>
      <c r="F364" s="7" t="inlineStr">
        <is>
          <t>高</t>
        </is>
      </c>
      <c r="G364" s="5" t="inlineStr">
        <is>
          <t>普通科</t>
        </is>
      </c>
      <c r="H364" s="8" t="n"/>
      <c r="I364" s="9" t="n"/>
      <c r="J364" s="9" t="inlineStr">
        <is>
          <t>未架電</t>
        </is>
      </c>
      <c r="K364" s="8" t="n"/>
      <c r="L364" s="9" t="n"/>
      <c r="M364" s="10" t="inlineStr">
        <is>
          <t>中高共通。京華・京華商業とは別番号</t>
        </is>
      </c>
      <c r="N364" s="11" t="inlineStr">
        <is>
          <t>https://www.inter-edu.com/schools/school/2098 ; https://www.seikatubunka.metro.tokyo.lg.jp/documents/d/seikatubunka/07high_zennichi_r61201</t>
        </is>
      </c>
      <c r="O364" s="12" t="inlineStr">
        <is>
          <t>開く</t>
        </is>
      </c>
    </row>
    <row r="365">
      <c r="A365" s="4" t="n">
        <v>361</v>
      </c>
      <c r="B365" s="5" t="inlineStr">
        <is>
          <t>東京都</t>
        </is>
      </c>
      <c r="C365" s="5" t="inlineStr">
        <is>
          <t>世田谷区</t>
        </is>
      </c>
      <c r="D365" s="5" t="inlineStr">
        <is>
          <t>恵泉女学園高等学校</t>
        </is>
      </c>
      <c r="E365" s="6" t="inlineStr">
        <is>
          <t>03-3303-2115</t>
        </is>
      </c>
      <c r="F365" s="7" t="inlineStr">
        <is>
          <t>高</t>
        </is>
      </c>
      <c r="G365" s="5" t="inlineStr">
        <is>
          <t>普通科</t>
        </is>
      </c>
      <c r="H365" s="8" t="n"/>
      <c r="I365" s="9" t="n"/>
      <c r="J365" s="9" t="inlineStr">
        <is>
          <t>未架電</t>
        </is>
      </c>
      <c r="K365" s="8" t="n"/>
      <c r="L365" s="9" t="n"/>
      <c r="M365" s="10" t="inlineStr">
        <is>
          <t>中高共通。高校からの生徒募集なし（完全中高一貫）</t>
        </is>
      </c>
      <c r="N365" s="11" t="inlineStr">
        <is>
          <t>https://www.inter-edu.com/schools/school/191 ; https://uccj.org/kyodan/wp-content/uploads/2022/12/2023school1.pdf</t>
        </is>
      </c>
      <c r="O365" s="12" t="inlineStr">
        <is>
          <t>開く</t>
        </is>
      </c>
    </row>
    <row r="366">
      <c r="A366" s="4" t="n">
        <v>362</v>
      </c>
      <c r="B366" s="5" t="inlineStr">
        <is>
          <t>東京都</t>
        </is>
      </c>
      <c r="C366" s="5" t="inlineStr">
        <is>
          <t>昭島市</t>
        </is>
      </c>
      <c r="D366" s="5" t="inlineStr">
        <is>
          <t>啓明学園高等学校</t>
        </is>
      </c>
      <c r="E366" s="6" t="inlineStr">
        <is>
          <t>042-541-1003</t>
        </is>
      </c>
      <c r="F366" s="13" t="inlineStr">
        <is>
          <t>中</t>
        </is>
      </c>
      <c r="G366" s="5" t="inlineStr">
        <is>
          <t>普通科</t>
        </is>
      </c>
      <c r="H366" s="8" t="n"/>
      <c r="I366" s="9" t="n"/>
      <c r="J366" s="9" t="inlineStr">
        <is>
          <t>未架電</t>
        </is>
      </c>
      <c r="K366" s="8" t="n"/>
      <c r="L366" s="9" t="n"/>
      <c r="M366" s="10" t="inlineStr">
        <is>
          <t>中高共通。学校情報サイトのみで確認</t>
        </is>
      </c>
      <c r="N366" s="11" t="inlineStr">
        <is>
          <t>https://www.inter-edu.com/schools/school/1956</t>
        </is>
      </c>
      <c r="O366" s="12" t="inlineStr">
        <is>
          <t>開く</t>
        </is>
      </c>
    </row>
    <row r="367">
      <c r="A367" s="4" t="n">
        <v>363</v>
      </c>
      <c r="B367" s="5" t="inlineStr">
        <is>
          <t>東京都</t>
        </is>
      </c>
      <c r="C367" s="5" t="inlineStr">
        <is>
          <t>文京区</t>
        </is>
      </c>
      <c r="D367" s="5" t="inlineStr">
        <is>
          <t>小石川淑徳学園高等学校</t>
        </is>
      </c>
      <c r="E367" s="6" t="inlineStr">
        <is>
          <t>03-3811-0237</t>
        </is>
      </c>
      <c r="F367" s="7" t="inlineStr">
        <is>
          <t>高</t>
        </is>
      </c>
      <c r="G367" s="5" t="inlineStr">
        <is>
          <t>普通科</t>
        </is>
      </c>
      <c r="H367" s="8" t="n"/>
      <c r="I367" s="9" t="n"/>
      <c r="J367" s="9" t="inlineStr">
        <is>
          <t>未架電</t>
        </is>
      </c>
      <c r="K367" s="8" t="n"/>
      <c r="L367" s="9" t="n"/>
      <c r="M367" s="10" t="inlineStr">
        <is>
          <t>中高共通。広尾学園小石川とは別の学校</t>
        </is>
      </c>
      <c r="N367" s="11" t="inlineStr">
        <is>
          <t>https://school.js88.com/scl_h/22038550 ; https://www.inter-edu.com/schools/school/2113</t>
        </is>
      </c>
      <c r="O367" s="12" t="inlineStr">
        <is>
          <t>開く</t>
        </is>
      </c>
    </row>
    <row r="368">
      <c r="A368" s="4" t="n">
        <v>364</v>
      </c>
      <c r="B368" s="5" t="inlineStr">
        <is>
          <t>東京都</t>
        </is>
      </c>
      <c r="C368" s="5" t="inlineStr">
        <is>
          <t>杉並区</t>
        </is>
      </c>
      <c r="D368" s="5" t="inlineStr">
        <is>
          <t>光塩女子学院高等科</t>
        </is>
      </c>
      <c r="E368" s="6" t="inlineStr">
        <is>
          <t>03-3315-1911</t>
        </is>
      </c>
      <c r="F368" s="7" t="inlineStr">
        <is>
          <t>高</t>
        </is>
      </c>
      <c r="G368" s="5" t="inlineStr">
        <is>
          <t>普通科</t>
        </is>
      </c>
      <c r="H368" s="8" t="n"/>
      <c r="I368" s="9" t="n"/>
      <c r="J368" s="9" t="inlineStr">
        <is>
          <t>未架電</t>
        </is>
      </c>
      <c r="K368" s="8" t="n"/>
      <c r="L368" s="9" t="n"/>
      <c r="M368" s="10" t="inlineStr">
        <is>
          <t>中高共通。杉並区の一覧と一致</t>
        </is>
      </c>
      <c r="N368" s="11" t="inlineStr">
        <is>
          <t>https://www.city.suginami.tokyo.jp/kusei/gaiyou/shisetsu/genre/school/shiritsukoukou/index.html ; https://www.inter-edu.com/schools/school/55</t>
        </is>
      </c>
      <c r="O368" s="12" t="inlineStr">
        <is>
          <t>開く</t>
        </is>
      </c>
    </row>
    <row r="369">
      <c r="A369" s="4" t="n">
        <v>365</v>
      </c>
      <c r="B369" s="5" t="inlineStr">
        <is>
          <t>東京都</t>
        </is>
      </c>
      <c r="C369" s="5" t="inlineStr">
        <is>
          <t>調布市</t>
        </is>
      </c>
      <c r="D369" s="5" t="inlineStr">
        <is>
          <t>晃華学園高等学校</t>
        </is>
      </c>
      <c r="E369" s="6" t="inlineStr">
        <is>
          <t>042-482-8952</t>
        </is>
      </c>
      <c r="F369" s="7" t="inlineStr">
        <is>
          <t>高</t>
        </is>
      </c>
      <c r="G369" s="5" t="inlineStr">
        <is>
          <t>普通科</t>
        </is>
      </c>
      <c r="H369" s="8" t="n"/>
      <c r="I369" s="9" t="n"/>
      <c r="J369" s="9" t="inlineStr">
        <is>
          <t>未架電</t>
        </is>
      </c>
      <c r="K369" s="8" t="n"/>
      <c r="L369" s="9" t="n"/>
      <c r="M369" s="10" t="inlineStr">
        <is>
          <t>中高共通</t>
        </is>
      </c>
      <c r="N369" s="11" t="inlineStr">
        <is>
          <t>https://www.inter-edu.com/schools/school/56 ; https://school.js88.com/scl_h/22038410</t>
        </is>
      </c>
      <c r="O369" s="12" t="inlineStr">
        <is>
          <t>開く</t>
        </is>
      </c>
    </row>
    <row r="370">
      <c r="A370" s="4" t="n">
        <v>366</v>
      </c>
      <c r="B370" s="5" t="inlineStr">
        <is>
          <t>東京都</t>
        </is>
      </c>
      <c r="C370" s="5" t="inlineStr">
        <is>
          <t>八王子市</t>
        </is>
      </c>
      <c r="D370" s="5" t="inlineStr">
        <is>
          <t>工学院大学附属高等学校</t>
        </is>
      </c>
      <c r="E370" s="6" t="inlineStr">
        <is>
          <t>042-628-4912</t>
        </is>
      </c>
      <c r="F370" s="7" t="inlineStr">
        <is>
          <t>高</t>
        </is>
      </c>
      <c r="G370" s="5" t="inlineStr">
        <is>
          <t>普通科</t>
        </is>
      </c>
      <c r="H370" s="8" t="n"/>
      <c r="I370" s="9" t="n"/>
      <c r="J370" s="9" t="inlineStr">
        <is>
          <t>未架電</t>
        </is>
      </c>
      <c r="K370" s="8" t="n"/>
      <c r="L370" s="9" t="n"/>
      <c r="M370" s="10" t="inlineStr">
        <is>
          <t>公式サイトに「代表」と記載。中高共通。入試広報部は042-628-4914</t>
        </is>
      </c>
      <c r="N370" s="11" t="inlineStr">
        <is>
          <t>https://www.js.kogakuin.ac.jp/about/contact.html</t>
        </is>
      </c>
      <c r="O370" s="12" t="inlineStr">
        <is>
          <t>開く</t>
        </is>
      </c>
    </row>
    <row r="371">
      <c r="A371" s="4" t="n">
        <v>367</v>
      </c>
      <c r="B371" s="5" t="inlineStr">
        <is>
          <t>東京都</t>
        </is>
      </c>
      <c r="C371" s="5" t="inlineStr">
        <is>
          <t>品川区</t>
        </is>
      </c>
      <c r="D371" s="5" t="inlineStr">
        <is>
          <t>攻玉社高等学校</t>
        </is>
      </c>
      <c r="E371" s="6" t="inlineStr">
        <is>
          <t>03-3493-0331</t>
        </is>
      </c>
      <c r="F371" s="7" t="inlineStr">
        <is>
          <t>高</t>
        </is>
      </c>
      <c r="G371" s="5" t="inlineStr">
        <is>
          <t>普通科</t>
        </is>
      </c>
      <c r="H371" s="8" t="n"/>
      <c r="I371" s="9" t="n"/>
      <c r="J371" s="9" t="inlineStr">
        <is>
          <t>未架電</t>
        </is>
      </c>
      <c r="K371" s="8" t="n"/>
      <c r="L371" s="9" t="n"/>
      <c r="M371" s="10" t="inlineStr">
        <is>
          <t>中高共通</t>
        </is>
      </c>
      <c r="N371" s="11" t="inlineStr">
        <is>
          <t>https://school.js88.com/scl_h/22038910 ; https://www.inter-edu.com/schools/school/8</t>
        </is>
      </c>
      <c r="O371" s="12" t="inlineStr">
        <is>
          <t>開く</t>
        </is>
      </c>
    </row>
    <row r="372">
      <c r="A372" s="4" t="n">
        <v>368</v>
      </c>
      <c r="B372" s="5" t="inlineStr">
        <is>
          <t>東京都</t>
        </is>
      </c>
      <c r="C372" s="5" t="inlineStr">
        <is>
          <t>千代田区</t>
        </is>
      </c>
      <c r="D372" s="5" t="inlineStr">
        <is>
          <t>麹町学園女子高等学校</t>
        </is>
      </c>
      <c r="E372" s="6" t="inlineStr">
        <is>
          <t>03-3263-3011</t>
        </is>
      </c>
      <c r="F372" s="13" t="inlineStr">
        <is>
          <t>中</t>
        </is>
      </c>
      <c r="G372" s="5" t="inlineStr">
        <is>
          <t>普通科</t>
        </is>
      </c>
      <c r="H372" s="8" t="n"/>
      <c r="I372" s="9" t="n"/>
      <c r="J372" s="9" t="inlineStr">
        <is>
          <t>未架電</t>
        </is>
      </c>
      <c r="K372" s="8" t="n"/>
      <c r="L372" s="9" t="n"/>
      <c r="M372" s="10" t="inlineStr">
        <is>
          <t>中高共通。学校情報サイトのみで確認</t>
        </is>
      </c>
      <c r="N372" s="11" t="inlineStr">
        <is>
          <t>https://www.inter-edu.com/schools/school/2058</t>
        </is>
      </c>
      <c r="O372" s="12" t="inlineStr">
        <is>
          <t>開く</t>
        </is>
      </c>
    </row>
    <row r="373">
      <c r="A373" s="4" t="n">
        <v>369</v>
      </c>
      <c r="B373" s="5" t="inlineStr">
        <is>
          <t>東京都</t>
        </is>
      </c>
      <c r="C373" s="5" t="inlineStr">
        <is>
          <t>杉並区</t>
        </is>
      </c>
      <c r="D373" s="5" t="inlineStr">
        <is>
          <t>佼成学園高等学校</t>
        </is>
      </c>
      <c r="E373" s="6" t="inlineStr">
        <is>
          <t>03-3381-7227</t>
        </is>
      </c>
      <c r="F373" s="7" t="inlineStr">
        <is>
          <t>高</t>
        </is>
      </c>
      <c r="G373" s="5" t="inlineStr">
        <is>
          <t>普通科</t>
        </is>
      </c>
      <c r="H373" s="8" t="n"/>
      <c r="I373" s="9" t="n"/>
      <c r="J373" s="9" t="inlineStr">
        <is>
          <t>未架電</t>
        </is>
      </c>
      <c r="K373" s="8" t="n"/>
      <c r="L373" s="9" t="n"/>
      <c r="M373" s="10" t="inlineStr">
        <is>
          <t>中高共通。杉並区の一覧と公式資料で一致</t>
        </is>
      </c>
      <c r="N373" s="11" t="inlineStr">
        <is>
          <t>https://www.city.suginami.tokyo.jp/kusei/gaiyou/shisetsu/genre/school/shiritsukoukou/index.html ; https://www.kosei.ac.jp/boys/wp-content/uploads/2024/05/310d9b3b51f491fb2df759357d085bb4.pdf</t>
        </is>
      </c>
      <c r="O373" s="12" t="inlineStr">
        <is>
          <t>開く</t>
        </is>
      </c>
    </row>
    <row r="374">
      <c r="A374" s="4" t="n">
        <v>370</v>
      </c>
      <c r="B374" s="5" t="inlineStr">
        <is>
          <t>東京都</t>
        </is>
      </c>
      <c r="C374" s="5" t="inlineStr">
        <is>
          <t>世田谷区</t>
        </is>
      </c>
      <c r="D374" s="5" t="inlineStr">
        <is>
          <t>佼成学園女子高等学校</t>
        </is>
      </c>
      <c r="E374" s="6" t="inlineStr">
        <is>
          <t>03-3300-2351</t>
        </is>
      </c>
      <c r="F374" s="7" t="inlineStr">
        <is>
          <t>高</t>
        </is>
      </c>
      <c r="G374" s="5" t="inlineStr">
        <is>
          <t>普通科</t>
        </is>
      </c>
      <c r="H374" s="8" t="n"/>
      <c r="I374" s="9" t="n"/>
      <c r="J374" s="9" t="inlineStr">
        <is>
          <t>未架電</t>
        </is>
      </c>
      <c r="K374" s="8" t="n"/>
      <c r="L374" s="9" t="n"/>
      <c r="M374" s="10" t="inlineStr">
        <is>
          <t>中高共通</t>
        </is>
      </c>
      <c r="N374" s="11" t="inlineStr">
        <is>
          <t>https://www.inter-edu.com/schools/school/2056 ; https://www.seikatubunka.metro.tokyo.lg.jp/documents/d/seikatubunka/07high_zennichi_r61201</t>
        </is>
      </c>
      <c r="O374" s="12" t="inlineStr">
        <is>
          <t>開く</t>
        </is>
      </c>
    </row>
    <row r="375">
      <c r="A375" s="4" t="n">
        <v>371</v>
      </c>
      <c r="B375" s="5" t="inlineStr">
        <is>
          <t>東京都</t>
        </is>
      </c>
      <c r="C375" s="5" t="inlineStr">
        <is>
          <t>品川区</t>
        </is>
      </c>
      <c r="D375" s="5" t="inlineStr">
        <is>
          <t>香蘭女学校高等科</t>
        </is>
      </c>
      <c r="E375" s="6" t="inlineStr">
        <is>
          <t>03-3786-1136</t>
        </is>
      </c>
      <c r="F375" s="7" t="inlineStr">
        <is>
          <t>高</t>
        </is>
      </c>
      <c r="G375" s="5" t="inlineStr">
        <is>
          <t>普通科</t>
        </is>
      </c>
      <c r="H375" s="8" t="n"/>
      <c r="I375" s="9" t="n"/>
      <c r="J375" s="9" t="inlineStr">
        <is>
          <t>未架電</t>
        </is>
      </c>
      <c r="K375" s="8" t="n"/>
      <c r="L375" s="9" t="n"/>
      <c r="M375" s="10" t="inlineStr">
        <is>
          <t>中高共通</t>
        </is>
      </c>
      <c r="N375" s="11" t="inlineStr">
        <is>
          <t>https://www.seikatubunka.metro.tokyo.lg.jp/documents/d/seikatubunka/07high_zennichi_r61201 ; https://school.js88.com/scl_h/22038920</t>
        </is>
      </c>
      <c r="O375" s="12" t="inlineStr">
        <is>
          <t>開く</t>
        </is>
      </c>
    </row>
    <row r="376">
      <c r="A376" s="4" t="n">
        <v>372</v>
      </c>
      <c r="B376" s="5" t="inlineStr">
        <is>
          <t>東京都</t>
        </is>
      </c>
      <c r="C376" s="5" t="inlineStr">
        <is>
          <t>渋谷区</t>
        </is>
      </c>
      <c r="D376" s="5" t="inlineStr">
        <is>
          <t>國學院高等学校</t>
        </is>
      </c>
      <c r="E376" s="6" t="inlineStr">
        <is>
          <t>03-3403-2331</t>
        </is>
      </c>
      <c r="F376" s="13" t="inlineStr">
        <is>
          <t>中</t>
        </is>
      </c>
      <c r="G376" s="5" t="inlineStr">
        <is>
          <t>普通科</t>
        </is>
      </c>
      <c r="H376" s="8" t="n"/>
      <c r="I376" s="9" t="n"/>
      <c r="J376" s="9" t="inlineStr">
        <is>
          <t>未架電</t>
        </is>
      </c>
      <c r="K376" s="8" t="n"/>
      <c r="L376" s="9" t="n"/>
      <c r="M376" s="10" t="inlineStr">
        <is>
          <t>学校情報サイト1件のみで確認</t>
        </is>
      </c>
      <c r="N376" s="11" t="inlineStr">
        <is>
          <t>https://www.inter-edu.com/schools/school/541</t>
        </is>
      </c>
      <c r="O376" s="12" t="inlineStr">
        <is>
          <t>開く</t>
        </is>
      </c>
    </row>
    <row r="377">
      <c r="A377" s="4" t="n">
        <v>373</v>
      </c>
      <c r="B377" s="5" t="inlineStr">
        <is>
          <t>東京都</t>
        </is>
      </c>
      <c r="C377" s="5" t="inlineStr">
        <is>
          <t>杉並区</t>
        </is>
      </c>
      <c r="D377" s="5" t="inlineStr">
        <is>
          <t>國學院大學久我山高等学校</t>
        </is>
      </c>
      <c r="E377" s="6" t="inlineStr">
        <is>
          <t>03-3334-1151</t>
        </is>
      </c>
      <c r="F377" s="7" t="inlineStr">
        <is>
          <t>高</t>
        </is>
      </c>
      <c r="G377" s="5" t="inlineStr">
        <is>
          <t>普通科</t>
        </is>
      </c>
      <c r="H377" s="8" t="n"/>
      <c r="I377" s="9" t="n"/>
      <c r="J377" s="9" t="inlineStr">
        <is>
          <t>未架電</t>
        </is>
      </c>
      <c r="K377" s="8" t="n"/>
      <c r="L377" s="9" t="n"/>
      <c r="M377" s="10" t="inlineStr">
        <is>
          <t>中高共通。2つのサイトで一致</t>
        </is>
      </c>
      <c r="N377" s="11" t="inlineStr">
        <is>
          <t>https://www.inter-edu.com/schools/school/122</t>
        </is>
      </c>
      <c r="O377" s="12" t="inlineStr">
        <is>
          <t>開く</t>
        </is>
      </c>
    </row>
    <row r="378">
      <c r="A378" s="4" t="n">
        <v>374</v>
      </c>
      <c r="B378" s="5" t="inlineStr">
        <is>
          <t>東京都</t>
        </is>
      </c>
      <c r="C378" s="5" t="inlineStr">
        <is>
          <t>小金井市</t>
        </is>
      </c>
      <c r="D378" s="5" t="inlineStr">
        <is>
          <t>国際基督教大学高等学校</t>
        </is>
      </c>
      <c r="E378" s="6" t="inlineStr">
        <is>
          <t>0422-33-3401</t>
        </is>
      </c>
      <c r="F378" s="7" t="inlineStr">
        <is>
          <t>高</t>
        </is>
      </c>
      <c r="G378" s="5" t="inlineStr">
        <is>
          <t>普通科</t>
        </is>
      </c>
      <c r="H378" s="8" t="n"/>
      <c r="I378" s="9" t="n"/>
      <c r="J378" s="9" t="inlineStr">
        <is>
          <t>未架電</t>
        </is>
      </c>
      <c r="K378" s="8" t="n"/>
      <c r="L378" s="9" t="n"/>
      <c r="M378" s="10" t="inlineStr">
        <is>
          <t>公式資料に「学校代表」と記載</t>
        </is>
      </c>
      <c r="N378" s="11" t="inlineStr">
        <is>
          <t>https://icu-h.ed.jp/news/docs/c92876a21d1bfb013106119a1fa19b9c9d7100d6.pdf</t>
        </is>
      </c>
      <c r="O378" s="12" t="inlineStr">
        <is>
          <t>開く</t>
        </is>
      </c>
    </row>
    <row r="379">
      <c r="A379" s="4" t="n">
        <v>375</v>
      </c>
      <c r="B379" s="5" t="inlineStr">
        <is>
          <t>東京都</t>
        </is>
      </c>
      <c r="C379" s="5" t="inlineStr">
        <is>
          <t>世田谷区</t>
        </is>
      </c>
      <c r="D379" s="5" t="inlineStr">
        <is>
          <t>国士舘高等学校</t>
        </is>
      </c>
      <c r="E379" s="6" t="inlineStr">
        <is>
          <t>03-5481-3131</t>
        </is>
      </c>
      <c r="F379" s="7" t="inlineStr">
        <is>
          <t>高</t>
        </is>
      </c>
      <c r="G379" s="5" t="inlineStr">
        <is>
          <t>普通科</t>
        </is>
      </c>
      <c r="H379" s="8" t="n"/>
      <c r="I379" s="9" t="n"/>
      <c r="J379" s="9" t="inlineStr">
        <is>
          <t>未架電</t>
        </is>
      </c>
      <c r="K379" s="8" t="n"/>
      <c r="L379" s="9" t="n"/>
      <c r="M379" s="10" t="inlineStr">
        <is>
          <t>公式の学校案内に全日制・定時制の代表として記載。入試担当は03-5481-3135</t>
        </is>
      </c>
      <c r="N379" s="11" t="inlineStr">
        <is>
          <t>https://www.kokushikan.ac.jp/houjin/about/public_relations/docs/HSschoolguide2027.pdf</t>
        </is>
      </c>
      <c r="O379" s="12" t="inlineStr">
        <is>
          <t>開く</t>
        </is>
      </c>
    </row>
    <row r="380">
      <c r="A380" s="4" t="n">
        <v>376</v>
      </c>
      <c r="B380" s="5" t="inlineStr">
        <is>
          <t>東京都</t>
        </is>
      </c>
      <c r="C380" s="5" t="inlineStr">
        <is>
          <t>文京区</t>
        </is>
      </c>
      <c r="D380" s="5" t="inlineStr">
        <is>
          <t>駒込高等学校</t>
        </is>
      </c>
      <c r="E380" s="6" t="inlineStr">
        <is>
          <t>03-3828-4141</t>
        </is>
      </c>
      <c r="F380" s="7" t="inlineStr">
        <is>
          <t>高</t>
        </is>
      </c>
      <c r="G380" s="5" t="inlineStr">
        <is>
          <t>普通科</t>
        </is>
      </c>
      <c r="H380" s="8" t="n"/>
      <c r="I380" s="9" t="n"/>
      <c r="J380" s="9" t="inlineStr">
        <is>
          <t>未架電</t>
        </is>
      </c>
      <c r="K380" s="8" t="n"/>
      <c r="L380" s="9" t="n"/>
      <c r="M380" s="10" t="inlineStr">
        <is>
          <t>中高共通。文京区の資料と一致</t>
        </is>
      </c>
      <c r="N380" s="11" t="inlineStr">
        <is>
          <t>https://www.inter-edu.com/schools/school/1993 ; https://www.city.bunkyo.lg.jp/documents/5788/kizi_2024.pdf</t>
        </is>
      </c>
      <c r="O380" s="12" t="inlineStr">
        <is>
          <t>開く</t>
        </is>
      </c>
    </row>
    <row r="381">
      <c r="A381" s="4" t="n">
        <v>377</v>
      </c>
      <c r="B381" s="5" t="inlineStr">
        <is>
          <t>東京都</t>
        </is>
      </c>
      <c r="C381" s="5" t="inlineStr">
        <is>
          <t>稲城市</t>
        </is>
      </c>
      <c r="D381" s="5" t="inlineStr">
        <is>
          <t>駒沢学園女子高等学校</t>
        </is>
      </c>
      <c r="E381" s="6" t="inlineStr">
        <is>
          <t>042-350-7123</t>
        </is>
      </c>
      <c r="F381" s="7" t="inlineStr">
        <is>
          <t>高</t>
        </is>
      </c>
      <c r="G381" s="5" t="inlineStr">
        <is>
          <t>普通科</t>
        </is>
      </c>
      <c r="H381" s="8" t="n"/>
      <c r="I381" s="9" t="n"/>
      <c r="J381" s="9" t="inlineStr">
        <is>
          <t>未架電</t>
        </is>
      </c>
      <c r="K381" s="8" t="n"/>
      <c r="L381" s="9" t="n"/>
      <c r="M381" s="10" t="inlineStr">
        <is>
          <t>東京都の私立高校一覧と一致</t>
        </is>
      </c>
      <c r="N381" s="11" t="inlineStr">
        <is>
          <t>https://www.inter-edu.com/schools/school/1971 ; https://www.seikatubunka.metro.tokyo.lg.jp/documents/d/seikatubunka/07high_zennichi_r61201</t>
        </is>
      </c>
      <c r="O381" s="12" t="inlineStr">
        <is>
          <t>開く</t>
        </is>
      </c>
    </row>
    <row r="382">
      <c r="A382" s="4" t="n">
        <v>378</v>
      </c>
      <c r="B382" s="5" t="inlineStr">
        <is>
          <t>東京都</t>
        </is>
      </c>
      <c r="C382" s="5" t="inlineStr">
        <is>
          <t>世田谷区</t>
        </is>
      </c>
      <c r="D382" s="5" t="inlineStr">
        <is>
          <t>駒澤大学高等学校</t>
        </is>
      </c>
      <c r="E382" s="6" t="inlineStr">
        <is>
          <t>03-3700-6131</t>
        </is>
      </c>
      <c r="F382" s="13" t="inlineStr">
        <is>
          <t>中</t>
        </is>
      </c>
      <c r="G382" s="5" t="inlineStr">
        <is>
          <t>普通科</t>
        </is>
      </c>
      <c r="H382" s="8" t="n"/>
      <c r="I382" s="9" t="n"/>
      <c r="J382" s="9" t="inlineStr">
        <is>
          <t>未架電</t>
        </is>
      </c>
      <c r="K382" s="8" t="n"/>
      <c r="L382" s="9" t="n"/>
      <c r="M382" s="10" t="inlineStr">
        <is>
          <t>学校情報サイト1件のみで確認。大学の番号とは別</t>
        </is>
      </c>
      <c r="N382" s="11" t="inlineStr">
        <is>
          <t>https://www.inter-edu.com/schools/school/589</t>
        </is>
      </c>
      <c r="O382" s="12" t="inlineStr">
        <is>
          <t>開く</t>
        </is>
      </c>
    </row>
    <row r="383">
      <c r="A383" s="4" t="n">
        <v>379</v>
      </c>
      <c r="B383" s="5" t="inlineStr">
        <is>
          <t>東京都</t>
        </is>
      </c>
      <c r="C383" s="5" t="inlineStr">
        <is>
          <t>世田谷区</t>
        </is>
      </c>
      <c r="D383" s="5" t="inlineStr">
        <is>
          <t>駒場学園高等学校</t>
        </is>
      </c>
      <c r="E383" s="6" t="inlineStr">
        <is>
          <t>03-3413-5561</t>
        </is>
      </c>
      <c r="F383" s="13" t="inlineStr">
        <is>
          <t>中</t>
        </is>
      </c>
      <c r="G383" s="5" t="inlineStr">
        <is>
          <t>普通科・専門学科</t>
        </is>
      </c>
      <c r="H383" s="8" t="n"/>
      <c r="I383" s="9" t="n"/>
      <c r="J383" s="9" t="inlineStr">
        <is>
          <t>未架電</t>
        </is>
      </c>
      <c r="K383" s="8" t="n"/>
      <c r="L383" s="9" t="n"/>
      <c r="M383" s="10" t="inlineStr">
        <is>
          <t>学校情報サイト1件のみで確認</t>
        </is>
      </c>
      <c r="N383" s="11" t="inlineStr">
        <is>
          <t>https://www.inter-edu.com/schools/school/590</t>
        </is>
      </c>
      <c r="O383" s="12" t="inlineStr">
        <is>
          <t>開く</t>
        </is>
      </c>
    </row>
    <row r="384">
      <c r="A384" s="4" t="n">
        <v>380</v>
      </c>
      <c r="B384" s="5" t="inlineStr">
        <is>
          <t>東京都</t>
        </is>
      </c>
      <c r="C384" s="5" t="inlineStr">
        <is>
          <t>世田谷区</t>
        </is>
      </c>
      <c r="D384" s="5" t="inlineStr">
        <is>
          <t>駒場東邦高等学校</t>
        </is>
      </c>
      <c r="E384" s="6" t="inlineStr">
        <is>
          <t>03-3466-8221</t>
        </is>
      </c>
      <c r="F384" s="13" t="inlineStr">
        <is>
          <t>中</t>
        </is>
      </c>
      <c r="G384" s="5" t="inlineStr">
        <is>
          <t>普通科</t>
        </is>
      </c>
      <c r="H384" s="8" t="n"/>
      <c r="I384" s="9" t="n"/>
      <c r="J384" s="9" t="inlineStr">
        <is>
          <t>未架電</t>
        </is>
      </c>
      <c r="K384" s="8" t="n"/>
      <c r="L384" s="9" t="n"/>
      <c r="M384" s="10" t="inlineStr">
        <is>
          <t>中高共通。学校情報サイト1件のみで確認</t>
        </is>
      </c>
      <c r="N384" s="11" t="inlineStr">
        <is>
          <t>https://www.inter-edu.com/schools/school/10</t>
        </is>
      </c>
      <c r="O384" s="12" t="inlineStr">
        <is>
          <t>開く</t>
        </is>
      </c>
    </row>
    <row r="385">
      <c r="A385" s="4" t="n">
        <v>381</v>
      </c>
      <c r="B385" s="5" t="inlineStr">
        <is>
          <t>東京都</t>
        </is>
      </c>
      <c r="C385" s="5" t="inlineStr">
        <is>
          <t>北区</t>
        </is>
      </c>
      <c r="D385" s="5" t="inlineStr">
        <is>
          <t>桜丘高等学校（東京都）</t>
        </is>
      </c>
      <c r="E385" s="6" t="inlineStr">
        <is>
          <t>03-3910-6161</t>
        </is>
      </c>
      <c r="F385" s="7" t="inlineStr">
        <is>
          <t>高</t>
        </is>
      </c>
      <c r="G385" s="5" t="inlineStr">
        <is>
          <t>普通科</t>
        </is>
      </c>
      <c r="H385" s="8" t="n"/>
      <c r="I385" s="9" t="n"/>
      <c r="J385" s="9" t="inlineStr">
        <is>
          <t>未架電</t>
        </is>
      </c>
      <c r="K385" s="8" t="n"/>
      <c r="L385" s="9" t="n"/>
      <c r="M385" s="10" t="inlineStr">
        <is>
          <t>2つのサイトで一致</t>
        </is>
      </c>
      <c r="N385" s="11" t="inlineStr">
        <is>
          <t>https://www.inter-edu.com/schools/school/1939 ; https://school.js88.com/scl_h/22038680/</t>
        </is>
      </c>
      <c r="O385" s="12" t="inlineStr">
        <is>
          <t>開く</t>
        </is>
      </c>
    </row>
    <row r="386">
      <c r="A386" s="4" t="n">
        <v>382</v>
      </c>
      <c r="B386" s="5" t="inlineStr">
        <is>
          <t>東京都</t>
        </is>
      </c>
      <c r="C386" s="5" t="inlineStr">
        <is>
          <t>北区</t>
        </is>
      </c>
      <c r="D386" s="5" t="inlineStr">
        <is>
          <t>サレジアン国際学園高等学校</t>
        </is>
      </c>
      <c r="E386" s="6" t="inlineStr">
        <is>
          <t>03-3906-0054</t>
        </is>
      </c>
      <c r="F386" s="7" t="inlineStr">
        <is>
          <t>高</t>
        </is>
      </c>
      <c r="G386" s="5" t="inlineStr">
        <is>
          <t>普通科</t>
        </is>
      </c>
      <c r="H386" s="8" t="n"/>
      <c r="I386" s="9" t="n"/>
      <c r="J386" s="9" t="inlineStr">
        <is>
          <t>未架電</t>
        </is>
      </c>
      <c r="K386" s="8" t="n"/>
      <c r="L386" s="9" t="n"/>
      <c r="M386" s="10" t="inlineStr">
        <is>
          <t>東京都の私立高校一覧とYahoo!マップで一致。中高共通</t>
        </is>
      </c>
      <c r="N386" s="11" t="inlineStr">
        <is>
          <t>https://www.seikatubunka.metro.tokyo.lg.jp/documents/d/seikatubunka/07high_zennichi_r61201 ; https://map.yahoo.co.jp/v3/place/TcdA71hDDO2</t>
        </is>
      </c>
      <c r="O386" s="12" t="inlineStr">
        <is>
          <t>開く</t>
        </is>
      </c>
    </row>
    <row r="387">
      <c r="A387" s="4" t="n">
        <v>383</v>
      </c>
      <c r="B387" s="5" t="inlineStr">
        <is>
          <t>東京都</t>
        </is>
      </c>
      <c r="C387" s="5" t="inlineStr">
        <is>
          <t>世田谷区</t>
        </is>
      </c>
      <c r="D387" s="5" t="inlineStr">
        <is>
          <t>サレジアン国際学園世田谷高等学校</t>
        </is>
      </c>
      <c r="E387" s="6" t="inlineStr">
        <is>
          <t>03-3416-1150</t>
        </is>
      </c>
      <c r="F387" s="7" t="inlineStr">
        <is>
          <t>高</t>
        </is>
      </c>
      <c r="G387" s="5" t="inlineStr">
        <is>
          <t>普通科</t>
        </is>
      </c>
      <c r="H387" s="8" t="n"/>
      <c r="I387" s="9" t="n"/>
      <c r="J387" s="9" t="inlineStr">
        <is>
          <t>未架電</t>
        </is>
      </c>
      <c r="K387" s="8" t="n"/>
      <c r="L387" s="9" t="n"/>
      <c r="M387" s="10" t="inlineStr">
        <is>
          <t>中高共通。高校からの募集はないとの情報あり（要確認）</t>
        </is>
      </c>
      <c r="N387" s="11" t="inlineStr">
        <is>
          <t>https://www.inter-edu.com/schools/school/260 ; https://univpress.co.jp/gk_pdf/13659.pdf</t>
        </is>
      </c>
      <c r="O387" s="12" t="inlineStr">
        <is>
          <t>開く</t>
        </is>
      </c>
    </row>
    <row r="388">
      <c r="A388" s="4" t="n">
        <v>384</v>
      </c>
      <c r="B388" s="5" t="inlineStr">
        <is>
          <t>東京都</t>
        </is>
      </c>
      <c r="C388" s="5" t="inlineStr">
        <is>
          <t>品川区</t>
        </is>
      </c>
      <c r="D388" s="5" t="inlineStr">
        <is>
          <t>品川エトワール女子高等学校</t>
        </is>
      </c>
      <c r="E388" s="6" t="inlineStr">
        <is>
          <t>03-3474-2231</t>
        </is>
      </c>
      <c r="F388" s="7" t="inlineStr">
        <is>
          <t>高</t>
        </is>
      </c>
      <c r="G388" s="5" t="inlineStr">
        <is>
          <t>普通科</t>
        </is>
      </c>
      <c r="H388" s="8" t="n"/>
      <c r="I388" s="9" t="n"/>
      <c r="J388" s="9" t="inlineStr">
        <is>
          <t>未架電</t>
        </is>
      </c>
      <c r="K388" s="8" t="n"/>
      <c r="L388" s="9" t="n"/>
      <c r="M388" s="10" t="inlineStr">
        <is>
          <t>公式Xと複数のサイトで一致</t>
        </is>
      </c>
      <c r="N388" s="11" t="inlineStr">
        <is>
          <t>https://x.com/shinagawaetoile ; https://www.school-data.com/school_info/school.php/sc=133063</t>
        </is>
      </c>
      <c r="O388" s="12" t="inlineStr">
        <is>
          <t>開く</t>
        </is>
      </c>
    </row>
    <row r="389">
      <c r="A389" s="4" t="n">
        <v>385</v>
      </c>
      <c r="B389" s="5" t="inlineStr">
        <is>
          <t>東京都</t>
        </is>
      </c>
      <c r="C389" s="5" t="inlineStr">
        <is>
          <t>品川区</t>
        </is>
      </c>
      <c r="D389" s="5" t="inlineStr">
        <is>
          <t>品川学藝高等学校</t>
        </is>
      </c>
      <c r="E389" s="6" t="inlineStr">
        <is>
          <t>03-3786-1711</t>
        </is>
      </c>
      <c r="F389" s="13" t="inlineStr">
        <is>
          <t>中</t>
        </is>
      </c>
      <c r="G389" s="5" t="inlineStr">
        <is>
          <t>普通科・専門学科</t>
        </is>
      </c>
      <c r="H389" s="8" t="n"/>
      <c r="I389" s="9" t="n"/>
      <c r="J389" s="9" t="inlineStr">
        <is>
          <t>未架電</t>
        </is>
      </c>
      <c r="K389" s="8" t="n"/>
      <c r="L389" s="9" t="n"/>
      <c r="M389" s="10" t="inlineStr">
        <is>
          <t>学校情報サイト1件のみで確認</t>
        </is>
      </c>
      <c r="N389" s="11" t="inlineStr">
        <is>
          <t>https://www.inter-edu.com/schools/school/1808</t>
        </is>
      </c>
      <c r="O389" s="12" t="inlineStr">
        <is>
          <t>開く</t>
        </is>
      </c>
    </row>
    <row r="390">
      <c r="A390" s="4" t="n">
        <v>386</v>
      </c>
      <c r="B390" s="5" t="inlineStr">
        <is>
          <t>東京都</t>
        </is>
      </c>
      <c r="C390" s="5" t="inlineStr">
        <is>
          <t>品川区</t>
        </is>
      </c>
      <c r="D390" s="5" t="inlineStr">
        <is>
          <t>品川翔英高等学校</t>
        </is>
      </c>
      <c r="E390" s="6" t="inlineStr">
        <is>
          <t>03-3774-1151</t>
        </is>
      </c>
      <c r="F390" s="13" t="inlineStr">
        <is>
          <t>中</t>
        </is>
      </c>
      <c r="G390" s="5" t="inlineStr">
        <is>
          <t>普通科</t>
        </is>
      </c>
      <c r="H390" s="8" t="n"/>
      <c r="I390" s="9" t="n"/>
      <c r="J390" s="9" t="inlineStr">
        <is>
          <t>未架電</t>
        </is>
      </c>
      <c r="K390" s="8" t="n"/>
      <c r="L390" s="9" t="n"/>
      <c r="M390" s="10" t="inlineStr">
        <is>
          <t>学校情報サイト1件のみで確認</t>
        </is>
      </c>
      <c r="N390" s="11" t="inlineStr">
        <is>
          <t>https://www.inter-edu.com/schools/school/2110</t>
        </is>
      </c>
      <c r="O390" s="12" t="inlineStr">
        <is>
          <t>開く</t>
        </is>
      </c>
    </row>
    <row r="391">
      <c r="A391" s="4" t="n">
        <v>387</v>
      </c>
      <c r="B391" s="5" t="inlineStr">
        <is>
          <t>東京都</t>
        </is>
      </c>
      <c r="C391" s="5" t="inlineStr">
        <is>
          <t>品川区</t>
        </is>
      </c>
      <c r="D391" s="5" t="inlineStr">
        <is>
          <t>品川女子学院高等部</t>
        </is>
      </c>
      <c r="E391" s="6" t="inlineStr">
        <is>
          <t>03-3474-4048</t>
        </is>
      </c>
      <c r="F391" s="7" t="inlineStr">
        <is>
          <t>高</t>
        </is>
      </c>
      <c r="G391" s="5" t="inlineStr">
        <is>
          <t>普通科</t>
        </is>
      </c>
      <c r="H391" s="8" t="n"/>
      <c r="I391" s="9" t="n"/>
      <c r="J391" s="9" t="inlineStr">
        <is>
          <t>未架電</t>
        </is>
      </c>
      <c r="K391" s="8" t="n"/>
      <c r="L391" s="9" t="n"/>
      <c r="M391" s="10" t="inlineStr">
        <is>
          <t>2つのサイトで一致</t>
        </is>
      </c>
      <c r="N391" s="11" t="inlineStr">
        <is>
          <t>https://www.inter-edu.com/schools/school/90 ; https://school.js88.com/scl_h/22038930</t>
        </is>
      </c>
      <c r="O391" s="12" t="inlineStr">
        <is>
          <t>開く</t>
        </is>
      </c>
    </row>
    <row r="392">
      <c r="A392" s="4" t="n">
        <v>388</v>
      </c>
      <c r="B392" s="5" t="inlineStr">
        <is>
          <t>東京都</t>
        </is>
      </c>
      <c r="C392" s="5" t="inlineStr">
        <is>
          <t>江東区</t>
        </is>
      </c>
      <c r="D392" s="5" t="inlineStr">
        <is>
          <t>芝浦工業大学附属高等学校</t>
        </is>
      </c>
      <c r="E392" s="6" t="inlineStr">
        <is>
          <t>03-3520-8501</t>
        </is>
      </c>
      <c r="F392" s="13" t="inlineStr">
        <is>
          <t>中</t>
        </is>
      </c>
      <c r="G392" s="5" t="inlineStr">
        <is>
          <t>普通科</t>
        </is>
      </c>
      <c r="H392" s="8" t="n"/>
      <c r="I392" s="9" t="n"/>
      <c r="J392" s="9" t="inlineStr">
        <is>
          <t>未架電</t>
        </is>
      </c>
      <c r="K392" s="8" t="n"/>
      <c r="L392" s="9" t="n"/>
      <c r="M392" s="10" t="inlineStr">
        <is>
          <t>代表として掲載。学校情報サイトのみで確認</t>
        </is>
      </c>
      <c r="N392" s="11" t="inlineStr">
        <is>
          <t>https://www.inter-edu.com/schools/school/186</t>
        </is>
      </c>
      <c r="O392" s="12" t="inlineStr">
        <is>
          <t>開く</t>
        </is>
      </c>
    </row>
    <row r="393">
      <c r="A393" s="4" t="n">
        <v>389</v>
      </c>
      <c r="B393" s="5" t="inlineStr">
        <is>
          <t>東京都</t>
        </is>
      </c>
      <c r="C393" s="5" t="inlineStr">
        <is>
          <t>港区</t>
        </is>
      </c>
      <c r="D393" s="5" t="inlineStr">
        <is>
          <t>芝高等学校</t>
        </is>
      </c>
      <c r="E393" s="6" t="inlineStr">
        <is>
          <t>03-3431-2629</t>
        </is>
      </c>
      <c r="F393" s="7" t="inlineStr">
        <is>
          <t>高</t>
        </is>
      </c>
      <c r="G393" s="5" t="inlineStr">
        <is>
          <t>普通科</t>
        </is>
      </c>
      <c r="H393" s="8" t="n"/>
      <c r="I393" s="9" t="n"/>
      <c r="J393" s="9" t="inlineStr">
        <is>
          <t>未架電</t>
        </is>
      </c>
      <c r="K393" s="8" t="n"/>
      <c r="L393" s="9" t="n"/>
      <c r="M393" s="10" t="inlineStr">
        <is>
          <t>2つのサイトで一致</t>
        </is>
      </c>
      <c r="N393" s="11" t="inlineStr">
        <is>
          <t>https://www.inter-edu.com/schools/school/12 ; https://school.js88.com/scl_h/22038120/</t>
        </is>
      </c>
      <c r="O393" s="12" t="inlineStr">
        <is>
          <t>開く</t>
        </is>
      </c>
    </row>
    <row r="394">
      <c r="A394" s="4" t="n">
        <v>390</v>
      </c>
      <c r="B394" s="5" t="inlineStr">
        <is>
          <t>東京都</t>
        </is>
      </c>
      <c r="C394" s="5" t="inlineStr">
        <is>
          <t>港区</t>
        </is>
      </c>
      <c r="D394" s="5" t="inlineStr">
        <is>
          <t>芝国際高等学校</t>
        </is>
      </c>
      <c r="E394" s="6" t="inlineStr">
        <is>
          <t>03-5427-0666</t>
        </is>
      </c>
      <c r="F394" s="7" t="inlineStr">
        <is>
          <t>高</t>
        </is>
      </c>
      <c r="G394" s="5" t="inlineStr">
        <is>
          <t>普通科</t>
        </is>
      </c>
      <c r="H394" s="8" t="n"/>
      <c r="I394" s="9" t="n"/>
      <c r="J394" s="9" t="inlineStr">
        <is>
          <t>未架電</t>
        </is>
      </c>
      <c r="K394" s="8" t="n"/>
      <c r="L394" s="9" t="n"/>
      <c r="M394" s="10" t="inlineStr">
        <is>
          <t>中高共通。学校情報サイトで一致</t>
        </is>
      </c>
      <c r="N394" s="11" t="inlineStr">
        <is>
          <t>https://www.inter-edu.com/schools/school/2074</t>
        </is>
      </c>
      <c r="O394" s="12" t="inlineStr">
        <is>
          <t>開く</t>
        </is>
      </c>
    </row>
    <row r="395">
      <c r="A395" s="4" t="n">
        <v>391</v>
      </c>
      <c r="B395" s="5" t="inlineStr">
        <is>
          <t>東京都</t>
        </is>
      </c>
      <c r="C395" s="5" t="inlineStr">
        <is>
          <t>渋谷区</t>
        </is>
      </c>
      <c r="D395" s="5" t="inlineStr">
        <is>
          <t>渋谷教育学園渋谷高等学校</t>
        </is>
      </c>
      <c r="E395" s="6" t="inlineStr">
        <is>
          <t>03-3400-6363</t>
        </is>
      </c>
      <c r="F395" s="7" t="inlineStr">
        <is>
          <t>高</t>
        </is>
      </c>
      <c r="G395" s="5" t="inlineStr">
        <is>
          <t>普通科</t>
        </is>
      </c>
      <c r="H395" s="8" t="n"/>
      <c r="I395" s="9" t="n"/>
      <c r="J395" s="9" t="inlineStr">
        <is>
          <t>未架電</t>
        </is>
      </c>
      <c r="K395" s="8" t="n"/>
      <c r="L395" s="9" t="n"/>
      <c r="M395" s="10" t="inlineStr">
        <is>
          <t>中高共通。複数サイトで一致</t>
        </is>
      </c>
      <c r="N395" s="11" t="inlineStr">
        <is>
          <t>https://www.inter-edu.com/schools/school/88/ ; https://www.minkou.jp/junior/school/7736/</t>
        </is>
      </c>
      <c r="O395" s="12" t="inlineStr">
        <is>
          <t>開く</t>
        </is>
      </c>
    </row>
    <row r="396">
      <c r="A396" s="4" t="n">
        <v>392</v>
      </c>
      <c r="B396" s="5" t="inlineStr">
        <is>
          <t>東京都</t>
        </is>
      </c>
      <c r="C396" s="5" t="inlineStr">
        <is>
          <t>世田谷区</t>
        </is>
      </c>
      <c r="D396" s="5" t="inlineStr">
        <is>
          <t>下北沢成徳高等学校</t>
        </is>
      </c>
      <c r="E396" s="6" t="inlineStr">
        <is>
          <t>03-3468-1551</t>
        </is>
      </c>
      <c r="F396" s="7" t="inlineStr">
        <is>
          <t>高</t>
        </is>
      </c>
      <c r="G396" s="5" t="inlineStr">
        <is>
          <t>普通科</t>
        </is>
      </c>
      <c r="H396" s="8" t="n"/>
      <c r="I396" s="9" t="n"/>
      <c r="J396" s="9" t="inlineStr">
        <is>
          <t>未架電</t>
        </is>
      </c>
      <c r="K396" s="8" t="n"/>
      <c r="L396" s="9" t="n"/>
      <c r="M396" s="10" t="inlineStr">
        <is>
          <t>学校情報サイト3件で一致</t>
        </is>
      </c>
      <c r="N396" s="11" t="inlineStr">
        <is>
          <t>https://www.inter-edu.com/schools/school/608 ; https://school.js88.com/scl_h/22039260</t>
        </is>
      </c>
      <c r="O396" s="12" t="inlineStr">
        <is>
          <t>開く</t>
        </is>
      </c>
    </row>
    <row r="397">
      <c r="A397" s="4" t="n">
        <v>393</v>
      </c>
      <c r="B397" s="5" t="inlineStr">
        <is>
          <t>東京都</t>
        </is>
      </c>
      <c r="C397" s="5" t="inlineStr">
        <is>
          <t>葛飾区</t>
        </is>
      </c>
      <c r="D397" s="5" t="inlineStr">
        <is>
          <t>修徳高等学校</t>
        </is>
      </c>
      <c r="E397" s="6" t="inlineStr">
        <is>
          <t>03-3601-0116</t>
        </is>
      </c>
      <c r="F397" s="7" t="inlineStr">
        <is>
          <t>高</t>
        </is>
      </c>
      <c r="G397" s="5" t="inlineStr">
        <is>
          <t>普通科</t>
        </is>
      </c>
      <c r="H397" s="8" t="n"/>
      <c r="I397" s="9" t="n"/>
      <c r="J397" s="9" t="inlineStr">
        <is>
          <t>未架電</t>
        </is>
      </c>
      <c r="K397" s="8" t="n"/>
      <c r="L397" s="9" t="n"/>
      <c r="M397" s="10" t="inlineStr">
        <is>
          <t>中高共通</t>
        </is>
      </c>
      <c r="N397" s="11" t="inlineStr">
        <is>
          <t>https://www.inter-edu.com/schools/school/2076 ; https://www.minkou.jp/junior/school/7976/</t>
        </is>
      </c>
      <c r="O397" s="12" t="inlineStr">
        <is>
          <t>開く</t>
        </is>
      </c>
    </row>
    <row r="398">
      <c r="A398" s="4" t="n">
        <v>394</v>
      </c>
      <c r="B398" s="5" t="inlineStr">
        <is>
          <t>東京都</t>
        </is>
      </c>
      <c r="C398" s="5" t="inlineStr">
        <is>
          <t>板橋区</t>
        </is>
      </c>
      <c r="D398" s="5" t="inlineStr">
        <is>
          <t>淑徳高等学校</t>
        </is>
      </c>
      <c r="E398" s="6" t="inlineStr">
        <is>
          <t>03-3969-7411</t>
        </is>
      </c>
      <c r="F398" s="13" t="inlineStr">
        <is>
          <t>中</t>
        </is>
      </c>
      <c r="G398" s="5" t="inlineStr">
        <is>
          <t>普通科</t>
        </is>
      </c>
      <c r="H398" s="8" t="n"/>
      <c r="I398" s="9" t="n"/>
      <c r="J398" s="9" t="inlineStr">
        <is>
          <t>未架電</t>
        </is>
      </c>
      <c r="K398" s="8" t="n"/>
      <c r="L398" s="9" t="n"/>
      <c r="M398" s="10" t="inlineStr">
        <is>
          <t>中高共通。学校情報サイトのみで確認</t>
        </is>
      </c>
      <c r="N398" s="11" t="inlineStr">
        <is>
          <t>https://www.inter-edu.com/schools/school/1994</t>
        </is>
      </c>
      <c r="O398" s="12" t="inlineStr">
        <is>
          <t>開く</t>
        </is>
      </c>
    </row>
    <row r="399">
      <c r="A399" s="4" t="n">
        <v>395</v>
      </c>
      <c r="B399" s="5" t="inlineStr">
        <is>
          <t>東京都</t>
        </is>
      </c>
      <c r="C399" s="5" t="inlineStr">
        <is>
          <t>豊島区</t>
        </is>
      </c>
      <c r="D399" s="5" t="inlineStr">
        <is>
          <t>淑徳巣鴨高等学校</t>
        </is>
      </c>
      <c r="E399" s="6" t="inlineStr">
        <is>
          <t>03-3918-6451</t>
        </is>
      </c>
      <c r="F399" s="13" t="inlineStr">
        <is>
          <t>中</t>
        </is>
      </c>
      <c r="G399" s="5" t="inlineStr">
        <is>
          <t>普通科</t>
        </is>
      </c>
      <c r="H399" s="8" t="n"/>
      <c r="I399" s="9" t="n"/>
      <c r="J399" s="9" t="inlineStr">
        <is>
          <t>未架電</t>
        </is>
      </c>
      <c r="K399" s="8" t="n"/>
      <c r="L399" s="9" t="n"/>
      <c r="M399" s="10" t="inlineStr">
        <is>
          <t>中高共通。学校情報サイトのみで確認</t>
        </is>
      </c>
      <c r="N399" s="11" t="inlineStr">
        <is>
          <t>https://www.inter-edu.com/schools/school/2078</t>
        </is>
      </c>
      <c r="O399" s="12" t="inlineStr">
        <is>
          <t>開く</t>
        </is>
      </c>
    </row>
    <row r="400">
      <c r="A400" s="4" t="n">
        <v>396</v>
      </c>
      <c r="B400" s="5" t="inlineStr">
        <is>
          <t>東京都</t>
        </is>
      </c>
      <c r="C400" s="5" t="inlineStr">
        <is>
          <t>世田谷区</t>
        </is>
      </c>
      <c r="D400" s="5" t="inlineStr">
        <is>
          <t>松蔭大学附属松蔭高等学校（東京都）</t>
        </is>
      </c>
      <c r="E400" s="6" t="inlineStr">
        <is>
          <t>03-3467-1511</t>
        </is>
      </c>
      <c r="F400" s="7" t="inlineStr">
        <is>
          <t>高</t>
        </is>
      </c>
      <c r="G400" s="5" t="inlineStr">
        <is>
          <t>普通科</t>
        </is>
      </c>
      <c r="H400" s="8" t="n"/>
      <c r="I400" s="9" t="n"/>
      <c r="J400" s="9" t="inlineStr">
        <is>
          <t>未架電</t>
        </is>
      </c>
      <c r="K400" s="8" t="n"/>
      <c r="L400" s="9" t="n"/>
      <c r="M400" s="10" t="inlineStr">
        <is>
          <t>中高共通</t>
        </is>
      </c>
      <c r="N400" s="11" t="inlineStr">
        <is>
          <t>https://school.js88.com/scl_h/22039230 ; https://www.inter-edu.com/schools/school/2213</t>
        </is>
      </c>
      <c r="O400" s="12" t="inlineStr">
        <is>
          <t>開く</t>
        </is>
      </c>
    </row>
    <row r="401">
      <c r="A401" s="4" t="n">
        <v>397</v>
      </c>
      <c r="B401" s="5" t="inlineStr">
        <is>
          <t>東京都</t>
        </is>
      </c>
      <c r="C401" s="5" t="inlineStr">
        <is>
          <t>港区</t>
        </is>
      </c>
      <c r="D401" s="5" t="inlineStr">
        <is>
          <t>頌栄女子学院高等学校</t>
        </is>
      </c>
      <c r="E401" s="6" t="inlineStr">
        <is>
          <t>03-3441-2005</t>
        </is>
      </c>
      <c r="F401" s="13" t="inlineStr">
        <is>
          <t>中</t>
        </is>
      </c>
      <c r="G401" s="5" t="inlineStr">
        <is>
          <t>普通科</t>
        </is>
      </c>
      <c r="H401" s="8" t="n"/>
      <c r="I401" s="9" t="n"/>
      <c r="J401" s="9" t="inlineStr">
        <is>
          <t>未架電</t>
        </is>
      </c>
      <c r="K401" s="8" t="n"/>
      <c r="L401" s="9" t="n"/>
      <c r="M401" s="10" t="inlineStr">
        <is>
          <t>中高共通。学校情報サイト1件のみで確認</t>
        </is>
      </c>
      <c r="N401" s="11" t="inlineStr">
        <is>
          <t>https://www.inter-edu.com/schools/school/58</t>
        </is>
      </c>
      <c r="O401" s="12" t="inlineStr">
        <is>
          <t>開く</t>
        </is>
      </c>
    </row>
    <row r="402">
      <c r="A402" s="4" t="n">
        <v>398</v>
      </c>
      <c r="B402" s="5" t="inlineStr">
        <is>
          <t>東京都</t>
        </is>
      </c>
      <c r="C402" s="5" t="inlineStr">
        <is>
          <t>武蔵野市</t>
        </is>
      </c>
      <c r="D402" s="5" t="inlineStr">
        <is>
          <t>聖徳学園高等学校</t>
        </is>
      </c>
      <c r="E402" s="6" t="inlineStr">
        <is>
          <t>0422-31-5121</t>
        </is>
      </c>
      <c r="F402" s="7" t="inlineStr">
        <is>
          <t>高</t>
        </is>
      </c>
      <c r="G402" s="5" t="inlineStr">
        <is>
          <t>普通科</t>
        </is>
      </c>
      <c r="H402" s="8" t="n"/>
      <c r="I402" s="9" t="n"/>
      <c r="J402" s="9" t="inlineStr">
        <is>
          <t>未架電</t>
        </is>
      </c>
      <c r="K402" s="8" t="n"/>
      <c r="L402" s="9" t="n"/>
      <c r="M402" s="10" t="inlineStr">
        <is>
          <t>中高共通</t>
        </is>
      </c>
      <c r="N402" s="11" t="inlineStr">
        <is>
          <t>https://www.inter-edu.com/schools/school/2070 ; https://univpress.co.jp/gk_pdf/13731.pdf</t>
        </is>
      </c>
      <c r="O402" s="12" t="inlineStr">
        <is>
          <t>開く</t>
        </is>
      </c>
    </row>
    <row r="403">
      <c r="A403" s="4" t="n">
        <v>399</v>
      </c>
      <c r="B403" s="5" t="inlineStr">
        <is>
          <t>東京都</t>
        </is>
      </c>
      <c r="C403" s="5" t="inlineStr">
        <is>
          <t>世田谷区</t>
        </is>
      </c>
      <c r="D403" s="5" t="inlineStr">
        <is>
          <t>昭和女子大学附属昭和高等学校</t>
        </is>
      </c>
      <c r="E403" s="6" t="inlineStr">
        <is>
          <t>03-3411-5115</t>
        </is>
      </c>
      <c r="F403" s="7" t="inlineStr">
        <is>
          <t>高</t>
        </is>
      </c>
      <c r="G403" s="5" t="inlineStr">
        <is>
          <t>普通科</t>
        </is>
      </c>
      <c r="H403" s="8" t="n"/>
      <c r="I403" s="9" t="n"/>
      <c r="J403" s="9" t="inlineStr">
        <is>
          <t>未架電</t>
        </is>
      </c>
      <c r="K403" s="8" t="n"/>
      <c r="L403" s="9" t="n"/>
      <c r="M403" s="10" t="inlineStr">
        <is>
          <t>中高共通。東京都の私立高校一覧と一致</t>
        </is>
      </c>
      <c r="N403" s="11" t="inlineStr">
        <is>
          <t>https://www.seikatubunka.metro.tokyo.lg.jp/documents/d/seikatubunka/07high_zennichi_r61201 ; https://www.inter-edu.com/schools/school/225</t>
        </is>
      </c>
      <c r="O403" s="12" t="inlineStr">
        <is>
          <t>開く</t>
        </is>
      </c>
    </row>
    <row r="404">
      <c r="A404" s="4" t="n">
        <v>400</v>
      </c>
      <c r="B404" s="5" t="inlineStr">
        <is>
          <t>東京都</t>
        </is>
      </c>
      <c r="C404" s="5" t="inlineStr">
        <is>
          <t>立川市</t>
        </is>
      </c>
      <c r="D404" s="5" t="inlineStr">
        <is>
          <t>昭和第一学園高等学校</t>
        </is>
      </c>
      <c r="E404" s="6" t="inlineStr">
        <is>
          <t>042-536-1611</t>
        </is>
      </c>
      <c r="F404" s="7" t="inlineStr">
        <is>
          <t>高</t>
        </is>
      </c>
      <c r="G404" s="5" t="inlineStr">
        <is>
          <t>普通科・専門学科</t>
        </is>
      </c>
      <c r="H404" s="8" t="n"/>
      <c r="I404" s="9" t="n"/>
      <c r="J404" s="9" t="inlineStr">
        <is>
          <t>未架電</t>
        </is>
      </c>
      <c r="K404" s="8" t="n"/>
      <c r="L404" s="9" t="n"/>
      <c r="M404" s="10" t="inlineStr">
        <is>
          <t>立川市の学校。昭和第一高校（文京区）とは別の学校</t>
        </is>
      </c>
      <c r="N404" s="11" t="inlineStr">
        <is>
          <t>https://www.seikatubunka.metro.tokyo.lg.jp/documents/d/seikatubunka/07high_zennichi_r61201 ; https://www.inter-edu.com/schools/school/613</t>
        </is>
      </c>
      <c r="O404" s="12" t="inlineStr">
        <is>
          <t>開く</t>
        </is>
      </c>
    </row>
    <row r="405">
      <c r="A405" s="4" t="n">
        <v>401</v>
      </c>
      <c r="B405" s="5" t="inlineStr">
        <is>
          <t>東京都</t>
        </is>
      </c>
      <c r="C405" s="5" t="inlineStr">
        <is>
          <t>文京区</t>
        </is>
      </c>
      <c r="D405" s="5" t="inlineStr">
        <is>
          <t>昭和第一高等学校</t>
        </is>
      </c>
      <c r="E405" s="6" t="inlineStr">
        <is>
          <t>03-3811-0636</t>
        </is>
      </c>
      <c r="F405" s="7" t="inlineStr">
        <is>
          <t>高</t>
        </is>
      </c>
      <c r="G405" s="5" t="inlineStr">
        <is>
          <t>普通科</t>
        </is>
      </c>
      <c r="H405" s="8" t="n"/>
      <c r="I405" s="9" t="n"/>
      <c r="J405" s="9" t="inlineStr">
        <is>
          <t>未架電</t>
        </is>
      </c>
      <c r="K405" s="8" t="n"/>
      <c r="L405" s="9" t="n"/>
      <c r="M405" s="10" t="inlineStr">
        <is>
          <t>文京区の学校。昭和第一学園（立川市）とは別の学校</t>
        </is>
      </c>
      <c r="N405" s="11" t="inlineStr">
        <is>
          <t>https://www.minkou.jp/hischool/school/2372/ ; https://www.city.bunkyo.lg.jp/documents/5788/kizi_2024.pdf</t>
        </is>
      </c>
      <c r="O405" s="12" t="inlineStr">
        <is>
          <t>開く</t>
        </is>
      </c>
    </row>
    <row r="406">
      <c r="A406" s="4" t="n">
        <v>402</v>
      </c>
      <c r="B406" s="5" t="inlineStr">
        <is>
          <t>東京都</t>
        </is>
      </c>
      <c r="C406" s="5" t="inlineStr">
        <is>
          <t>豊島区</t>
        </is>
      </c>
      <c r="D406" s="5" t="inlineStr">
        <is>
          <t>昭和鉄道高等学校</t>
        </is>
      </c>
      <c r="E406" s="6" t="inlineStr">
        <is>
          <t>03-3988-5511</t>
        </is>
      </c>
      <c r="F406" s="13" t="inlineStr">
        <is>
          <t>中</t>
        </is>
      </c>
      <c r="G406" s="5" t="inlineStr">
        <is>
          <t>専門学科</t>
        </is>
      </c>
      <c r="H406" s="8" t="n"/>
      <c r="I406" s="9" t="n"/>
      <c r="J406" s="9" t="inlineStr">
        <is>
          <t>未架電</t>
        </is>
      </c>
      <c r="K406" s="8" t="n"/>
      <c r="L406" s="9" t="n"/>
      <c r="M406" s="10" t="inlineStr">
        <is>
          <t>東京都の私立高校一覧で確認。豊島学院高校と同じ番号（同じ学校法人・同じ敷地のため）</t>
        </is>
      </c>
      <c r="N406" s="11" t="inlineStr">
        <is>
          <t>https://www.seikatubunka.metro.tokyo.lg.jp/documents/d/seikatubunka/07high_zennichi_r61201</t>
        </is>
      </c>
      <c r="O406" s="12" t="inlineStr">
        <is>
          <t>開く</t>
        </is>
      </c>
    </row>
    <row r="407">
      <c r="A407" s="4" t="n">
        <v>403</v>
      </c>
      <c r="B407" s="5" t="inlineStr">
        <is>
          <t>東京都</t>
        </is>
      </c>
      <c r="C407" s="5" t="inlineStr">
        <is>
          <t>北区</t>
        </is>
      </c>
      <c r="D407" s="5" t="inlineStr">
        <is>
          <t>女子聖学院高等学校</t>
        </is>
      </c>
      <c r="E407" s="6" t="inlineStr">
        <is>
          <t>03-3917-2277</t>
        </is>
      </c>
      <c r="F407" s="13" t="inlineStr">
        <is>
          <t>中</t>
        </is>
      </c>
      <c r="G407" s="5" t="inlineStr">
        <is>
          <t>普通科</t>
        </is>
      </c>
      <c r="H407" s="8" t="n"/>
      <c r="I407" s="9" t="n"/>
      <c r="J407" s="9" t="inlineStr">
        <is>
          <t>未架電</t>
        </is>
      </c>
      <c r="K407" s="8" t="n"/>
      <c r="L407" s="9" t="n"/>
      <c r="M407" s="10" t="inlineStr">
        <is>
          <t>中高共通。高校募集なし（完全中高一貫）との情報あり</t>
        </is>
      </c>
      <c r="N407" s="11" t="inlineStr">
        <is>
          <t>https://www.inter-edu.com/schools/school/60</t>
        </is>
      </c>
      <c r="O407" s="12" t="inlineStr">
        <is>
          <t>開く</t>
        </is>
      </c>
    </row>
    <row r="408">
      <c r="A408" s="4" t="n">
        <v>404</v>
      </c>
      <c r="B408" s="5" t="inlineStr">
        <is>
          <t>東京都</t>
        </is>
      </c>
      <c r="C408" s="5" t="inlineStr">
        <is>
          <t>小平市</t>
        </is>
      </c>
      <c r="D408" s="5" t="inlineStr">
        <is>
          <t>白梅学園高等学校</t>
        </is>
      </c>
      <c r="E408" s="6" t="inlineStr">
        <is>
          <t>042-346-5691</t>
        </is>
      </c>
      <c r="F408" s="13" t="inlineStr">
        <is>
          <t>中</t>
        </is>
      </c>
      <c r="G408" s="5" t="inlineStr">
        <is>
          <t>普通科</t>
        </is>
      </c>
      <c r="H408" s="8" t="n"/>
      <c r="I408" s="9" t="n"/>
      <c r="J408" s="9" t="inlineStr">
        <is>
          <t>未架電</t>
        </is>
      </c>
      <c r="K408" s="8" t="n"/>
      <c r="L408" s="9" t="n"/>
      <c r="M408" s="10" t="inlineStr">
        <is>
          <t>学校情報サイトのみで確認。清修中高一貫部・大学は別番号</t>
        </is>
      </c>
      <c r="N408" s="11" t="inlineStr">
        <is>
          <t>https://www.inter-edu.com/schools/school/1800</t>
        </is>
      </c>
      <c r="O408" s="12" t="inlineStr">
        <is>
          <t>開く</t>
        </is>
      </c>
    </row>
    <row r="409">
      <c r="A409" s="4" t="n">
        <v>405</v>
      </c>
      <c r="B409" s="5" t="inlineStr">
        <is>
          <t>東京都</t>
        </is>
      </c>
      <c r="C409" s="5" t="inlineStr">
        <is>
          <t>千代田区</t>
        </is>
      </c>
      <c r="D409" s="5" t="inlineStr">
        <is>
          <t>白百合学園高等学校</t>
        </is>
      </c>
      <c r="E409" s="6" t="inlineStr">
        <is>
          <t>03-3234-6661</t>
        </is>
      </c>
      <c r="F409" s="7" t="inlineStr">
        <is>
          <t>高</t>
        </is>
      </c>
      <c r="G409" s="5" t="inlineStr">
        <is>
          <t>普通科</t>
        </is>
      </c>
      <c r="H409" s="8" t="n"/>
      <c r="I409" s="9" t="n"/>
      <c r="J409" s="9" t="inlineStr">
        <is>
          <t>未架電</t>
        </is>
      </c>
      <c r="K409" s="8" t="n"/>
      <c r="L409" s="9" t="n"/>
      <c r="M409" s="10" t="inlineStr">
        <is>
          <t>中高共通の代表番号。高校募集なし</t>
        </is>
      </c>
      <c r="N409" s="11" t="inlineStr">
        <is>
          <t>https://www.inter-edu.com/schools/school/61</t>
        </is>
      </c>
      <c r="O409" s="12" t="inlineStr">
        <is>
          <t>開く</t>
        </is>
      </c>
    </row>
    <row r="410">
      <c r="A410" s="4" t="n">
        <v>406</v>
      </c>
      <c r="B410" s="5" t="inlineStr">
        <is>
          <t>東京都</t>
        </is>
      </c>
      <c r="C410" s="5" t="inlineStr">
        <is>
          <t>中野区</t>
        </is>
      </c>
      <c r="D410" s="5" t="inlineStr">
        <is>
          <t>実践学園高等学校</t>
        </is>
      </c>
      <c r="E410" s="6" t="inlineStr">
        <is>
          <t>03-3371-5268</t>
        </is>
      </c>
      <c r="F410" s="13" t="inlineStr">
        <is>
          <t>中</t>
        </is>
      </c>
      <c r="G410" s="5" t="inlineStr">
        <is>
          <t>普通科</t>
        </is>
      </c>
      <c r="H410" s="8" t="n"/>
      <c r="I410" s="9" t="n"/>
      <c r="J410" s="9" t="inlineStr">
        <is>
          <t>未架電</t>
        </is>
      </c>
      <c r="K410" s="8" t="n"/>
      <c r="L410" s="9" t="n"/>
      <c r="M410" s="10" t="inlineStr">
        <is>
          <t>中高共通とみられる。学校情報サイトのみで確認</t>
        </is>
      </c>
      <c r="N410" s="11" t="inlineStr">
        <is>
          <t>https://www.inter-edu.com/schools/school/127/</t>
        </is>
      </c>
      <c r="O410" s="12" t="inlineStr">
        <is>
          <t>開く</t>
        </is>
      </c>
    </row>
    <row r="411">
      <c r="A411" s="4" t="n">
        <v>407</v>
      </c>
      <c r="B411" s="5" t="inlineStr">
        <is>
          <t>東京都</t>
        </is>
      </c>
      <c r="C411" s="5" t="inlineStr">
        <is>
          <t>渋谷区</t>
        </is>
      </c>
      <c r="D411" s="5" t="inlineStr">
        <is>
          <t>実践女子学園高等学校</t>
        </is>
      </c>
      <c r="E411" s="6" t="inlineStr">
        <is>
          <t>03-3409-1771</t>
        </is>
      </c>
      <c r="F411" s="7" t="inlineStr">
        <is>
          <t>高</t>
        </is>
      </c>
      <c r="G411" s="5" t="inlineStr">
        <is>
          <t>普通科</t>
        </is>
      </c>
      <c r="H411" s="8" t="n"/>
      <c r="I411" s="9" t="n"/>
      <c r="J411" s="9" t="inlineStr">
        <is>
          <t>未架電</t>
        </is>
      </c>
      <c r="K411" s="8" t="n"/>
      <c r="L411" s="9" t="n"/>
      <c r="M411" s="10" t="inlineStr">
        <is>
          <t>中高共通</t>
        </is>
      </c>
      <c r="N411" s="11" t="inlineStr">
        <is>
          <t>https://www.inter-edu.com/schools/school/223 ; https://school.js88.com/scl_h/22038360</t>
        </is>
      </c>
      <c r="O411" s="12" t="inlineStr">
        <is>
          <t>開く</t>
        </is>
      </c>
    </row>
    <row r="412">
      <c r="A412" s="4" t="n">
        <v>408</v>
      </c>
      <c r="B412" s="5" t="inlineStr">
        <is>
          <t>東京都</t>
        </is>
      </c>
      <c r="C412" s="5" t="inlineStr">
        <is>
          <t>豊島区</t>
        </is>
      </c>
      <c r="D412" s="5" t="inlineStr">
        <is>
          <t>十文字高等学校</t>
        </is>
      </c>
      <c r="E412" s="6" t="inlineStr">
        <is>
          <t>03-3918-0511</t>
        </is>
      </c>
      <c r="F412" s="7" t="inlineStr">
        <is>
          <t>高</t>
        </is>
      </c>
      <c r="G412" s="5" t="inlineStr">
        <is>
          <t>普通科</t>
        </is>
      </c>
      <c r="H412" s="8" t="n"/>
      <c r="I412" s="9" t="n"/>
      <c r="J412" s="9" t="inlineStr">
        <is>
          <t>未架電</t>
        </is>
      </c>
      <c r="K412" s="8" t="n"/>
      <c r="L412" s="9" t="n"/>
      <c r="M412" s="10" t="inlineStr">
        <is>
          <t>中高共通</t>
        </is>
      </c>
      <c r="N412" s="11" t="inlineStr">
        <is>
          <t>https://www.inter-edu.com/schools/school/2060 ; https://www.univpress.co.jp/gk_pdf/13686.pdf</t>
        </is>
      </c>
      <c r="O412" s="12" t="inlineStr">
        <is>
          <t>開く</t>
        </is>
      </c>
    </row>
    <row r="413">
      <c r="A413" s="4" t="n">
        <v>409</v>
      </c>
      <c r="B413" s="5" t="inlineStr">
        <is>
          <t>東京都</t>
        </is>
      </c>
      <c r="C413" s="5" t="inlineStr">
        <is>
          <t>足立区</t>
        </is>
      </c>
      <c r="D413" s="5" t="inlineStr">
        <is>
          <t>潤徳女子高等学校</t>
        </is>
      </c>
      <c r="E413" s="6" t="inlineStr">
        <is>
          <t>03-3881-7161</t>
        </is>
      </c>
      <c r="F413" s="7" t="inlineStr">
        <is>
          <t>高</t>
        </is>
      </c>
      <c r="G413" s="5" t="inlineStr">
        <is>
          <t>普通科</t>
        </is>
      </c>
      <c r="H413" s="8" t="n"/>
      <c r="I413" s="9" t="n"/>
      <c r="J413" s="9" t="inlineStr">
        <is>
          <t>未架電</t>
        </is>
      </c>
      <c r="K413" s="8" t="n"/>
      <c r="L413" s="9" t="n"/>
      <c r="M413" s="10" t="inlineStr">
        <is>
          <t>2つの情報源で一致</t>
        </is>
      </c>
      <c r="N413" s="11" t="inlineStr">
        <is>
          <t>https://www.inter-edu.com/schools/school/607 ; https://www.univpress.co.jp/gk_pdf/13602.pdf</t>
        </is>
      </c>
      <c r="O413" s="12" t="inlineStr">
        <is>
          <t>開く</t>
        </is>
      </c>
    </row>
    <row r="414">
      <c r="A414" s="4" t="n">
        <v>410</v>
      </c>
      <c r="B414" s="5" t="inlineStr">
        <is>
          <t>東京都</t>
        </is>
      </c>
      <c r="C414" s="5" t="inlineStr">
        <is>
          <t>目黒区</t>
        </is>
      </c>
      <c r="D414" s="5" t="inlineStr">
        <is>
          <t>自由ヶ丘学園高等学校</t>
        </is>
      </c>
      <c r="E414" s="14" t="n"/>
      <c r="F414" s="15" t="inlineStr">
        <is>
          <t>要調査</t>
        </is>
      </c>
      <c r="G414" s="5" t="inlineStr">
        <is>
          <t>普通科</t>
        </is>
      </c>
      <c r="H414" s="8" t="n"/>
      <c r="I414" s="9" t="n"/>
      <c r="J414" s="9" t="inlineStr">
        <is>
          <t>未架電</t>
        </is>
      </c>
      <c r="K414" s="8" t="n"/>
      <c r="L414" s="9" t="n"/>
      <c r="M414" s="10" t="inlineStr">
        <is>
          <t>代表番号を確定できず。候補：03-3717-0388（学校情報サイト）／03-4330-2530（公式チラシの広報部）</t>
        </is>
      </c>
      <c r="N414" s="11" t="inlineStr">
        <is>
          <t>https://school.js88.com/scl_h/22039000/ ; https://www.jiyugaoka.ed.jp/wp-content/uploads/2026/06/2026オープンスクールチラシ.pdf</t>
        </is>
      </c>
      <c r="O414" s="12" t="inlineStr">
        <is>
          <t>開く</t>
        </is>
      </c>
    </row>
    <row r="415">
      <c r="A415" s="4" t="n">
        <v>411</v>
      </c>
      <c r="B415" s="5" t="inlineStr">
        <is>
          <t>東京都</t>
        </is>
      </c>
      <c r="C415" s="5" t="inlineStr">
        <is>
          <t>東久留米市</t>
        </is>
      </c>
      <c r="D415" s="5" t="inlineStr">
        <is>
          <t>自由学園高等科</t>
        </is>
      </c>
      <c r="E415" s="6" t="inlineStr">
        <is>
          <t>042-422-3111</t>
        </is>
      </c>
      <c r="F415" s="13" t="inlineStr">
        <is>
          <t>中</t>
        </is>
      </c>
      <c r="G415" s="5" t="inlineStr">
        <is>
          <t>普通科</t>
        </is>
      </c>
      <c r="H415" s="8" t="n"/>
      <c r="I415" s="9" t="n"/>
      <c r="J415" s="9" t="inlineStr">
        <is>
          <t>未架電</t>
        </is>
      </c>
      <c r="K415" s="8" t="n"/>
      <c r="L415" s="9" t="n"/>
      <c r="M415" s="10" t="inlineStr">
        <is>
          <t>学園全体の代表番号の可能性。高等部職員室の直通は042-422-1079</t>
        </is>
      </c>
      <c r="N415" s="11" t="inlineStr">
        <is>
          <t>https://www.inter-edu.com/schools/school/2103 ; https://www.jiyu.ac.jp/nyushi/2027_sh.pdf</t>
        </is>
      </c>
      <c r="O415" s="12" t="inlineStr">
        <is>
          <t>開く</t>
        </is>
      </c>
    </row>
    <row r="416">
      <c r="A416" s="4" t="n">
        <v>412</v>
      </c>
      <c r="B416" s="5" t="inlineStr">
        <is>
          <t>東京都</t>
        </is>
      </c>
      <c r="C416" s="5" t="inlineStr">
        <is>
          <t>豊島区</t>
        </is>
      </c>
      <c r="D416" s="5" t="inlineStr">
        <is>
          <t>城西大学附属城西高等学校</t>
        </is>
      </c>
      <c r="E416" s="6" t="inlineStr">
        <is>
          <t>03-3973-6331</t>
        </is>
      </c>
      <c r="F416" s="7" t="inlineStr">
        <is>
          <t>高</t>
        </is>
      </c>
      <c r="G416" s="5" t="inlineStr">
        <is>
          <t>普通科</t>
        </is>
      </c>
      <c r="H416" s="8" t="n"/>
      <c r="I416" s="9" t="n"/>
      <c r="J416" s="9" t="inlineStr">
        <is>
          <t>未架電</t>
        </is>
      </c>
      <c r="K416" s="8" t="n"/>
      <c r="L416" s="9" t="n"/>
      <c r="M416" s="10" t="inlineStr">
        <is>
          <t>中高共通</t>
        </is>
      </c>
      <c r="N416" s="11" t="inlineStr">
        <is>
          <t>https://www.inter-edu.com/schools/school/1996 ; https://www.minkou.jp/junior/school/7807/</t>
        </is>
      </c>
      <c r="O416" s="12" t="inlineStr">
        <is>
          <t>開く</t>
        </is>
      </c>
    </row>
    <row r="417">
      <c r="A417" s="4" t="n">
        <v>413</v>
      </c>
      <c r="B417" s="5" t="inlineStr">
        <is>
          <t>東京都</t>
        </is>
      </c>
      <c r="C417" s="5" t="inlineStr">
        <is>
          <t>板橋区</t>
        </is>
      </c>
      <c r="D417" s="5" t="inlineStr">
        <is>
          <t>城北高等学校（東京都）</t>
        </is>
      </c>
      <c r="E417" s="6" t="inlineStr">
        <is>
          <t>03-3956-3157</t>
        </is>
      </c>
      <c r="F417" s="7" t="inlineStr">
        <is>
          <t>高</t>
        </is>
      </c>
      <c r="G417" s="5" t="inlineStr">
        <is>
          <t>普通科</t>
        </is>
      </c>
      <c r="H417" s="8" t="n"/>
      <c r="I417" s="9" t="n"/>
      <c r="J417" s="9" t="inlineStr">
        <is>
          <t>未架電</t>
        </is>
      </c>
      <c r="K417" s="8" t="n"/>
      <c r="L417" s="9" t="n"/>
      <c r="M417" s="10" t="inlineStr">
        <is>
          <t>学校の募集要項に「代表」と記載。中高共通</t>
        </is>
      </c>
      <c r="N417" s="11" t="inlineStr">
        <is>
          <t>https://www.johoku.ac.jp/media/47118 ; https://www.seikatubunka.metro.tokyo.lg.jp/documents/d/seikatubunka/07high_zennichi_r61201</t>
        </is>
      </c>
      <c r="O417" s="12" t="inlineStr">
        <is>
          <t>開く</t>
        </is>
      </c>
    </row>
    <row r="418">
      <c r="A418" s="4" t="n">
        <v>414</v>
      </c>
      <c r="B418" s="5" t="inlineStr">
        <is>
          <t>東京都</t>
        </is>
      </c>
      <c r="C418" s="5" t="inlineStr">
        <is>
          <t>千代田区</t>
        </is>
      </c>
      <c r="D418" s="5" t="inlineStr">
        <is>
          <t>女子学院高等学校</t>
        </is>
      </c>
      <c r="E418" s="6" t="inlineStr">
        <is>
          <t>03-3263-1711</t>
        </is>
      </c>
      <c r="F418" s="7" t="inlineStr">
        <is>
          <t>高</t>
        </is>
      </c>
      <c r="G418" s="5" t="inlineStr">
        <is>
          <t>普通科</t>
        </is>
      </c>
      <c r="H418" s="8" t="n"/>
      <c r="I418" s="9" t="n"/>
      <c r="J418" s="9" t="inlineStr">
        <is>
          <t>未架電</t>
        </is>
      </c>
      <c r="K418" s="8" t="n"/>
      <c r="L418" s="9" t="n"/>
      <c r="M418" s="10" t="inlineStr">
        <is>
          <t>中高共通。高校募集なし（完全中高一貫）</t>
        </is>
      </c>
      <c r="N418" s="11" t="inlineStr">
        <is>
          <t>https://www.inter-edu.com/schools/school/59 ; https://school.js88.com/scl_j/31130011</t>
        </is>
      </c>
      <c r="O418" s="12" t="inlineStr">
        <is>
          <t>開く</t>
        </is>
      </c>
    </row>
    <row r="419">
      <c r="A419" s="4" t="n">
        <v>415</v>
      </c>
      <c r="B419" s="5" t="inlineStr">
        <is>
          <t>東京都</t>
        </is>
      </c>
      <c r="C419" s="5" t="inlineStr">
        <is>
          <t>杉並区</t>
        </is>
      </c>
      <c r="D419" s="5" t="inlineStr">
        <is>
          <t>女子美術大学付属高等学校</t>
        </is>
      </c>
      <c r="E419" s="6" t="inlineStr">
        <is>
          <t>03-5340-4541</t>
        </is>
      </c>
      <c r="F419" s="7" t="inlineStr">
        <is>
          <t>高</t>
        </is>
      </c>
      <c r="G419" s="5" t="inlineStr">
        <is>
          <t>普通科</t>
        </is>
      </c>
      <c r="H419" s="8" t="n"/>
      <c r="I419" s="9" t="n"/>
      <c r="J419" s="9" t="inlineStr">
        <is>
          <t>未架電</t>
        </is>
      </c>
      <c r="K419" s="8" t="n"/>
      <c r="L419" s="9" t="n"/>
      <c r="M419" s="10" t="inlineStr">
        <is>
          <t>中高共通</t>
        </is>
      </c>
      <c r="N419" s="11" t="inlineStr">
        <is>
          <t>https://www.seikatubunka.metro.tokyo.lg.jp/documents/d/seikatubunka/07high_zennichi_r61201 ; https://www.inter-edu.com/schools/school/2065</t>
        </is>
      </c>
      <c r="O419" s="12" t="inlineStr">
        <is>
          <t>開く</t>
        </is>
      </c>
    </row>
    <row r="420">
      <c r="A420" s="4" t="n">
        <v>416</v>
      </c>
      <c r="B420" s="5" t="inlineStr">
        <is>
          <t>東京都</t>
        </is>
      </c>
      <c r="C420" s="5" t="inlineStr">
        <is>
          <t>豊島区</t>
        </is>
      </c>
      <c r="D420" s="5" t="inlineStr">
        <is>
          <t>巣鴨高等学校</t>
        </is>
      </c>
      <c r="E420" s="6" t="inlineStr">
        <is>
          <t>03-3918-5311</t>
        </is>
      </c>
      <c r="F420" s="7" t="inlineStr">
        <is>
          <t>高</t>
        </is>
      </c>
      <c r="G420" s="5" t="inlineStr">
        <is>
          <t>普通科</t>
        </is>
      </c>
      <c r="H420" s="8" t="n"/>
      <c r="I420" s="9" t="n"/>
      <c r="J420" s="9" t="inlineStr">
        <is>
          <t>未架電</t>
        </is>
      </c>
      <c r="K420" s="8" t="n"/>
      <c r="L420" s="9" t="n"/>
      <c r="M420" s="10" t="inlineStr">
        <is>
          <t>中高共通。複数サイトで一致</t>
        </is>
      </c>
      <c r="N420" s="11" t="inlineStr">
        <is>
          <t>https://www.inter-edu.com/schools/school/1945</t>
        </is>
      </c>
      <c r="O420" s="12" t="inlineStr">
        <is>
          <t>開く</t>
        </is>
      </c>
    </row>
    <row r="421">
      <c r="A421" s="4" t="n">
        <v>417</v>
      </c>
      <c r="B421" s="5" t="inlineStr">
        <is>
          <t>東京都</t>
        </is>
      </c>
      <c r="C421" s="5" t="inlineStr">
        <is>
          <t>杉並区</t>
        </is>
      </c>
      <c r="D421" s="5" t="inlineStr">
        <is>
          <t>杉並学院高等学校</t>
        </is>
      </c>
      <c r="E421" s="6" t="inlineStr">
        <is>
          <t>03-3316-3311</t>
        </is>
      </c>
      <c r="F421" s="7" t="inlineStr">
        <is>
          <t>高</t>
        </is>
      </c>
      <c r="G421" s="5" t="inlineStr">
        <is>
          <t>普通科</t>
        </is>
      </c>
      <c r="H421" s="8" t="n"/>
      <c r="I421" s="9" t="n"/>
      <c r="J421" s="9" t="inlineStr">
        <is>
          <t>未架電</t>
        </is>
      </c>
      <c r="K421" s="8" t="n"/>
      <c r="L421" s="9" t="n"/>
      <c r="M421" s="10" t="inlineStr">
        <is>
          <t>杉並区の一覧ほかで一致</t>
        </is>
      </c>
      <c r="N421" s="11" t="inlineStr">
        <is>
          <t>https://www.inter-edu.com/schools/school/1019 ; https://www.city.suginami.tokyo.jp/kusei/gaiyou/shisetsu/genre/school/shiritsukoukou/index.html</t>
        </is>
      </c>
      <c r="O421" s="12" t="inlineStr">
        <is>
          <t>開く</t>
        </is>
      </c>
    </row>
    <row r="422">
      <c r="A422" s="4" t="n">
        <v>418</v>
      </c>
      <c r="B422" s="5" t="inlineStr">
        <is>
          <t>東京都</t>
        </is>
      </c>
      <c r="C422" s="5" t="inlineStr">
        <is>
          <t>北区</t>
        </is>
      </c>
      <c r="D422" s="5" t="inlineStr">
        <is>
          <t>駿台学園高等学校</t>
        </is>
      </c>
      <c r="E422" s="6" t="inlineStr">
        <is>
          <t>03-3913-5735</t>
        </is>
      </c>
      <c r="F422" s="7" t="inlineStr">
        <is>
          <t>高</t>
        </is>
      </c>
      <c r="G422" s="5" t="inlineStr">
        <is>
          <t>普通科</t>
        </is>
      </c>
      <c r="H422" s="8" t="n"/>
      <c r="I422" s="9" t="n"/>
      <c r="J422" s="9" t="inlineStr">
        <is>
          <t>未架電</t>
        </is>
      </c>
      <c r="K422" s="8" t="n"/>
      <c r="L422" s="9" t="n"/>
      <c r="M422" s="10" t="inlineStr">
        <is>
          <t>全日制の代表。定時制は03-3914-5849</t>
        </is>
      </c>
      <c r="N422" s="11" t="inlineStr">
        <is>
          <t>https://www.inter-edu.com/schools/school/2104 ; https://school.js88.com/scl_h/22038710</t>
        </is>
      </c>
      <c r="O422" s="12" t="inlineStr">
        <is>
          <t>開く</t>
        </is>
      </c>
    </row>
    <row r="423">
      <c r="A423" s="4" t="n">
        <v>419</v>
      </c>
      <c r="B423" s="5" t="inlineStr">
        <is>
          <t>東京都</t>
        </is>
      </c>
      <c r="C423" s="5" t="inlineStr">
        <is>
          <t>北区</t>
        </is>
      </c>
      <c r="D423" s="5" t="inlineStr">
        <is>
          <t>聖学院高等学校</t>
        </is>
      </c>
      <c r="E423" s="6" t="inlineStr">
        <is>
          <t>03-3917-1121</t>
        </is>
      </c>
      <c r="F423" s="7" t="inlineStr">
        <is>
          <t>高</t>
        </is>
      </c>
      <c r="G423" s="5" t="inlineStr">
        <is>
          <t>普通科</t>
        </is>
      </c>
      <c r="H423" s="8" t="n"/>
      <c r="I423" s="9" t="n"/>
      <c r="J423" s="9" t="inlineStr">
        <is>
          <t>未架電</t>
        </is>
      </c>
      <c r="K423" s="8" t="n"/>
      <c r="L423" s="9" t="n"/>
      <c r="M423" s="10" t="inlineStr">
        <is>
          <t>中高共通。複数サイトで一致</t>
        </is>
      </c>
      <c r="N423" s="11" t="inlineStr">
        <is>
          <t>https://www.inter-edu.com/schools/school/1946</t>
        </is>
      </c>
      <c r="O423" s="12" t="inlineStr">
        <is>
          <t>開く</t>
        </is>
      </c>
    </row>
    <row r="424">
      <c r="A424" s="4" t="n">
        <v>420</v>
      </c>
      <c r="B424" s="5" t="inlineStr">
        <is>
          <t>東京都</t>
        </is>
      </c>
      <c r="C424" s="5" t="inlineStr">
        <is>
          <t>武蔵野市</t>
        </is>
      </c>
      <c r="D424" s="5" t="inlineStr">
        <is>
          <t>成蹊高等学校</t>
        </is>
      </c>
      <c r="E424" s="6" t="inlineStr">
        <is>
          <t>0422-37-3818</t>
        </is>
      </c>
      <c r="F424" s="7" t="inlineStr">
        <is>
          <t>高</t>
        </is>
      </c>
      <c r="G424" s="5" t="inlineStr">
        <is>
          <t>普通科</t>
        </is>
      </c>
      <c r="H424" s="8" t="n"/>
      <c r="I424" s="9" t="n"/>
      <c r="J424" s="9" t="inlineStr">
        <is>
          <t>未架電</t>
        </is>
      </c>
      <c r="K424" s="8" t="n"/>
      <c r="L424" s="9" t="n"/>
      <c r="M424" s="10" t="inlineStr">
        <is>
          <t>中高共通</t>
        </is>
      </c>
      <c r="N424" s="11" t="inlineStr">
        <is>
          <t>https://www.inter-edu.com/schools/school/1997 ; https://www.minkou.jp/junior/school/8075/</t>
        </is>
      </c>
      <c r="O424" s="12" t="inlineStr">
        <is>
          <t>開く</t>
        </is>
      </c>
    </row>
    <row r="425">
      <c r="A425" s="4" t="n">
        <v>421</v>
      </c>
      <c r="B425" s="5" t="inlineStr">
        <is>
          <t>東京都</t>
        </is>
      </c>
      <c r="C425" s="5" t="inlineStr">
        <is>
          <t>港区</t>
        </is>
      </c>
      <c r="D425" s="5" t="inlineStr">
        <is>
          <t>聖心女子学院高等科</t>
        </is>
      </c>
      <c r="E425" s="6" t="inlineStr">
        <is>
          <t>03-3444-7671</t>
        </is>
      </c>
      <c r="F425" s="7" t="inlineStr">
        <is>
          <t>高</t>
        </is>
      </c>
      <c r="G425" s="5" t="inlineStr">
        <is>
          <t>普通科</t>
        </is>
      </c>
      <c r="H425" s="8" t="n"/>
      <c r="I425" s="9" t="n"/>
      <c r="J425" s="9" t="inlineStr">
        <is>
          <t>未架電</t>
        </is>
      </c>
      <c r="K425" s="8" t="n"/>
      <c r="L425" s="9" t="n"/>
      <c r="M425" s="10" t="inlineStr">
        <is>
          <t>初等科〜高等科共通の代表番号。高校募集なし</t>
        </is>
      </c>
      <c r="N425" s="11" t="inlineStr">
        <is>
          <t>https://www.minkou.jp/hischool/school/2433/</t>
        </is>
      </c>
      <c r="O425" s="12" t="inlineStr">
        <is>
          <t>開く</t>
        </is>
      </c>
    </row>
    <row r="426">
      <c r="A426" s="4" t="n">
        <v>422</v>
      </c>
      <c r="B426" s="5" t="inlineStr">
        <is>
          <t>東京都</t>
        </is>
      </c>
      <c r="C426" s="5" t="inlineStr">
        <is>
          <t>世田谷区</t>
        </is>
      </c>
      <c r="D426" s="5" t="inlineStr">
        <is>
          <t>成城学園高等学校</t>
        </is>
      </c>
      <c r="E426" s="6" t="inlineStr">
        <is>
          <t>03-3482-2104</t>
        </is>
      </c>
      <c r="F426" s="13" t="inlineStr">
        <is>
          <t>中</t>
        </is>
      </c>
      <c r="G426" s="5" t="inlineStr">
        <is>
          <t>普通科</t>
        </is>
      </c>
      <c r="H426" s="8" t="n"/>
      <c r="I426" s="9" t="n"/>
      <c r="J426" s="9" t="inlineStr">
        <is>
          <t>未架電</t>
        </is>
      </c>
      <c r="K426" s="8" t="n"/>
      <c r="L426" s="9" t="n"/>
      <c r="M426" s="10" t="inlineStr">
        <is>
          <t>公式の中学校高等学校事務室の番号（検索要約による）。03-3482-2105を載せるサイトもあり。成城高校（新宿区）とは別の学校</t>
        </is>
      </c>
      <c r="N426" s="11" t="inlineStr">
        <is>
          <t>https://www.seijogakuen.ed.jp/chukou/info/</t>
        </is>
      </c>
      <c r="O426" s="12" t="inlineStr">
        <is>
          <t>開く</t>
        </is>
      </c>
    </row>
    <row r="427">
      <c r="A427" s="4" t="n">
        <v>423</v>
      </c>
      <c r="B427" s="5" t="inlineStr">
        <is>
          <t>東京都</t>
        </is>
      </c>
      <c r="C427" s="5" t="inlineStr">
        <is>
          <t>新宿区</t>
        </is>
      </c>
      <c r="D427" s="5" t="inlineStr">
        <is>
          <t>成城高等学校</t>
        </is>
      </c>
      <c r="E427" s="6" t="inlineStr">
        <is>
          <t>03-3341-6141</t>
        </is>
      </c>
      <c r="F427" s="7" t="inlineStr">
        <is>
          <t>高</t>
        </is>
      </c>
      <c r="G427" s="5" t="inlineStr">
        <is>
          <t>普通科</t>
        </is>
      </c>
      <c r="H427" s="8" t="n"/>
      <c r="I427" s="9" t="n"/>
      <c r="J427" s="9" t="inlineStr">
        <is>
          <t>未架電</t>
        </is>
      </c>
      <c r="K427" s="8" t="n"/>
      <c r="L427" s="9" t="n"/>
      <c r="M427" s="10" t="inlineStr">
        <is>
          <t>中高共通。成城学園とは別の学校。高校募集停止（完全中高一貫）との情報あり</t>
        </is>
      </c>
      <c r="N427" s="11" t="inlineStr">
        <is>
          <t>https://www.inter-edu.com/schools/school/16 ; https://map.yahoo.co.jp/v3/place/M-_odyJ2xIg</t>
        </is>
      </c>
      <c r="O427" s="12" t="inlineStr">
        <is>
          <t>開く</t>
        </is>
      </c>
    </row>
    <row r="428">
      <c r="A428" s="4" t="n">
        <v>424</v>
      </c>
      <c r="B428" s="5" t="inlineStr">
        <is>
          <t>東京都</t>
        </is>
      </c>
      <c r="C428" s="5" t="inlineStr">
        <is>
          <t>新宿区</t>
        </is>
      </c>
      <c r="D428" s="5" t="inlineStr">
        <is>
          <t>成女高等学校</t>
        </is>
      </c>
      <c r="E428" s="6" t="inlineStr">
        <is>
          <t>03-3351-2330</t>
        </is>
      </c>
      <c r="F428" s="7" t="inlineStr">
        <is>
          <t>高</t>
        </is>
      </c>
      <c r="G428" s="5" t="inlineStr">
        <is>
          <t>普通科</t>
        </is>
      </c>
      <c r="H428" s="8" t="n"/>
      <c r="I428" s="9" t="n"/>
      <c r="J428" s="9" t="inlineStr">
        <is>
          <t>未架電</t>
        </is>
      </c>
      <c r="K428" s="8" t="n"/>
      <c r="L428" s="9" t="n"/>
      <c r="M428" s="10" t="inlineStr">
        <is>
          <t>東京都の私立高校一覧ほかで一致</t>
        </is>
      </c>
      <c r="N428" s="11" t="inlineStr">
        <is>
          <t>https://www.seikatubunka.metro.tokyo.lg.jp/documents/d/seikatubunka/07high_zennichi_r61201 ; https://school.js88.com/scl_h/22038270/</t>
        </is>
      </c>
      <c r="O428" s="12" t="inlineStr">
        <is>
          <t>開く</t>
        </is>
      </c>
    </row>
    <row r="429">
      <c r="A429" s="4" t="n">
        <v>425</v>
      </c>
      <c r="B429" s="5" t="inlineStr">
        <is>
          <t>東京都</t>
        </is>
      </c>
      <c r="C429" s="5" t="inlineStr">
        <is>
          <t>千代田区</t>
        </is>
      </c>
      <c r="D429" s="5" t="inlineStr">
        <is>
          <t>正則学園高等学校</t>
        </is>
      </c>
      <c r="E429" s="6" t="inlineStr">
        <is>
          <t>03-3295-3011</t>
        </is>
      </c>
      <c r="F429" s="7" t="inlineStr">
        <is>
          <t>高</t>
        </is>
      </c>
      <c r="G429" s="5" t="inlineStr">
        <is>
          <t>普通科</t>
        </is>
      </c>
      <c r="H429" s="8" t="n"/>
      <c r="I429" s="9" t="n"/>
      <c r="J429" s="9" t="inlineStr">
        <is>
          <t>未架電</t>
        </is>
      </c>
      <c r="K429" s="8" t="n"/>
      <c r="L429" s="9" t="n"/>
      <c r="M429" s="10" t="inlineStr">
        <is>
          <t>千代田区の学校。正則高校（港区）とは別の学校</t>
        </is>
      </c>
      <c r="N429" s="11" t="inlineStr">
        <is>
          <t>https://www.inter-edu.com/schools/school/995 ; https://school.js88.com/scl_h/22037990?page=5</t>
        </is>
      </c>
      <c r="O429" s="12" t="inlineStr">
        <is>
          <t>開く</t>
        </is>
      </c>
    </row>
    <row r="430">
      <c r="A430" s="4" t="n">
        <v>426</v>
      </c>
      <c r="B430" s="5" t="inlineStr">
        <is>
          <t>東京都</t>
        </is>
      </c>
      <c r="C430" s="5" t="inlineStr">
        <is>
          <t>港区</t>
        </is>
      </c>
      <c r="D430" s="5" t="inlineStr">
        <is>
          <t>正則高等学校</t>
        </is>
      </c>
      <c r="E430" s="6" t="inlineStr">
        <is>
          <t>03-3431-0913</t>
        </is>
      </c>
      <c r="F430" s="7" t="inlineStr">
        <is>
          <t>高</t>
        </is>
      </c>
      <c r="G430" s="5" t="inlineStr">
        <is>
          <t>普通科</t>
        </is>
      </c>
      <c r="H430" s="8" t="n"/>
      <c r="I430" s="9" t="n"/>
      <c r="J430" s="9" t="inlineStr">
        <is>
          <t>未架電</t>
        </is>
      </c>
      <c r="K430" s="8" t="n"/>
      <c r="L430" s="9" t="n"/>
      <c r="M430" s="10" t="inlineStr">
        <is>
          <t>港区の学校。正則学園（千代田区）とは別の学校</t>
        </is>
      </c>
      <c r="N430" s="11" t="inlineStr">
        <is>
          <t>https://www.inter-edu.com/schools/school/1020 ; https://univpress.co.jp/gk_pdf/13529.pdf</t>
        </is>
      </c>
      <c r="O430" s="12" t="inlineStr">
        <is>
          <t>開く</t>
        </is>
      </c>
    </row>
    <row r="431">
      <c r="A431" s="4" t="n">
        <v>427</v>
      </c>
      <c r="B431" s="5" t="inlineStr">
        <is>
          <t>東京都</t>
        </is>
      </c>
      <c r="C431" s="5" t="inlineStr">
        <is>
          <t>世田谷区</t>
        </is>
      </c>
      <c r="D431" s="5" t="inlineStr">
        <is>
          <t>聖ドミニコ学園高等学校</t>
        </is>
      </c>
      <c r="E431" s="6" t="inlineStr">
        <is>
          <t>03-3700-0017</t>
        </is>
      </c>
      <c r="F431" s="7" t="inlineStr">
        <is>
          <t>高</t>
        </is>
      </c>
      <c r="G431" s="5" t="inlineStr">
        <is>
          <t>普通科</t>
        </is>
      </c>
      <c r="H431" s="8" t="n"/>
      <c r="I431" s="9" t="n"/>
      <c r="J431" s="9" t="inlineStr">
        <is>
          <t>未架電</t>
        </is>
      </c>
      <c r="K431" s="8" t="n"/>
      <c r="L431" s="9" t="n"/>
      <c r="M431" s="10" t="inlineStr">
        <is>
          <t>学園事務局の番号（学園共通の代表とみられる）</t>
        </is>
      </c>
      <c r="N431" s="11" t="inlineStr">
        <is>
          <t>https://www.inter-edu.com/schools/school/235 ; https://school.js88.com/scl_h/22039270</t>
        </is>
      </c>
      <c r="O431" s="12" t="inlineStr">
        <is>
          <t>開く</t>
        </is>
      </c>
    </row>
    <row r="432">
      <c r="A432" s="4" t="n">
        <v>428</v>
      </c>
      <c r="B432" s="5" t="inlineStr">
        <is>
          <t>東京都</t>
        </is>
      </c>
      <c r="C432" s="5" t="inlineStr">
        <is>
          <t>八王子市</t>
        </is>
      </c>
      <c r="D432" s="5" t="inlineStr">
        <is>
          <t>聖パウロ学園高等学校</t>
        </is>
      </c>
      <c r="E432" s="6" t="inlineStr">
        <is>
          <t>042-651-3893</t>
        </is>
      </c>
      <c r="F432" s="7" t="inlineStr">
        <is>
          <t>高</t>
        </is>
      </c>
      <c r="G432" s="5" t="inlineStr">
        <is>
          <t>普通科</t>
        </is>
      </c>
      <c r="H432" s="8" t="n"/>
      <c r="I432" s="9" t="n"/>
      <c r="J432" s="9" t="inlineStr">
        <is>
          <t>未架電</t>
        </is>
      </c>
      <c r="K432" s="8" t="n"/>
      <c r="L432" s="9" t="n"/>
      <c r="M432" s="10" t="inlineStr">
        <is>
          <t>全日制の番号。通信制は042-651-3882を案内する資料あり</t>
        </is>
      </c>
      <c r="N432" s="11" t="inlineStr">
        <is>
          <t>https://www.inter-edu.com/schools/school/620 ; https://univpress.co.jp/gk_pdf/13710.pdf</t>
        </is>
      </c>
      <c r="O432" s="12" t="inlineStr">
        <is>
          <t>開く</t>
        </is>
      </c>
    </row>
    <row r="433">
      <c r="A433" s="4" t="n">
        <v>429</v>
      </c>
      <c r="B433" s="5" t="inlineStr">
        <is>
          <t>東京都</t>
        </is>
      </c>
      <c r="C433" s="5" t="inlineStr">
        <is>
          <t>北区</t>
        </is>
      </c>
      <c r="D433" s="5" t="inlineStr">
        <is>
          <t>成立学園高等学校</t>
        </is>
      </c>
      <c r="E433" s="6" t="inlineStr">
        <is>
          <t>03-3902-5494</t>
        </is>
      </c>
      <c r="F433" s="7" t="inlineStr">
        <is>
          <t>高</t>
        </is>
      </c>
      <c r="G433" s="5" t="inlineStr">
        <is>
          <t>普通科</t>
        </is>
      </c>
      <c r="H433" s="8" t="n"/>
      <c r="I433" s="9" t="n"/>
      <c r="J433" s="9" t="inlineStr">
        <is>
          <t>未架電</t>
        </is>
      </c>
      <c r="K433" s="8" t="n"/>
      <c r="L433" s="9" t="n"/>
      <c r="M433" s="10" t="inlineStr">
        <is>
          <t>学校の公式資料に代表として記載。中高共通</t>
        </is>
      </c>
      <c r="N433" s="11" t="inlineStr">
        <is>
          <t>https://www.inter-edu.com/schools/school/2087</t>
        </is>
      </c>
      <c r="O433" s="12" t="inlineStr">
        <is>
          <t>開く</t>
        </is>
      </c>
    </row>
    <row r="434">
      <c r="A434" s="4" t="n">
        <v>430</v>
      </c>
      <c r="B434" s="5" t="inlineStr">
        <is>
          <t>東京都</t>
        </is>
      </c>
      <c r="C434" s="5" t="inlineStr">
        <is>
          <t>品川区</t>
        </is>
      </c>
      <c r="D434" s="5" t="inlineStr">
        <is>
          <t>青稜高等学校</t>
        </is>
      </c>
      <c r="E434" s="6" t="inlineStr">
        <is>
          <t>03-3782-1502</t>
        </is>
      </c>
      <c r="F434" s="7" t="inlineStr">
        <is>
          <t>高</t>
        </is>
      </c>
      <c r="G434" s="5" t="inlineStr">
        <is>
          <t>普通科</t>
        </is>
      </c>
      <c r="H434" s="8" t="n"/>
      <c r="I434" s="9" t="n"/>
      <c r="J434" s="9" t="inlineStr">
        <is>
          <t>未架電</t>
        </is>
      </c>
      <c r="K434" s="8" t="n"/>
      <c r="L434" s="9" t="n"/>
      <c r="M434" s="10" t="inlineStr">
        <is>
          <t>中高共通</t>
        </is>
      </c>
      <c r="N434" s="11" t="inlineStr">
        <is>
          <t>https://www.inter-edu.com/schools/school/2000 ; https://school.js88.com/scl_h/22038940</t>
        </is>
      </c>
      <c r="O434" s="12" t="inlineStr">
        <is>
          <t>開く</t>
        </is>
      </c>
    </row>
    <row r="435">
      <c r="A435" s="4" t="n">
        <v>431</v>
      </c>
      <c r="B435" s="5" t="inlineStr">
        <is>
          <t>東京都</t>
        </is>
      </c>
      <c r="C435" s="5" t="inlineStr">
        <is>
          <t>世田谷区</t>
        </is>
      </c>
      <c r="D435" s="5" t="inlineStr">
        <is>
          <t>世田谷学園高等学校</t>
        </is>
      </c>
      <c r="E435" s="6" t="inlineStr">
        <is>
          <t>03-3411-8661</t>
        </is>
      </c>
      <c r="F435" s="7" t="inlineStr">
        <is>
          <t>高</t>
        </is>
      </c>
      <c r="G435" s="5" t="inlineStr">
        <is>
          <t>普通科</t>
        </is>
      </c>
      <c r="H435" s="8" t="n"/>
      <c r="I435" s="9" t="n"/>
      <c r="J435" s="9" t="inlineStr">
        <is>
          <t>未架電</t>
        </is>
      </c>
      <c r="K435" s="8" t="n"/>
      <c r="L435" s="9" t="n"/>
      <c r="M435" s="10" t="inlineStr">
        <is>
          <t>中高共通</t>
        </is>
      </c>
      <c r="N435" s="11" t="inlineStr">
        <is>
          <t>https://www.inter-edu.com/schools/school/80 ; https://www.univpress.co.jp/gk_pdf/13649.pdf</t>
        </is>
      </c>
      <c r="O435" s="12" t="inlineStr">
        <is>
          <t>開く</t>
        </is>
      </c>
    </row>
    <row r="436">
      <c r="A436" s="4" t="n">
        <v>432</v>
      </c>
      <c r="B436" s="5" t="inlineStr">
        <is>
          <t>東京都</t>
        </is>
      </c>
      <c r="C436" s="5" t="inlineStr">
        <is>
          <t>杉並区</t>
        </is>
      </c>
      <c r="D436" s="5" t="inlineStr">
        <is>
          <t>専修大学附属高等学校</t>
        </is>
      </c>
      <c r="E436" s="6" t="inlineStr">
        <is>
          <t>03-3322-7171</t>
        </is>
      </c>
      <c r="F436" s="13" t="inlineStr">
        <is>
          <t>中</t>
        </is>
      </c>
      <c r="G436" s="5" t="inlineStr">
        <is>
          <t>普通科</t>
        </is>
      </c>
      <c r="H436" s="8" t="n"/>
      <c r="I436" s="9" t="n"/>
      <c r="J436" s="9" t="inlineStr">
        <is>
          <t>未架電</t>
        </is>
      </c>
      <c r="K436" s="8" t="n"/>
      <c r="L436" s="9" t="n"/>
      <c r="M436" s="10" t="inlineStr">
        <is>
          <t>学校情報サイトのみで確認</t>
        </is>
      </c>
      <c r="N436" s="11" t="inlineStr">
        <is>
          <t>https://school.js88.com/scl_h/22039570?page=5</t>
        </is>
      </c>
      <c r="O436" s="12" t="inlineStr">
        <is>
          <t>開く</t>
        </is>
      </c>
    </row>
    <row r="437">
      <c r="A437" s="4" t="n">
        <v>433</v>
      </c>
      <c r="B437" s="5" t="inlineStr">
        <is>
          <t>東京都</t>
        </is>
      </c>
      <c r="C437" s="5" t="inlineStr">
        <is>
          <t>小平市</t>
        </is>
      </c>
      <c r="D437" s="5" t="inlineStr">
        <is>
          <t>創価高等学校</t>
        </is>
      </c>
      <c r="E437" s="6" t="inlineStr">
        <is>
          <t>042-342-2611</t>
        </is>
      </c>
      <c r="F437" s="7" t="inlineStr">
        <is>
          <t>高</t>
        </is>
      </c>
      <c r="G437" s="5" t="inlineStr">
        <is>
          <t>普通科</t>
        </is>
      </c>
      <c r="H437" s="8" t="n"/>
      <c r="I437" s="9" t="n"/>
      <c r="J437" s="9" t="inlineStr">
        <is>
          <t>未架電</t>
        </is>
      </c>
      <c r="K437" s="8" t="n"/>
      <c r="L437" s="9" t="n"/>
      <c r="M437" s="10" t="inlineStr">
        <is>
          <t>2つの情報源で一致。042-341-2611は中学校の番号なので注意</t>
        </is>
      </c>
      <c r="N437" s="11" t="inlineStr">
        <is>
          <t>https://www.univpress.Co.jp/gk_pdf/13722.pdf ; https://map.yahoo.co.jp/v3/place/6edwbApzAAk</t>
        </is>
      </c>
      <c r="O437" s="12" t="inlineStr">
        <is>
          <t>開く</t>
        </is>
      </c>
    </row>
    <row r="438">
      <c r="A438" s="4" t="n">
        <v>434</v>
      </c>
      <c r="B438" s="5" t="inlineStr">
        <is>
          <t>東京都</t>
        </is>
      </c>
      <c r="C438" s="5" t="inlineStr">
        <is>
          <t>三鷹市</t>
        </is>
      </c>
      <c r="D438" s="5" t="inlineStr">
        <is>
          <t>大成高等学校（東京都）</t>
        </is>
      </c>
      <c r="E438" s="6" t="inlineStr">
        <is>
          <t>0422-43-3196</t>
        </is>
      </c>
      <c r="F438" s="13" t="inlineStr">
        <is>
          <t>中</t>
        </is>
      </c>
      <c r="G438" s="5" t="inlineStr">
        <is>
          <t>普通科</t>
        </is>
      </c>
      <c r="H438" s="8" t="n"/>
      <c r="I438" s="9" t="n"/>
      <c r="J438" s="9" t="inlineStr">
        <is>
          <t>未架電</t>
        </is>
      </c>
      <c r="K438" s="8" t="n"/>
      <c r="L438" s="9" t="n"/>
      <c r="M438" s="10" t="inlineStr">
        <is>
          <t>学校情報サイト1件のみで確認</t>
        </is>
      </c>
      <c r="N438" s="11" t="inlineStr">
        <is>
          <t>https://www.inter-edu.com/schools/school/626</t>
        </is>
      </c>
      <c r="O438" s="12" t="inlineStr">
        <is>
          <t>開く</t>
        </is>
      </c>
    </row>
    <row r="439">
      <c r="A439" s="4" t="n">
        <v>435</v>
      </c>
      <c r="B439" s="5" t="inlineStr">
        <is>
          <t>東京都</t>
        </is>
      </c>
      <c r="C439" s="5" t="inlineStr">
        <is>
          <t>港区</t>
        </is>
      </c>
      <c r="D439" s="5" t="inlineStr">
        <is>
          <t>高輪高等学校</t>
        </is>
      </c>
      <c r="E439" s="6" t="inlineStr">
        <is>
          <t>03-3441-7201</t>
        </is>
      </c>
      <c r="F439" s="7" t="inlineStr">
        <is>
          <t>高</t>
        </is>
      </c>
      <c r="G439" s="5" t="inlineStr">
        <is>
          <t>普通科</t>
        </is>
      </c>
      <c r="H439" s="8" t="n"/>
      <c r="I439" s="9" t="n"/>
      <c r="J439" s="9" t="inlineStr">
        <is>
          <t>未架電</t>
        </is>
      </c>
      <c r="K439" s="8" t="n"/>
      <c r="L439" s="9" t="n"/>
      <c r="M439" s="10" t="inlineStr">
        <is>
          <t>中高共通。高校募集なし（完全中高一貫）</t>
        </is>
      </c>
      <c r="N439" s="11" t="inlineStr">
        <is>
          <t>https://www.minkou.jp/junior/school/7509/</t>
        </is>
      </c>
      <c r="O439" s="12" t="inlineStr">
        <is>
          <t>開く</t>
        </is>
      </c>
    </row>
    <row r="440">
      <c r="A440" s="4" t="n">
        <v>436</v>
      </c>
      <c r="B440" s="5" t="inlineStr">
        <is>
          <t>東京都</t>
        </is>
      </c>
      <c r="C440" s="5" t="inlineStr">
        <is>
          <t>北区</t>
        </is>
      </c>
      <c r="D440" s="5" t="inlineStr">
        <is>
          <t>瀧野川女子学園高等学校</t>
        </is>
      </c>
      <c r="E440" s="6" t="inlineStr">
        <is>
          <t>03-3910-6315</t>
        </is>
      </c>
      <c r="F440" s="13" t="inlineStr">
        <is>
          <t>中</t>
        </is>
      </c>
      <c r="G440" s="5" t="inlineStr">
        <is>
          <t>普通科</t>
        </is>
      </c>
      <c r="H440" s="8" t="n"/>
      <c r="I440" s="9" t="n"/>
      <c r="J440" s="9" t="inlineStr">
        <is>
          <t>未架電</t>
        </is>
      </c>
      <c r="K440" s="8" t="n"/>
      <c r="L440" s="9" t="n"/>
      <c r="M440" s="10" t="inlineStr">
        <is>
          <t>学校情報サイト1件のみで確認</t>
        </is>
      </c>
      <c r="N440" s="11" t="inlineStr">
        <is>
          <t>https://www.inter-edu.com/schools/school/1926</t>
        </is>
      </c>
      <c r="O440" s="12" t="inlineStr">
        <is>
          <t>開く</t>
        </is>
      </c>
    </row>
    <row r="441">
      <c r="A441" s="4" t="n">
        <v>437</v>
      </c>
      <c r="B441" s="5" t="inlineStr">
        <is>
          <t>東京都</t>
        </is>
      </c>
      <c r="C441" s="5" t="inlineStr">
        <is>
          <t>武蔵村山市</t>
        </is>
      </c>
      <c r="D441" s="5" t="inlineStr">
        <is>
          <t>拓殖大学第一高等学校</t>
        </is>
      </c>
      <c r="E441" s="6" t="inlineStr">
        <is>
          <t>042-590-3311</t>
        </is>
      </c>
      <c r="F441" s="13" t="inlineStr">
        <is>
          <t>中</t>
        </is>
      </c>
      <c r="G441" s="5" t="inlineStr">
        <is>
          <t>普通科</t>
        </is>
      </c>
      <c r="H441" s="8" t="n"/>
      <c r="I441" s="9" t="n"/>
      <c r="J441" s="9" t="inlineStr">
        <is>
          <t>未架電</t>
        </is>
      </c>
      <c r="K441" s="8" t="n"/>
      <c r="L441" s="9" t="n"/>
      <c r="M441" s="10" t="inlineStr">
        <is>
          <t>学校情報サイト1件のみで確認</t>
        </is>
      </c>
      <c r="N441" s="11" t="inlineStr">
        <is>
          <t>https://www.inter-edu.com/schools/school/546</t>
        </is>
      </c>
      <c r="O441" s="12" t="inlineStr">
        <is>
          <t>開く</t>
        </is>
      </c>
    </row>
    <row r="442">
      <c r="A442" s="4" t="n">
        <v>438</v>
      </c>
      <c r="B442" s="5" t="inlineStr">
        <is>
          <t>東京都</t>
        </is>
      </c>
      <c r="C442" s="5" t="inlineStr">
        <is>
          <t>立川市</t>
        </is>
      </c>
      <c r="D442" s="5" t="inlineStr">
        <is>
          <t>立川女子高等学校</t>
        </is>
      </c>
      <c r="E442" s="6" t="inlineStr">
        <is>
          <t>042-524-5188</t>
        </is>
      </c>
      <c r="F442" s="7" t="inlineStr">
        <is>
          <t>高</t>
        </is>
      </c>
      <c r="G442" s="5" t="inlineStr">
        <is>
          <t>普通科</t>
        </is>
      </c>
      <c r="H442" s="8" t="n"/>
      <c r="I442" s="9" t="n"/>
      <c r="J442" s="9" t="inlineStr">
        <is>
          <t>未架電</t>
        </is>
      </c>
      <c r="K442" s="8" t="n"/>
      <c r="L442" s="9" t="n"/>
      <c r="M442" s="10" t="inlineStr">
        <is>
          <t>2つの情報源で一致。042-524-5288を載せるサイトは誤記とみられる</t>
        </is>
      </c>
      <c r="N442" s="11" t="inlineStr">
        <is>
          <t>https://univpress.co.jp/gk_pdf/13716.pdf ; https://map.yahoo.co.jp/v3/place/yNs4D15xvU-</t>
        </is>
      </c>
      <c r="O442" s="12" t="inlineStr">
        <is>
          <t>開く</t>
        </is>
      </c>
    </row>
    <row r="443">
      <c r="A443" s="4" t="n">
        <v>439</v>
      </c>
      <c r="B443" s="5" t="inlineStr">
        <is>
          <t>東京都</t>
        </is>
      </c>
      <c r="C443" s="5" t="inlineStr">
        <is>
          <t>町田市</t>
        </is>
      </c>
      <c r="D443" s="5" t="inlineStr">
        <is>
          <t>玉川学園高等部</t>
        </is>
      </c>
      <c r="E443" s="6" t="inlineStr">
        <is>
          <t>042-739-8931</t>
        </is>
      </c>
      <c r="F443" s="7" t="inlineStr">
        <is>
          <t>高</t>
        </is>
      </c>
      <c r="G443" s="5" t="inlineStr">
        <is>
          <t>普通科</t>
        </is>
      </c>
      <c r="H443" s="8" t="n"/>
      <c r="I443" s="9" t="n"/>
      <c r="J443" s="9" t="inlineStr">
        <is>
          <t>未架電</t>
        </is>
      </c>
      <c r="K443" s="8" t="n"/>
      <c r="L443" s="9" t="n"/>
      <c r="M443" s="10" t="inlineStr">
        <is>
          <t>学園（K-12）共通の代表番号とみられる</t>
        </is>
      </c>
      <c r="N443" s="11" t="inlineStr">
        <is>
          <t>https://www.inter-edu.com/schools/school/2001 ; https://www.univpress.co.jp/wp-content/uploads/45tamagawagakuen-.pdf</t>
        </is>
      </c>
      <c r="O443" s="12" t="inlineStr">
        <is>
          <t>開く</t>
        </is>
      </c>
    </row>
    <row r="444">
      <c r="A444" s="4" t="n">
        <v>440</v>
      </c>
      <c r="B444" s="5" t="inlineStr">
        <is>
          <t>東京都</t>
        </is>
      </c>
      <c r="C444" s="5" t="inlineStr">
        <is>
          <t>世田谷区</t>
        </is>
      </c>
      <c r="D444" s="5" t="inlineStr">
        <is>
          <t>玉川聖学院高等部</t>
        </is>
      </c>
      <c r="E444" s="6" t="inlineStr">
        <is>
          <t>03-3702-4141</t>
        </is>
      </c>
      <c r="F444" s="7" t="inlineStr">
        <is>
          <t>高</t>
        </is>
      </c>
      <c r="G444" s="5" t="inlineStr">
        <is>
          <t>普通科</t>
        </is>
      </c>
      <c r="H444" s="8" t="n"/>
      <c r="I444" s="9" t="n"/>
      <c r="J444" s="9" t="inlineStr">
        <is>
          <t>未架電</t>
        </is>
      </c>
      <c r="K444" s="8" t="n"/>
      <c r="L444" s="9" t="n"/>
      <c r="M444" s="10" t="inlineStr">
        <is>
          <t>中高共通。複数サイトで一致</t>
        </is>
      </c>
      <c r="N444" s="11" t="inlineStr">
        <is>
          <t>https://www.inter-edu.com/schools/school/1972</t>
        </is>
      </c>
      <c r="O444" s="12" t="inlineStr">
        <is>
          <t>開く</t>
        </is>
      </c>
    </row>
    <row r="445">
      <c r="A445" s="4" t="n">
        <v>441</v>
      </c>
      <c r="B445" s="5" t="inlineStr">
        <is>
          <t>東京都</t>
        </is>
      </c>
      <c r="C445" s="5" t="inlineStr">
        <is>
          <t>多摩市</t>
        </is>
      </c>
      <c r="D445" s="5" t="inlineStr">
        <is>
          <t>多摩大学附属聖ヶ丘高等学校</t>
        </is>
      </c>
      <c r="E445" s="6" t="inlineStr">
        <is>
          <t>042-372-9393</t>
        </is>
      </c>
      <c r="F445" s="13" t="inlineStr">
        <is>
          <t>中</t>
        </is>
      </c>
      <c r="G445" s="5" t="inlineStr">
        <is>
          <t>普通科</t>
        </is>
      </c>
      <c r="H445" s="8" t="n"/>
      <c r="I445" s="9" t="n"/>
      <c r="J445" s="9" t="inlineStr">
        <is>
          <t>未架電</t>
        </is>
      </c>
      <c r="K445" s="8" t="n"/>
      <c r="L445" s="9" t="n"/>
      <c r="M445" s="10" t="inlineStr">
        <is>
          <t>中高共通。学校情報サイトのみで確認</t>
        </is>
      </c>
      <c r="N445" s="11" t="inlineStr">
        <is>
          <t>https://www.inter-edu.com/schools/school/1982</t>
        </is>
      </c>
      <c r="O445" s="12" t="inlineStr">
        <is>
          <t>開く</t>
        </is>
      </c>
    </row>
    <row r="446">
      <c r="A446" s="4" t="n">
        <v>442</v>
      </c>
      <c r="B446" s="5" t="inlineStr">
        <is>
          <t>東京都</t>
        </is>
      </c>
      <c r="C446" s="5" t="inlineStr">
        <is>
          <t>目黒区</t>
        </is>
      </c>
      <c r="D446" s="5" t="inlineStr">
        <is>
          <t>多摩大学目黒高等学校</t>
        </is>
      </c>
      <c r="E446" s="6" t="inlineStr">
        <is>
          <t>03-3714-2661</t>
        </is>
      </c>
      <c r="F446" s="7" t="inlineStr">
        <is>
          <t>高</t>
        </is>
      </c>
      <c r="G446" s="5" t="inlineStr">
        <is>
          <t>普通科</t>
        </is>
      </c>
      <c r="H446" s="8" t="n"/>
      <c r="I446" s="9" t="n"/>
      <c r="J446" s="9" t="inlineStr">
        <is>
          <t>未架電</t>
        </is>
      </c>
      <c r="K446" s="8" t="n"/>
      <c r="L446" s="9" t="n"/>
      <c r="M446" s="10" t="inlineStr">
        <is>
          <t>中高共通</t>
        </is>
      </c>
      <c r="N446" s="11" t="inlineStr">
        <is>
          <t>https://school.js88.com/scl_h/22039060?page=5 ; https://www.inter-edu.com/schools/school/2002</t>
        </is>
      </c>
      <c r="O446" s="12" t="inlineStr">
        <is>
          <t>開く</t>
        </is>
      </c>
    </row>
    <row r="447">
      <c r="A447" s="4" t="n">
        <v>443</v>
      </c>
      <c r="B447" s="5" t="inlineStr">
        <is>
          <t>東京都</t>
        </is>
      </c>
      <c r="C447" s="5" t="inlineStr">
        <is>
          <t>新宿区</t>
        </is>
      </c>
      <c r="D447" s="5" t="inlineStr">
        <is>
          <t>大智学園高等学校</t>
        </is>
      </c>
      <c r="E447" s="6" t="inlineStr">
        <is>
          <t>03-5925-2773</t>
        </is>
      </c>
      <c r="F447" s="13" t="inlineStr">
        <is>
          <t>中</t>
        </is>
      </c>
      <c r="G447" s="5" t="inlineStr">
        <is>
          <t>普通科</t>
        </is>
      </c>
      <c r="H447" s="8" t="n"/>
      <c r="I447" s="9" t="n"/>
      <c r="J447" s="9" t="inlineStr">
        <is>
          <t>未架電</t>
        </is>
      </c>
      <c r="K447" s="8" t="n"/>
      <c r="L447" s="9" t="n"/>
      <c r="M447" s="10" t="inlineStr">
        <is>
          <t>広域通信制。新宿校舎の番号（本校は福島県川内村）。学校の公式LINEで確認</t>
        </is>
      </c>
      <c r="N447" s="11" t="inlineStr">
        <is>
          <t>https://page.line.me/065bkmjx</t>
        </is>
      </c>
      <c r="O447" s="12" t="inlineStr">
        <is>
          <t>開く</t>
        </is>
      </c>
    </row>
    <row r="448">
      <c r="A448" s="4" t="n">
        <v>444</v>
      </c>
      <c r="B448" s="5" t="inlineStr">
        <is>
          <t>東京都</t>
        </is>
      </c>
      <c r="C448" s="5" t="inlineStr">
        <is>
          <t>世田谷区</t>
        </is>
      </c>
      <c r="D448" s="5" t="inlineStr">
        <is>
          <t>大東学園高等学校</t>
        </is>
      </c>
      <c r="E448" s="6" t="inlineStr">
        <is>
          <t>03-3483-1901</t>
        </is>
      </c>
      <c r="F448" s="7" t="inlineStr">
        <is>
          <t>高</t>
        </is>
      </c>
      <c r="G448" s="5" t="inlineStr">
        <is>
          <t>普通科</t>
        </is>
      </c>
      <c r="H448" s="8" t="n"/>
      <c r="I448" s="9" t="n"/>
      <c r="J448" s="9" t="inlineStr">
        <is>
          <t>未架電</t>
        </is>
      </c>
      <c r="K448" s="8" t="n"/>
      <c r="L448" s="9" t="n"/>
      <c r="M448" s="10" t="inlineStr">
        <is>
          <t>複数サイトで一致</t>
        </is>
      </c>
      <c r="N448" s="11" t="inlineStr">
        <is>
          <t>https://www.inter-edu.com/schools/school/1812 ; https://school.js88.com/scl_h/22039290</t>
        </is>
      </c>
      <c r="O448" s="12" t="inlineStr">
        <is>
          <t>開く</t>
        </is>
      </c>
    </row>
    <row r="449">
      <c r="A449" s="4" t="n">
        <v>445</v>
      </c>
      <c r="B449" s="5" t="inlineStr">
        <is>
          <t>東京都</t>
        </is>
      </c>
      <c r="C449" s="5" t="inlineStr">
        <is>
          <t>板橋区</t>
        </is>
      </c>
      <c r="D449" s="5" t="inlineStr">
        <is>
          <t>大東文化大学第一高等学校</t>
        </is>
      </c>
      <c r="E449" s="6" t="inlineStr">
        <is>
          <t>03-3935-1115</t>
        </is>
      </c>
      <c r="F449" s="13" t="inlineStr">
        <is>
          <t>中</t>
        </is>
      </c>
      <c r="G449" s="5" t="inlineStr">
        <is>
          <t>普通科</t>
        </is>
      </c>
      <c r="H449" s="8" t="n"/>
      <c r="I449" s="9" t="n"/>
      <c r="J449" s="9" t="inlineStr">
        <is>
          <t>未架電</t>
        </is>
      </c>
      <c r="K449" s="8" t="n"/>
      <c r="L449" s="9" t="n"/>
      <c r="M449" s="10" t="inlineStr">
        <is>
          <t>学校情報サイト1件のみで確認</t>
        </is>
      </c>
      <c r="N449" s="11" t="inlineStr">
        <is>
          <t>https://www.inter-edu.com/schools/school/547</t>
        </is>
      </c>
      <c r="O449" s="12" t="inlineStr">
        <is>
          <t>開く</t>
        </is>
      </c>
    </row>
    <row r="450">
      <c r="A450" s="4" t="n">
        <v>446</v>
      </c>
      <c r="B450" s="5" t="inlineStr">
        <is>
          <t>東京都</t>
        </is>
      </c>
      <c r="C450" s="5" t="inlineStr">
        <is>
          <t>江東区</t>
        </is>
      </c>
      <c r="D450" s="5" t="inlineStr">
        <is>
          <t>中央学院大学中央高等学校</t>
        </is>
      </c>
      <c r="E450" s="6" t="inlineStr">
        <is>
          <t>03-5836-7020</t>
        </is>
      </c>
      <c r="F450" s="7" t="inlineStr">
        <is>
          <t>高</t>
        </is>
      </c>
      <c r="G450" s="5" t="inlineStr">
        <is>
          <t>普通科・専門学科</t>
        </is>
      </c>
      <c r="H450" s="8" t="n"/>
      <c r="I450" s="9" t="n"/>
      <c r="J450" s="9" t="inlineStr">
        <is>
          <t>未架電</t>
        </is>
      </c>
      <c r="K450" s="8" t="n"/>
      <c r="L450" s="9" t="n"/>
      <c r="M450" s="10" t="inlineStr">
        <is>
          <t>代表として掲載</t>
        </is>
      </c>
      <c r="N450" s="11" t="inlineStr">
        <is>
          <t>https://school.js88.com/scl_h/22038080</t>
        </is>
      </c>
      <c r="O450" s="12" t="inlineStr">
        <is>
          <t>開く</t>
        </is>
      </c>
    </row>
    <row r="451">
      <c r="A451" s="4" t="n">
        <v>447</v>
      </c>
      <c r="B451" s="5" t="inlineStr">
        <is>
          <t>東京都</t>
        </is>
      </c>
      <c r="C451" s="5" t="inlineStr">
        <is>
          <t>文京区</t>
        </is>
      </c>
      <c r="D451" s="5" t="inlineStr">
        <is>
          <t>中央大学高等学校</t>
        </is>
      </c>
      <c r="E451" s="6" t="inlineStr">
        <is>
          <t>03-3814-5275</t>
        </is>
      </c>
      <c r="F451" s="7" t="inlineStr">
        <is>
          <t>高</t>
        </is>
      </c>
      <c r="G451" s="5" t="inlineStr">
        <is>
          <t>普通科</t>
        </is>
      </c>
      <c r="H451" s="8" t="n"/>
      <c r="I451" s="9" t="n"/>
      <c r="J451" s="9" t="inlineStr">
        <is>
          <t>未架電</t>
        </is>
      </c>
      <c r="K451" s="8" t="n"/>
      <c r="L451" s="9" t="n"/>
      <c r="M451" s="10" t="inlineStr">
        <is>
          <t>昼間定時制。東京都の定時制一覧と一致</t>
        </is>
      </c>
      <c r="N451" s="11" t="inlineStr">
        <is>
          <t>https://www.inter-edu.com/schools/school/628 ; https://www.seikatubunka.metro.tokyo.lg.jp/documents/d/seikatubunka/10high_teiji_r20401_01</t>
        </is>
      </c>
      <c r="O451" s="12" t="inlineStr">
        <is>
          <t>開く</t>
        </is>
      </c>
    </row>
    <row r="452">
      <c r="A452" s="4" t="n">
        <v>448</v>
      </c>
      <c r="B452" s="5" t="inlineStr">
        <is>
          <t>東京都</t>
        </is>
      </c>
      <c r="C452" s="5" t="inlineStr">
        <is>
          <t>杉並区</t>
        </is>
      </c>
      <c r="D452" s="5" t="inlineStr">
        <is>
          <t>中央大学杉並高等学校</t>
        </is>
      </c>
      <c r="E452" s="6" t="inlineStr">
        <is>
          <t>03-3390-3175</t>
        </is>
      </c>
      <c r="F452" s="13" t="inlineStr">
        <is>
          <t>中</t>
        </is>
      </c>
      <c r="G452" s="5" t="inlineStr">
        <is>
          <t>普通科</t>
        </is>
      </c>
      <c r="H452" s="8" t="n"/>
      <c r="I452" s="9" t="n"/>
      <c r="J452" s="9" t="inlineStr">
        <is>
          <t>未架電</t>
        </is>
      </c>
      <c r="K452" s="8" t="n"/>
      <c r="L452" s="9" t="n"/>
      <c r="M452" s="10" t="inlineStr">
        <is>
          <t>学校情報サイト1件のみで確認</t>
        </is>
      </c>
      <c r="N452" s="11" t="inlineStr">
        <is>
          <t>https://www.inter-edu.com/schools/school/629</t>
        </is>
      </c>
      <c r="O452" s="12" t="inlineStr">
        <is>
          <t>開く</t>
        </is>
      </c>
    </row>
    <row r="453">
      <c r="A453" s="4" t="n">
        <v>449</v>
      </c>
      <c r="B453" s="5" t="inlineStr">
        <is>
          <t>東京都</t>
        </is>
      </c>
      <c r="C453" s="5" t="inlineStr">
        <is>
          <t>小金井市</t>
        </is>
      </c>
      <c r="D453" s="5" t="inlineStr">
        <is>
          <t>中央大学附属高等学校</t>
        </is>
      </c>
      <c r="E453" s="6" t="inlineStr">
        <is>
          <t>042-381-5413</t>
        </is>
      </c>
      <c r="F453" s="7" t="inlineStr">
        <is>
          <t>高</t>
        </is>
      </c>
      <c r="G453" s="5" t="inlineStr">
        <is>
          <t>普通科</t>
        </is>
      </c>
      <c r="H453" s="8" t="n"/>
      <c r="I453" s="9" t="n"/>
      <c r="J453" s="9" t="inlineStr">
        <is>
          <t>未架電</t>
        </is>
      </c>
      <c r="K453" s="8" t="n"/>
      <c r="L453" s="9" t="n"/>
      <c r="M453" s="10" t="inlineStr">
        <is>
          <t>大学の公式資料と学校情報サイトで一致</t>
        </is>
      </c>
      <c r="N453" s="11" t="inlineStr">
        <is>
          <t>https://www.chuo-u.ac.jp/media/gaiyo/gaiyo26-27_54.pdf ; https://school.js88.com/scl_h/22040170?page=5</t>
        </is>
      </c>
      <c r="O453" s="12" t="inlineStr">
        <is>
          <t>開く</t>
        </is>
      </c>
    </row>
    <row r="454">
      <c r="A454" s="4" t="n">
        <v>450</v>
      </c>
      <c r="B454" s="5" t="inlineStr">
        <is>
          <t>東京都</t>
        </is>
      </c>
      <c r="C454" s="5" t="inlineStr">
        <is>
          <t>千代田区</t>
        </is>
      </c>
      <c r="D454" s="5" t="inlineStr">
        <is>
          <t>千代田高等学校</t>
        </is>
      </c>
      <c r="E454" s="6" t="inlineStr">
        <is>
          <t>03-3263-6551</t>
        </is>
      </c>
      <c r="F454" s="7" t="inlineStr">
        <is>
          <t>高</t>
        </is>
      </c>
      <c r="G454" s="5" t="inlineStr">
        <is>
          <t>普通科</t>
        </is>
      </c>
      <c r="H454" s="8" t="n"/>
      <c r="I454" s="9" t="n"/>
      <c r="J454" s="9" t="inlineStr">
        <is>
          <t>未架電</t>
        </is>
      </c>
      <c r="K454" s="8" t="n"/>
      <c r="L454" s="9" t="n"/>
      <c r="M454" s="10" t="inlineStr">
        <is>
          <t>旧 千代田女学園。中高共通</t>
        </is>
      </c>
      <c r="N454" s="11" t="inlineStr">
        <is>
          <t>https://www.inter-edu.com/schools/school/2072 ; https://univpress.co.jp/gk_pdf/13512.pdf</t>
        </is>
      </c>
      <c r="O454" s="12" t="inlineStr">
        <is>
          <t>開く</t>
        </is>
      </c>
    </row>
    <row r="455">
      <c r="A455" s="4" t="n">
        <v>451</v>
      </c>
      <c r="B455" s="5" t="inlineStr">
        <is>
          <t>東京都</t>
        </is>
      </c>
      <c r="C455" s="5" t="inlineStr">
        <is>
          <t>板橋区</t>
        </is>
      </c>
      <c r="D455" s="5" t="inlineStr">
        <is>
          <t>帝京高等学校</t>
        </is>
      </c>
      <c r="E455" s="6" t="inlineStr">
        <is>
          <t>03-3963-4711</t>
        </is>
      </c>
      <c r="F455" s="7" t="inlineStr">
        <is>
          <t>高</t>
        </is>
      </c>
      <c r="G455" s="5" t="inlineStr">
        <is>
          <t>普通科</t>
        </is>
      </c>
      <c r="H455" s="8" t="n"/>
      <c r="I455" s="9" t="n"/>
      <c r="J455" s="9" t="inlineStr">
        <is>
          <t>未架電</t>
        </is>
      </c>
      <c r="K455" s="8" t="n"/>
      <c r="L455" s="9" t="n"/>
      <c r="M455" s="10" t="inlineStr">
        <is>
          <t>代表として掲載。03-3963-6383を載せるサイトもあり（別の窓口か）</t>
        </is>
      </c>
      <c r="N455" s="11" t="inlineStr">
        <is>
          <t>https://school.js88.com/scl_h/22039800 ; https://www.minkou.jp/hischool/school/university/2732/</t>
        </is>
      </c>
      <c r="O455" s="12" t="inlineStr">
        <is>
          <t>開く</t>
        </is>
      </c>
    </row>
    <row r="456">
      <c r="A456" s="4" t="n">
        <v>452</v>
      </c>
      <c r="B456" s="5" t="inlineStr">
        <is>
          <t>東京都</t>
        </is>
      </c>
      <c r="C456" s="5" t="inlineStr">
        <is>
          <t>八王子市</t>
        </is>
      </c>
      <c r="D456" s="5" t="inlineStr">
        <is>
          <t>帝京大学高等学校</t>
        </is>
      </c>
      <c r="E456" s="6" t="inlineStr">
        <is>
          <t>042-676-9511</t>
        </is>
      </c>
      <c r="F456" s="13" t="inlineStr">
        <is>
          <t>中</t>
        </is>
      </c>
      <c r="G456" s="5" t="inlineStr">
        <is>
          <t>普通科</t>
        </is>
      </c>
      <c r="H456" s="8" t="n"/>
      <c r="I456" s="9" t="n"/>
      <c r="J456" s="9" t="inlineStr">
        <is>
          <t>未架電</t>
        </is>
      </c>
      <c r="K456" s="8" t="n"/>
      <c r="L456" s="9" t="n"/>
      <c r="M456" s="10" t="inlineStr">
        <is>
          <t>学校情報サイトのみで確認、公式未確認。中高共通の可能性</t>
        </is>
      </c>
      <c r="N456" s="11" t="inlineStr">
        <is>
          <t>https://www.inter-edu.com/schools/school/2003</t>
        </is>
      </c>
      <c r="O456" s="12" t="inlineStr">
        <is>
          <t>開く</t>
        </is>
      </c>
    </row>
    <row r="457">
      <c r="A457" s="4" t="n">
        <v>453</v>
      </c>
      <c r="B457" s="5" t="inlineStr">
        <is>
          <t>東京都</t>
        </is>
      </c>
      <c r="C457" s="5" t="inlineStr">
        <is>
          <t>八王子市</t>
        </is>
      </c>
      <c r="D457" s="5" t="inlineStr">
        <is>
          <t>帝京八王子高等学校</t>
        </is>
      </c>
      <c r="E457" s="6" t="inlineStr">
        <is>
          <t>042-654-6141</t>
        </is>
      </c>
      <c r="F457" s="7" t="inlineStr">
        <is>
          <t>高</t>
        </is>
      </c>
      <c r="G457" s="5" t="inlineStr">
        <is>
          <t>普通科</t>
        </is>
      </c>
      <c r="H457" s="8" t="n"/>
      <c r="I457" s="9" t="n"/>
      <c r="J457" s="9" t="inlineStr">
        <is>
          <t>未架電</t>
        </is>
      </c>
      <c r="K457" s="8" t="n"/>
      <c r="L457" s="9" t="n"/>
      <c r="M457" s="10" t="inlineStr">
        <is>
          <t>複数サイトに「代表」と記載</t>
        </is>
      </c>
      <c r="N457" s="11" t="inlineStr">
        <is>
          <t>https://www.inter-edu.com/schools/school/1961 ; https://school.js88.com/scl_h/22038380?page=5</t>
        </is>
      </c>
      <c r="O457" s="12" t="inlineStr">
        <is>
          <t>開く</t>
        </is>
      </c>
    </row>
    <row r="458">
      <c r="A458" s="4" t="n">
        <v>454</v>
      </c>
      <c r="B458" s="5" t="inlineStr">
        <is>
          <t>東京都</t>
        </is>
      </c>
      <c r="C458" s="5" t="inlineStr">
        <is>
          <t>文京区</t>
        </is>
      </c>
      <c r="D458" s="5" t="inlineStr">
        <is>
          <t>貞静学園高等学校</t>
        </is>
      </c>
      <c r="E458" s="6" t="inlineStr">
        <is>
          <t>03-3943-3711</t>
        </is>
      </c>
      <c r="F458" s="7" t="inlineStr">
        <is>
          <t>高</t>
        </is>
      </c>
      <c r="G458" s="5" t="inlineStr">
        <is>
          <t>普通科</t>
        </is>
      </c>
      <c r="H458" s="8" t="n"/>
      <c r="I458" s="9" t="n"/>
      <c r="J458" s="9" t="inlineStr">
        <is>
          <t>未架電</t>
        </is>
      </c>
      <c r="K458" s="8" t="n"/>
      <c r="L458" s="9" t="n"/>
      <c r="M458" s="10" t="inlineStr">
        <is>
          <t>中高共通。複数サイトで一致</t>
        </is>
      </c>
      <c r="N458" s="11" t="inlineStr">
        <is>
          <t>https://www.inter-edu.com/schools/school/2507</t>
        </is>
      </c>
      <c r="O458" s="12" t="inlineStr">
        <is>
          <t>開く</t>
        </is>
      </c>
    </row>
    <row r="459">
      <c r="A459" s="4" t="n">
        <v>455</v>
      </c>
      <c r="B459" s="5" t="inlineStr">
        <is>
          <t>東京都</t>
        </is>
      </c>
      <c r="C459" s="5" t="inlineStr">
        <is>
          <t>世田谷区</t>
        </is>
      </c>
      <c r="D459" s="5" t="inlineStr">
        <is>
          <t>田園調布学園高等部</t>
        </is>
      </c>
      <c r="E459" s="6" t="inlineStr">
        <is>
          <t>03-3727-6121</t>
        </is>
      </c>
      <c r="F459" s="7" t="inlineStr">
        <is>
          <t>高</t>
        </is>
      </c>
      <c r="G459" s="5" t="inlineStr">
        <is>
          <t>普通科</t>
        </is>
      </c>
      <c r="H459" s="8" t="n"/>
      <c r="I459" s="9" t="n"/>
      <c r="J459" s="9" t="inlineStr">
        <is>
          <t>未架電</t>
        </is>
      </c>
      <c r="K459" s="8" t="n"/>
      <c r="L459" s="9" t="n"/>
      <c r="M459" s="10" t="inlineStr">
        <is>
          <t>中高共通。複数サイトで一致</t>
        </is>
      </c>
      <c r="N459" s="11" t="inlineStr">
        <is>
          <t>https://www.inter-edu.com/schools/school/240</t>
        </is>
      </c>
      <c r="O459" s="12" t="inlineStr">
        <is>
          <t>開く</t>
        </is>
      </c>
    </row>
    <row r="460">
      <c r="A460" s="4" t="n">
        <v>456</v>
      </c>
      <c r="B460" s="5" t="inlineStr">
        <is>
          <t>東京都</t>
        </is>
      </c>
      <c r="C460" s="5" t="inlineStr">
        <is>
          <t>世田谷区</t>
        </is>
      </c>
      <c r="D460" s="5" t="inlineStr">
        <is>
          <t>田園調布雙葉高等学校</t>
        </is>
      </c>
      <c r="E460" s="6" t="inlineStr">
        <is>
          <t>03-3721-1772</t>
        </is>
      </c>
      <c r="F460" s="7" t="inlineStr">
        <is>
          <t>高</t>
        </is>
      </c>
      <c r="G460" s="5" t="inlineStr">
        <is>
          <t>普通科</t>
        </is>
      </c>
      <c r="H460" s="8" t="n"/>
      <c r="I460" s="9" t="n"/>
      <c r="J460" s="9" t="inlineStr">
        <is>
          <t>未架電</t>
        </is>
      </c>
      <c r="K460" s="8" t="n"/>
      <c r="L460" s="9" t="n"/>
      <c r="M460" s="10" t="inlineStr">
        <is>
          <t>公式サイトで確認（高校の番号）。中学校03-3721-5087、事務局03-3721-5484は別番号</t>
        </is>
      </c>
      <c r="N460" s="11" t="inlineStr">
        <is>
          <t>https://www.denenchofufutaba.ed.jp/about/access.html</t>
        </is>
      </c>
      <c r="O460" s="12" t="inlineStr">
        <is>
          <t>開く</t>
        </is>
      </c>
    </row>
    <row r="461">
      <c r="A461" s="4" t="n">
        <v>457</v>
      </c>
      <c r="B461" s="5" t="inlineStr">
        <is>
          <t>東京都</t>
        </is>
      </c>
      <c r="C461" s="5" t="inlineStr">
        <is>
          <t>中野区</t>
        </is>
      </c>
      <c r="D461" s="5" t="inlineStr">
        <is>
          <t>東亜学園高等学校</t>
        </is>
      </c>
      <c r="E461" s="6" t="inlineStr">
        <is>
          <t>03-3387-6331</t>
        </is>
      </c>
      <c r="F461" s="13" t="inlineStr">
        <is>
          <t>中</t>
        </is>
      </c>
      <c r="G461" s="5" t="inlineStr">
        <is>
          <t>普通科</t>
        </is>
      </c>
      <c r="H461" s="8" t="n"/>
      <c r="I461" s="9" t="n"/>
      <c r="J461" s="9" t="inlineStr">
        <is>
          <t>未架電</t>
        </is>
      </c>
      <c r="K461" s="8" t="n"/>
      <c r="L461" s="9" t="n"/>
      <c r="M461" s="10" t="inlineStr">
        <is>
          <t>学校情報サイト1件のみで確認</t>
        </is>
      </c>
      <c r="N461" s="11" t="inlineStr">
        <is>
          <t>https://www.inter-edu.com/schools/school/654</t>
        </is>
      </c>
      <c r="O461" s="12" t="inlineStr">
        <is>
          <t>開く</t>
        </is>
      </c>
    </row>
    <row r="462">
      <c r="A462" s="4" t="n">
        <v>458</v>
      </c>
      <c r="B462" s="5" t="inlineStr">
        <is>
          <t>東京都</t>
        </is>
      </c>
      <c r="C462" s="5" t="inlineStr">
        <is>
          <t>あきる野市</t>
        </is>
      </c>
      <c r="D462" s="5" t="inlineStr">
        <is>
          <t>東海大学菅生高等学校</t>
        </is>
      </c>
      <c r="E462" s="6" t="inlineStr">
        <is>
          <t>042-559-2200</t>
        </is>
      </c>
      <c r="F462" s="13" t="inlineStr">
        <is>
          <t>中</t>
        </is>
      </c>
      <c r="G462" s="5" t="inlineStr">
        <is>
          <t>普通科</t>
        </is>
      </c>
      <c r="H462" s="8" t="n"/>
      <c r="I462" s="9" t="n"/>
      <c r="J462" s="9" t="inlineStr">
        <is>
          <t>未架電</t>
        </is>
      </c>
      <c r="K462" s="8" t="n"/>
      <c r="L462" s="9" t="n"/>
      <c r="M462" s="10" t="inlineStr">
        <is>
          <t>学校情報サイト1件のみで確認。中等部は別番号（042-559-2411）</t>
        </is>
      </c>
      <c r="N462" s="11" t="inlineStr">
        <is>
          <t>https://school.js88.com/scl_h/22040210</t>
        </is>
      </c>
      <c r="O462" s="12" t="inlineStr">
        <is>
          <t>開く</t>
        </is>
      </c>
    </row>
    <row r="463">
      <c r="A463" s="4" t="n">
        <v>459</v>
      </c>
      <c r="B463" s="5" t="inlineStr">
        <is>
          <t>東京都</t>
        </is>
      </c>
      <c r="C463" s="5" t="inlineStr">
        <is>
          <t>港区</t>
        </is>
      </c>
      <c r="D463" s="5" t="inlineStr">
        <is>
          <t>東海大学付属高輪台高等学校</t>
        </is>
      </c>
      <c r="E463" s="6" t="inlineStr">
        <is>
          <t>03-3448-4011</t>
        </is>
      </c>
      <c r="F463" s="7" t="inlineStr">
        <is>
          <t>高</t>
        </is>
      </c>
      <c r="G463" s="5" t="inlineStr">
        <is>
          <t>普通科</t>
        </is>
      </c>
      <c r="H463" s="8" t="n"/>
      <c r="I463" s="9" t="n"/>
      <c r="J463" s="9" t="inlineStr">
        <is>
          <t>未架電</t>
        </is>
      </c>
      <c r="K463" s="8" t="n"/>
      <c r="L463" s="9" t="n"/>
      <c r="M463" s="10" t="inlineStr">
        <is>
          <t>複数の情報源で一致</t>
        </is>
      </c>
      <c r="N463" s="11" t="inlineStr">
        <is>
          <t>https://www.inter-edu.com/schools/school/2005 ; https://univpress.co.jp/gk_pdf/13533.pdf</t>
        </is>
      </c>
      <c r="O463" s="12" t="inlineStr">
        <is>
          <t>開く</t>
        </is>
      </c>
    </row>
    <row r="464">
      <c r="A464" s="4" t="n">
        <v>460</v>
      </c>
      <c r="B464" s="5" t="inlineStr">
        <is>
          <t>東京都</t>
        </is>
      </c>
      <c r="C464" s="5" t="inlineStr">
        <is>
          <t>渋谷区</t>
        </is>
      </c>
      <c r="D464" s="5" t="inlineStr">
        <is>
          <t>東海大学付属望星高等学校</t>
        </is>
      </c>
      <c r="E464" s="6" t="inlineStr">
        <is>
          <t>03-3467-8111</t>
        </is>
      </c>
      <c r="F464" s="7" t="inlineStr">
        <is>
          <t>高</t>
        </is>
      </c>
      <c r="G464" s="5" t="inlineStr">
        <is>
          <t>普通科</t>
        </is>
      </c>
      <c r="H464" s="8" t="n"/>
      <c r="I464" s="9" t="n"/>
      <c r="J464" s="9" t="inlineStr">
        <is>
          <t>未架電</t>
        </is>
      </c>
      <c r="K464" s="8" t="n"/>
      <c r="L464" s="9" t="n"/>
      <c r="M464" s="10" t="inlineStr">
        <is>
          <t>東京都の通信制高校一覧で確認（通信制）</t>
        </is>
      </c>
      <c r="N464" s="11" t="inlineStr">
        <is>
          <t>https://www.seikatubunka.metro.tokyo.lg.jp/documents/d/seikatubunka/13high_tushin_r61201</t>
        </is>
      </c>
      <c r="O464" s="12" t="inlineStr">
        <is>
          <t>開く</t>
        </is>
      </c>
    </row>
    <row r="465">
      <c r="A465" s="4" t="n">
        <v>461</v>
      </c>
      <c r="B465" s="5" t="inlineStr">
        <is>
          <t>東京都</t>
        </is>
      </c>
      <c r="C465" s="5" t="inlineStr">
        <is>
          <t>文京区</t>
        </is>
      </c>
      <c r="D465" s="5" t="inlineStr">
        <is>
          <t>東京音楽大学付属高等学校</t>
        </is>
      </c>
      <c r="E465" s="6" t="inlineStr">
        <is>
          <t>03-3988-6214</t>
        </is>
      </c>
      <c r="F465" s="7" t="inlineStr">
        <is>
          <t>高</t>
        </is>
      </c>
      <c r="G465" s="5" t="inlineStr">
        <is>
          <t>専門学科</t>
        </is>
      </c>
      <c r="H465" s="8" t="n"/>
      <c r="I465" s="9" t="n"/>
      <c r="J465" s="9" t="inlineStr">
        <is>
          <t>未架電</t>
        </is>
      </c>
      <c r="K465" s="8" t="n"/>
      <c r="L465" s="9" t="n"/>
      <c r="M465" s="10" t="inlineStr">
        <is>
          <t>公式サイトで確認。【移転】現在は豊島区南池袋。旧番号03-3945-6214は使わない</t>
        </is>
      </c>
      <c r="N465" s="11" t="inlineStr">
        <is>
          <t>https://hs.tokyo-ondai.ac.jp/access/</t>
        </is>
      </c>
      <c r="O465" s="12" t="inlineStr">
        <is>
          <t>開く</t>
        </is>
      </c>
    </row>
    <row r="466">
      <c r="A466" s="4" t="n">
        <v>462</v>
      </c>
      <c r="B466" s="5" t="inlineStr">
        <is>
          <t>東京都</t>
        </is>
      </c>
      <c r="C466" s="5" t="inlineStr">
        <is>
          <t>千代田区</t>
        </is>
      </c>
      <c r="D466" s="5" t="inlineStr">
        <is>
          <t>東京家政学院高等学校</t>
        </is>
      </c>
      <c r="E466" s="6" t="inlineStr">
        <is>
          <t>03-3262-2559</t>
        </is>
      </c>
      <c r="F466" s="13" t="inlineStr">
        <is>
          <t>中</t>
        </is>
      </c>
      <c r="G466" s="5" t="inlineStr">
        <is>
          <t>普通科</t>
        </is>
      </c>
      <c r="H466" s="8" t="n"/>
      <c r="I466" s="9" t="n"/>
      <c r="J466" s="9" t="inlineStr">
        <is>
          <t>未架電</t>
        </is>
      </c>
      <c r="K466" s="8" t="n"/>
      <c r="L466" s="9" t="n"/>
      <c r="M466" s="10" t="inlineStr">
        <is>
          <t>学校情報サイトのみで確認。中高共通</t>
        </is>
      </c>
      <c r="N466" s="11" t="inlineStr">
        <is>
          <t>https://www.inter-edu.com/schools/school/2073</t>
        </is>
      </c>
      <c r="O466" s="12" t="inlineStr">
        <is>
          <t>開く</t>
        </is>
      </c>
    </row>
    <row r="467">
      <c r="A467" s="4" t="n">
        <v>463</v>
      </c>
      <c r="B467" s="5" t="inlineStr">
        <is>
          <t>東京都</t>
        </is>
      </c>
      <c r="C467" s="5" t="inlineStr">
        <is>
          <t>板橋区</t>
        </is>
      </c>
      <c r="D467" s="5" t="inlineStr">
        <is>
          <t>東京家政大学附属女子高等学校</t>
        </is>
      </c>
      <c r="E467" s="6" t="inlineStr">
        <is>
          <t>03-3961-2447</t>
        </is>
      </c>
      <c r="F467" s="13" t="inlineStr">
        <is>
          <t>中</t>
        </is>
      </c>
      <c r="G467" s="5" t="inlineStr">
        <is>
          <t>普通科</t>
        </is>
      </c>
      <c r="H467" s="8" t="n"/>
      <c r="I467" s="9" t="n"/>
      <c r="J467" s="9" t="inlineStr">
        <is>
          <t>未架電</t>
        </is>
      </c>
      <c r="K467" s="8" t="n"/>
      <c r="L467" s="9" t="n"/>
      <c r="M467" s="10" t="inlineStr">
        <is>
          <t>複数サイトに掲載。入試広報部は03-3961-0748。代表か未確定</t>
        </is>
      </c>
      <c r="N467" s="11" t="inlineStr">
        <is>
          <t>https://www.inter-edu.com/schools/school/1973 ; https://school.js88.com/scl_h/22039810</t>
        </is>
      </c>
      <c r="O467" s="12" t="inlineStr">
        <is>
          <t>開く</t>
        </is>
      </c>
    </row>
    <row r="468">
      <c r="A468" s="4" t="n">
        <v>464</v>
      </c>
      <c r="B468" s="5" t="inlineStr">
        <is>
          <t>東京都</t>
        </is>
      </c>
      <c r="C468" s="5" t="inlineStr">
        <is>
          <t>大田区</t>
        </is>
      </c>
      <c r="D468" s="5" t="inlineStr">
        <is>
          <t>東京高等学校</t>
        </is>
      </c>
      <c r="E468" s="6" t="inlineStr">
        <is>
          <t>03-3750-2635</t>
        </is>
      </c>
      <c r="F468" s="7" t="inlineStr">
        <is>
          <t>高</t>
        </is>
      </c>
      <c r="G468" s="5" t="inlineStr">
        <is>
          <t>普通科</t>
        </is>
      </c>
      <c r="H468" s="8" t="n"/>
      <c r="I468" s="9" t="n"/>
      <c r="J468" s="9" t="inlineStr">
        <is>
          <t>未架電</t>
        </is>
      </c>
      <c r="K468" s="8" t="n"/>
      <c r="L468" s="9" t="n"/>
      <c r="M468" s="10" t="inlineStr">
        <is>
          <t>複数の情報源で一致</t>
        </is>
      </c>
      <c r="N468" s="11" t="inlineStr">
        <is>
          <t>https://www.inter-edu.com/schools/school/653 ; https://www.univpress.co.jp/gk_pdf/13629.pdf</t>
        </is>
      </c>
      <c r="O468" s="12" t="inlineStr">
        <is>
          <t>開く</t>
        </is>
      </c>
    </row>
    <row r="469">
      <c r="A469" s="4" t="n">
        <v>465</v>
      </c>
      <c r="B469" s="5" t="inlineStr">
        <is>
          <t>東京都</t>
        </is>
      </c>
      <c r="C469" s="5" t="inlineStr">
        <is>
          <t>大田区</t>
        </is>
      </c>
      <c r="D469" s="5" t="inlineStr">
        <is>
          <t>東京実業高等学校</t>
        </is>
      </c>
      <c r="E469" s="6" t="inlineStr">
        <is>
          <t>03-3732-4481</t>
        </is>
      </c>
      <c r="F469" s="13" t="inlineStr">
        <is>
          <t>中</t>
        </is>
      </c>
      <c r="G469" s="5" t="inlineStr">
        <is>
          <t>普通科・専門学科</t>
        </is>
      </c>
      <c r="H469" s="8" t="n"/>
      <c r="I469" s="9" t="n"/>
      <c r="J469" s="9" t="inlineStr">
        <is>
          <t>未架電</t>
        </is>
      </c>
      <c r="K469" s="8" t="n"/>
      <c r="L469" s="9" t="n"/>
      <c r="M469" s="10" t="inlineStr">
        <is>
          <t>学校情報サイト1件のみで確認</t>
        </is>
      </c>
      <c r="N469" s="11" t="inlineStr">
        <is>
          <t>https://www.inter-edu.com/schools/school/1022</t>
        </is>
      </c>
      <c r="O469" s="12" t="inlineStr">
        <is>
          <t>開く</t>
        </is>
      </c>
    </row>
    <row r="470">
      <c r="A470" s="4" t="n">
        <v>466</v>
      </c>
      <c r="B470" s="5" t="inlineStr">
        <is>
          <t>東京都</t>
        </is>
      </c>
      <c r="C470" s="5" t="inlineStr">
        <is>
          <t>八王子市</t>
        </is>
      </c>
      <c r="D470" s="5" t="inlineStr">
        <is>
          <t>東京純心女子高等学校</t>
        </is>
      </c>
      <c r="E470" s="6" t="inlineStr">
        <is>
          <t>042-691-1345</t>
        </is>
      </c>
      <c r="F470" s="7" t="inlineStr">
        <is>
          <t>高</t>
        </is>
      </c>
      <c r="G470" s="5" t="inlineStr">
        <is>
          <t>普通科</t>
        </is>
      </c>
      <c r="H470" s="8" t="n"/>
      <c r="I470" s="9" t="n"/>
      <c r="J470" s="9" t="inlineStr">
        <is>
          <t>未架電</t>
        </is>
      </c>
      <c r="K470" s="8" t="n"/>
      <c r="L470" s="9" t="n"/>
      <c r="M470" s="10" t="inlineStr">
        <is>
          <t>中高共通。複数サイトで一致</t>
        </is>
      </c>
      <c r="N470" s="11" t="inlineStr">
        <is>
          <t>https://www.inter-edu.com/schools/school/1974 ; https://www.minkou.jp/junior/school/8023/</t>
        </is>
      </c>
      <c r="O470" s="12" t="inlineStr">
        <is>
          <t>開く</t>
        </is>
      </c>
    </row>
    <row r="471">
      <c r="A471" s="4" t="n">
        <v>467</v>
      </c>
      <c r="B471" s="5" t="inlineStr">
        <is>
          <t>東京都</t>
        </is>
      </c>
      <c r="C471" s="5" t="inlineStr">
        <is>
          <t>渋谷区</t>
        </is>
      </c>
      <c r="D471" s="5" t="inlineStr">
        <is>
          <t>東京女学館高等学校</t>
        </is>
      </c>
      <c r="E471" s="6" t="inlineStr">
        <is>
          <t>03-3400-0867</t>
        </is>
      </c>
      <c r="F471" s="13" t="inlineStr">
        <is>
          <t>中</t>
        </is>
      </c>
      <c r="G471" s="5" t="inlineStr">
        <is>
          <t>普通科</t>
        </is>
      </c>
      <c r="H471" s="8" t="n"/>
      <c r="I471" s="9" t="n"/>
      <c r="J471" s="9" t="inlineStr">
        <is>
          <t>未架電</t>
        </is>
      </c>
      <c r="K471" s="8" t="n"/>
      <c r="L471" s="9" t="n"/>
      <c r="M471" s="10" t="inlineStr">
        <is>
          <t>中高共通。学校情報サイト1件のみで確認</t>
        </is>
      </c>
      <c r="N471" s="11" t="inlineStr">
        <is>
          <t>https://www.inter-edu.com/schools/school/86</t>
        </is>
      </c>
      <c r="O471" s="12" t="inlineStr">
        <is>
          <t>開く</t>
        </is>
      </c>
    </row>
    <row r="472">
      <c r="A472" s="4" t="n">
        <v>468</v>
      </c>
      <c r="B472" s="5" t="inlineStr">
        <is>
          <t>東京都</t>
        </is>
      </c>
      <c r="C472" s="5" t="inlineStr">
        <is>
          <t>北区</t>
        </is>
      </c>
      <c r="D472" s="5" t="inlineStr">
        <is>
          <t>東京成徳大学高等学校</t>
        </is>
      </c>
      <c r="E472" s="6" t="inlineStr">
        <is>
          <t>03-3911-5196</t>
        </is>
      </c>
      <c r="F472" s="7" t="inlineStr">
        <is>
          <t>高</t>
        </is>
      </c>
      <c r="G472" s="5" t="inlineStr">
        <is>
          <t>普通科</t>
        </is>
      </c>
      <c r="H472" s="8" t="n"/>
      <c r="I472" s="9" t="n"/>
      <c r="J472" s="9" t="inlineStr">
        <is>
          <t>未架電</t>
        </is>
      </c>
      <c r="K472" s="8" t="n"/>
      <c r="L472" s="9" t="n"/>
      <c r="M472" s="10" t="inlineStr">
        <is>
          <t>高等部（王子）の番号（公式の学校案内）。中高一貫部（豊島）は03-3911-7109</t>
        </is>
      </c>
      <c r="N472" s="11" t="inlineStr">
        <is>
          <t>https://www.tokyoseitoku.jp/hs/assets/pdf/information/pamphlet.pdf</t>
        </is>
      </c>
      <c r="O472" s="12" t="inlineStr">
        <is>
          <t>開く</t>
        </is>
      </c>
    </row>
    <row r="473">
      <c r="A473" s="4" t="n">
        <v>469</v>
      </c>
      <c r="B473" s="5" t="inlineStr">
        <is>
          <t>東京都</t>
        </is>
      </c>
      <c r="C473" s="5" t="inlineStr">
        <is>
          <t>小金井市</t>
        </is>
      </c>
      <c r="D473" s="5" t="inlineStr">
        <is>
          <t>東京電機大学高等学校</t>
        </is>
      </c>
      <c r="E473" s="6" t="inlineStr">
        <is>
          <t>0422-37-6441</t>
        </is>
      </c>
      <c r="F473" s="7" t="inlineStr">
        <is>
          <t>高</t>
        </is>
      </c>
      <c r="G473" s="5" t="inlineStr">
        <is>
          <t>普通科</t>
        </is>
      </c>
      <c r="H473" s="8" t="n"/>
      <c r="I473" s="9" t="n"/>
      <c r="J473" s="9" t="inlineStr">
        <is>
          <t>未架電</t>
        </is>
      </c>
      <c r="K473" s="8" t="n"/>
      <c r="L473" s="9" t="n"/>
      <c r="M473" s="10" t="inlineStr">
        <is>
          <t>事務室の番号。中高共通</t>
        </is>
      </c>
      <c r="N473" s="11" t="inlineStr">
        <is>
          <t>https://school.js88.com/scl_h/22038580 ; https://www.inter-edu.com/schools/school/1962</t>
        </is>
      </c>
      <c r="O473" s="12" t="inlineStr">
        <is>
          <t>開く</t>
        </is>
      </c>
    </row>
    <row r="474">
      <c r="A474" s="4" t="n">
        <v>470</v>
      </c>
      <c r="B474" s="5" t="inlineStr">
        <is>
          <t>東京都</t>
        </is>
      </c>
      <c r="C474" s="5" t="inlineStr">
        <is>
          <t>世田谷区</t>
        </is>
      </c>
      <c r="D474" s="5" t="inlineStr">
        <is>
          <t>東京都市大学等々力高等学校</t>
        </is>
      </c>
      <c r="E474" s="6" t="inlineStr">
        <is>
          <t>03-5962-0104</t>
        </is>
      </c>
      <c r="F474" s="13" t="inlineStr">
        <is>
          <t>中</t>
        </is>
      </c>
      <c r="G474" s="5" t="inlineStr">
        <is>
          <t>普通科</t>
        </is>
      </c>
      <c r="H474" s="8" t="n"/>
      <c r="I474" s="9" t="n"/>
      <c r="J474" s="9" t="inlineStr">
        <is>
          <t>未架電</t>
        </is>
      </c>
      <c r="K474" s="8" t="n"/>
      <c r="L474" s="9" t="n"/>
      <c r="M474" s="10" t="inlineStr">
        <is>
          <t>学校情報サイトのみで確認</t>
        </is>
      </c>
      <c r="N474" s="11" t="inlineStr">
        <is>
          <t>https://www.inter-edu.com/schools/school/2004</t>
        </is>
      </c>
      <c r="O474" s="12" t="inlineStr">
        <is>
          <t>開く</t>
        </is>
      </c>
    </row>
    <row r="475">
      <c r="A475" s="4" t="n">
        <v>471</v>
      </c>
      <c r="B475" s="5" t="inlineStr">
        <is>
          <t>東京都</t>
        </is>
      </c>
      <c r="C475" s="5" t="inlineStr">
        <is>
          <t>世田谷区</t>
        </is>
      </c>
      <c r="D475" s="5" t="inlineStr">
        <is>
          <t>東京都市大学付属高等学校</t>
        </is>
      </c>
      <c r="E475" s="6" t="inlineStr">
        <is>
          <t>03-3415-0104</t>
        </is>
      </c>
      <c r="F475" s="13" t="inlineStr">
        <is>
          <t>中</t>
        </is>
      </c>
      <c r="G475" s="5" t="inlineStr">
        <is>
          <t>普通科</t>
        </is>
      </c>
      <c r="H475" s="8" t="n"/>
      <c r="I475" s="9" t="n"/>
      <c r="J475" s="9" t="inlineStr">
        <is>
          <t>未架電</t>
        </is>
      </c>
      <c r="K475" s="8" t="n"/>
      <c r="L475" s="9" t="n"/>
      <c r="M475" s="10" t="inlineStr">
        <is>
          <t>中高共通。学校情報サイトで一致、公式未確認</t>
        </is>
      </c>
      <c r="N475" s="11" t="inlineStr">
        <is>
          <t>https://www.inter-edu.com/schools/school/84 ; https://www.minkou.jp/junior/school/7706/</t>
        </is>
      </c>
      <c r="O475" s="12" t="inlineStr">
        <is>
          <t>開く</t>
        </is>
      </c>
    </row>
    <row r="476">
      <c r="A476" s="4" t="n">
        <v>472</v>
      </c>
      <c r="B476" s="5" t="inlineStr">
        <is>
          <t>東京都</t>
        </is>
      </c>
      <c r="C476" s="5" t="inlineStr">
        <is>
          <t>世田谷区</t>
        </is>
      </c>
      <c r="D476" s="5" t="inlineStr">
        <is>
          <t>東京農業大学第一高等学校</t>
        </is>
      </c>
      <c r="E476" s="6" t="inlineStr">
        <is>
          <t>03-3425-4481</t>
        </is>
      </c>
      <c r="F476" s="7" t="inlineStr">
        <is>
          <t>高</t>
        </is>
      </c>
      <c r="G476" s="5" t="inlineStr">
        <is>
          <t>普通科</t>
        </is>
      </c>
      <c r="H476" s="8" t="n"/>
      <c r="I476" s="9" t="n"/>
      <c r="J476" s="9" t="inlineStr">
        <is>
          <t>未架電</t>
        </is>
      </c>
      <c r="K476" s="8" t="n"/>
      <c r="L476" s="9" t="n"/>
      <c r="M476" s="10" t="inlineStr">
        <is>
          <t>中高共通。2025年度から高校募集を停止（完全中高一貫）との情報あり</t>
        </is>
      </c>
      <c r="N476" s="11" t="inlineStr">
        <is>
          <t>https://www.inter-edu.com/schools/school/139 ; https://www.minkou.jp/junior/school/7689/</t>
        </is>
      </c>
      <c r="O476" s="12" t="inlineStr">
        <is>
          <t>開く</t>
        </is>
      </c>
    </row>
    <row r="477">
      <c r="A477" s="4" t="n">
        <v>473</v>
      </c>
      <c r="B477" s="5" t="inlineStr">
        <is>
          <t>東京都</t>
        </is>
      </c>
      <c r="C477" s="5" t="inlineStr">
        <is>
          <t>西東京市</t>
        </is>
      </c>
      <c r="D477" s="5" t="inlineStr">
        <is>
          <t>東京文華高等学校</t>
        </is>
      </c>
      <c r="E477" s="6" t="inlineStr">
        <is>
          <t>042-463-2903</t>
        </is>
      </c>
      <c r="F477" s="7" t="inlineStr">
        <is>
          <t>高</t>
        </is>
      </c>
      <c r="G477" s="5" t="inlineStr">
        <is>
          <t>普通科</t>
        </is>
      </c>
      <c r="H477" s="8" t="n"/>
      <c r="I477" s="9" t="n"/>
      <c r="J477" s="9" t="inlineStr">
        <is>
          <t>未架電</t>
        </is>
      </c>
      <c r="K477" s="8" t="n"/>
      <c r="L477" s="9" t="n"/>
      <c r="M477" s="10" t="inlineStr">
        <is>
          <t>【校名変更】2026年4月に文華女子高校から改称・共学化。番号は変更なし</t>
        </is>
      </c>
      <c r="N477" s="11" t="inlineStr">
        <is>
          <t>https://school.js88.com/scl_h/22040190 ; https://www.minkou.jp/hischool/school/96254/</t>
        </is>
      </c>
      <c r="O477" s="12" t="inlineStr">
        <is>
          <t>開く</t>
        </is>
      </c>
    </row>
    <row r="478">
      <c r="A478" s="4" t="n">
        <v>474</v>
      </c>
      <c r="B478" s="5" t="inlineStr">
        <is>
          <t>東京都</t>
        </is>
      </c>
      <c r="C478" s="5" t="inlineStr">
        <is>
          <t>杉並区</t>
        </is>
      </c>
      <c r="D478" s="5" t="inlineStr">
        <is>
          <t>東京立正高等学校</t>
        </is>
      </c>
      <c r="E478" s="6" t="inlineStr">
        <is>
          <t>03-3312-1111</t>
        </is>
      </c>
      <c r="F478" s="7" t="inlineStr">
        <is>
          <t>高</t>
        </is>
      </c>
      <c r="G478" s="5" t="inlineStr">
        <is>
          <t>普通科</t>
        </is>
      </c>
      <c r="H478" s="8" t="n"/>
      <c r="I478" s="9" t="n"/>
      <c r="J478" s="9" t="inlineStr">
        <is>
          <t>未架電</t>
        </is>
      </c>
      <c r="K478" s="8" t="n"/>
      <c r="L478" s="9" t="n"/>
      <c r="M478" s="10" t="inlineStr">
        <is>
          <t>公式パンフレットに「代表」と記載</t>
        </is>
      </c>
      <c r="N478" s="11" t="inlineStr">
        <is>
          <t>https://tokyorissho.ed.jp/exam/pdf/senior_panf2027.pdf</t>
        </is>
      </c>
      <c r="O478" s="12" t="inlineStr">
        <is>
          <t>開く</t>
        </is>
      </c>
    </row>
    <row r="479">
      <c r="A479" s="4" t="n">
        <v>475</v>
      </c>
      <c r="B479" s="5" t="inlineStr">
        <is>
          <t>東京都</t>
        </is>
      </c>
      <c r="C479" s="5" t="inlineStr">
        <is>
          <t>清瀬市</t>
        </is>
      </c>
      <c r="D479" s="5" t="inlineStr">
        <is>
          <t>東星学園高等学校</t>
        </is>
      </c>
      <c r="E479" s="6" t="inlineStr">
        <is>
          <t>042-493-3201</t>
        </is>
      </c>
      <c r="F479" s="7" t="inlineStr">
        <is>
          <t>高</t>
        </is>
      </c>
      <c r="G479" s="5" t="inlineStr">
        <is>
          <t>普通科</t>
        </is>
      </c>
      <c r="H479" s="8" t="n"/>
      <c r="I479" s="9" t="n"/>
      <c r="J479" s="9" t="inlineStr">
        <is>
          <t>未架電</t>
        </is>
      </c>
      <c r="K479" s="8" t="n"/>
      <c r="L479" s="9" t="n"/>
      <c r="M479" s="10" t="inlineStr">
        <is>
          <t>代表として掲載。中高共通</t>
        </is>
      </c>
      <c r="N479" s="11" t="inlineStr">
        <is>
          <t>https://www.inter-edu.com/schools/school/2105 ; https://school.js88.com/scl_h/22039870?page=5</t>
        </is>
      </c>
      <c r="O479" s="12" t="inlineStr">
        <is>
          <t>開く</t>
        </is>
      </c>
    </row>
    <row r="480">
      <c r="A480" s="4" t="n">
        <v>476</v>
      </c>
      <c r="B480" s="5" t="inlineStr">
        <is>
          <t>東京都</t>
        </is>
      </c>
      <c r="C480" s="5" t="inlineStr">
        <is>
          <t>国立市</t>
        </is>
      </c>
      <c r="D480" s="5" t="inlineStr">
        <is>
          <t>桐朋高等学校</t>
        </is>
      </c>
      <c r="E480" s="6" t="inlineStr">
        <is>
          <t>042-577-2171</t>
        </is>
      </c>
      <c r="F480" s="7" t="inlineStr">
        <is>
          <t>高</t>
        </is>
      </c>
      <c r="G480" s="5" t="inlineStr">
        <is>
          <t>普通科</t>
        </is>
      </c>
      <c r="H480" s="8" t="n"/>
      <c r="I480" s="9" t="n"/>
      <c r="J480" s="9" t="inlineStr">
        <is>
          <t>未架電</t>
        </is>
      </c>
      <c r="K480" s="8" t="n"/>
      <c r="L480" s="9" t="n"/>
      <c r="M480" s="10" t="inlineStr">
        <is>
          <t>中高共通。複数サイトで一致。桐朋女子（調布市）とは別の学校</t>
        </is>
      </c>
      <c r="N480" s="11" t="inlineStr">
        <is>
          <t>https://www.inter-edu.com/schools/school/1947</t>
        </is>
      </c>
      <c r="O480" s="12" t="inlineStr">
        <is>
          <t>開く</t>
        </is>
      </c>
    </row>
    <row r="481">
      <c r="A481" s="4" t="n">
        <v>477</v>
      </c>
      <c r="B481" s="5" t="inlineStr">
        <is>
          <t>東京都</t>
        </is>
      </c>
      <c r="C481" s="5" t="inlineStr">
        <is>
          <t>調布市</t>
        </is>
      </c>
      <c r="D481" s="5" t="inlineStr">
        <is>
          <t>桐朋女子高等学校</t>
        </is>
      </c>
      <c r="E481" s="6" t="inlineStr">
        <is>
          <t>03-3300-2111</t>
        </is>
      </c>
      <c r="F481" s="7" t="inlineStr">
        <is>
          <t>高</t>
        </is>
      </c>
      <c r="G481" s="5" t="inlineStr">
        <is>
          <t>普通科・専門学科</t>
        </is>
      </c>
      <c r="H481" s="8" t="n"/>
      <c r="I481" s="9" t="n"/>
      <c r="J481" s="9" t="inlineStr">
        <is>
          <t>未架電</t>
        </is>
      </c>
      <c r="K481" s="8" t="n"/>
      <c r="L481" s="9" t="n"/>
      <c r="M481" s="10" t="inlineStr">
        <is>
          <t>公式の募集要項に「代表」と記載。入試事務局は03-3300-2116</t>
        </is>
      </c>
      <c r="N481" s="11" t="inlineStr">
        <is>
          <t>https://chuko.toho.ac.jp/pdf/2026high_suisen_youkou.pdf</t>
        </is>
      </c>
      <c r="O481" s="12" t="inlineStr">
        <is>
          <t>開く</t>
        </is>
      </c>
    </row>
    <row r="482">
      <c r="A482" s="4" t="n">
        <v>478</v>
      </c>
      <c r="B482" s="5" t="inlineStr">
        <is>
          <t>東京都</t>
        </is>
      </c>
      <c r="C482" s="5" t="inlineStr">
        <is>
          <t>港区</t>
        </is>
      </c>
      <c r="D482" s="5" t="inlineStr">
        <is>
          <t>東洋英和女学院高等部</t>
        </is>
      </c>
      <c r="E482" s="6" t="inlineStr">
        <is>
          <t>03-3583-0696</t>
        </is>
      </c>
      <c r="F482" s="7" t="inlineStr">
        <is>
          <t>高</t>
        </is>
      </c>
      <c r="G482" s="5" t="inlineStr">
        <is>
          <t>普通科</t>
        </is>
      </c>
      <c r="H482" s="8" t="n"/>
      <c r="I482" s="9" t="n"/>
      <c r="J482" s="9" t="inlineStr">
        <is>
          <t>未架電</t>
        </is>
      </c>
      <c r="K482" s="8" t="n"/>
      <c r="L482" s="9" t="n"/>
      <c r="M482" s="10" t="inlineStr">
        <is>
          <t>中高共通。高校募集なし（完全中高一貫）</t>
        </is>
      </c>
      <c r="N482" s="11" t="inlineStr">
        <is>
          <t>https://www.inter-edu.com/schools/school/65</t>
        </is>
      </c>
      <c r="O482" s="12" t="inlineStr">
        <is>
          <t>開く</t>
        </is>
      </c>
    </row>
    <row r="483">
      <c r="A483" s="4" t="n">
        <v>479</v>
      </c>
      <c r="B483" s="5" t="inlineStr">
        <is>
          <t>東京都</t>
        </is>
      </c>
      <c r="C483" s="5" t="inlineStr">
        <is>
          <t>千代田区</t>
        </is>
      </c>
      <c r="D483" s="5" t="inlineStr">
        <is>
          <t>東洋高等学校</t>
        </is>
      </c>
      <c r="E483" s="6" t="inlineStr">
        <is>
          <t>03-3291-3824</t>
        </is>
      </c>
      <c r="F483" s="7" t="inlineStr">
        <is>
          <t>高</t>
        </is>
      </c>
      <c r="G483" s="5" t="inlineStr">
        <is>
          <t>普通科</t>
        </is>
      </c>
      <c r="H483" s="8" t="n"/>
      <c r="I483" s="9" t="n"/>
      <c r="J483" s="9" t="inlineStr">
        <is>
          <t>未架電</t>
        </is>
      </c>
      <c r="K483" s="8" t="n"/>
      <c r="L483" s="9" t="n"/>
      <c r="M483" s="10" t="inlineStr">
        <is>
          <t>公式資料で確認</t>
        </is>
      </c>
      <c r="N483" s="11" t="inlineStr">
        <is>
          <t>https://toyo.ed.jp/wordpress/wp-content/uploads/2024/07/20240701-6681de45f02f1.pdf</t>
        </is>
      </c>
      <c r="O483" s="12" t="inlineStr">
        <is>
          <t>開く</t>
        </is>
      </c>
    </row>
    <row r="484">
      <c r="A484" s="4" t="n">
        <v>480</v>
      </c>
      <c r="B484" s="5" t="inlineStr">
        <is>
          <t>東京都</t>
        </is>
      </c>
      <c r="C484" s="5" t="inlineStr">
        <is>
          <t>文京区</t>
        </is>
      </c>
      <c r="D484" s="5" t="inlineStr">
        <is>
          <t>東洋女子高等学校</t>
        </is>
      </c>
      <c r="E484" s="6" t="inlineStr">
        <is>
          <t>03-3941-2680</t>
        </is>
      </c>
      <c r="F484" s="7" t="inlineStr">
        <is>
          <t>高</t>
        </is>
      </c>
      <c r="G484" s="5" t="inlineStr">
        <is>
          <t>普通科</t>
        </is>
      </c>
      <c r="H484" s="8" t="n"/>
      <c r="I484" s="9" t="n"/>
      <c r="J484" s="9" t="inlineStr">
        <is>
          <t>未架電</t>
        </is>
      </c>
      <c r="K484" s="8" t="n"/>
      <c r="L484" s="9" t="n"/>
      <c r="M484" s="10" t="inlineStr">
        <is>
          <t>文京区の一覧ほかで一致</t>
        </is>
      </c>
      <c r="N484" s="11" t="inlineStr">
        <is>
          <t>https://www.city.bunkyo.lg.jp/documents/5788/kizi_2024.pdf ; https://www.inter-edu.com/schools/school/652</t>
        </is>
      </c>
      <c r="O484" s="12" t="inlineStr">
        <is>
          <t>開く</t>
        </is>
      </c>
    </row>
    <row r="485">
      <c r="A485" s="4" t="n">
        <v>481</v>
      </c>
      <c r="B485" s="5" t="inlineStr">
        <is>
          <t>東京都</t>
        </is>
      </c>
      <c r="C485" s="5" t="inlineStr">
        <is>
          <t>文京区</t>
        </is>
      </c>
      <c r="D485" s="5" t="inlineStr">
        <is>
          <t>東洋大学京北高等学校</t>
        </is>
      </c>
      <c r="E485" s="6" t="inlineStr">
        <is>
          <t>03-3816-6211</t>
        </is>
      </c>
      <c r="F485" s="7" t="inlineStr">
        <is>
          <t>高</t>
        </is>
      </c>
      <c r="G485" s="5" t="inlineStr">
        <is>
          <t>普通科</t>
        </is>
      </c>
      <c r="H485" s="8" t="n"/>
      <c r="I485" s="9" t="n"/>
      <c r="J485" s="9" t="inlineStr">
        <is>
          <t>未架電</t>
        </is>
      </c>
      <c r="K485" s="8" t="n"/>
      <c r="L485" s="9" t="n"/>
      <c r="M485" s="10" t="inlineStr">
        <is>
          <t>中高共通</t>
        </is>
      </c>
      <c r="N485" s="11" t="inlineStr">
        <is>
          <t>https://www.inter-edu.com/schools/school/2179 ; https://www.minkou.jp/junior/school/7822/</t>
        </is>
      </c>
      <c r="O485" s="12" t="inlineStr">
        <is>
          <t>開く</t>
        </is>
      </c>
    </row>
    <row r="486">
      <c r="A486" s="4" t="n">
        <v>482</v>
      </c>
      <c r="B486" s="5" t="inlineStr">
        <is>
          <t>東京都</t>
        </is>
      </c>
      <c r="C486" s="5" t="inlineStr">
        <is>
          <t>目黒区</t>
        </is>
      </c>
      <c r="D486" s="5" t="inlineStr">
        <is>
          <t>トキワ松学園高等学校</t>
        </is>
      </c>
      <c r="E486" s="6" t="inlineStr">
        <is>
          <t>03-3713-8161</t>
        </is>
      </c>
      <c r="F486" s="7" t="inlineStr">
        <is>
          <t>高</t>
        </is>
      </c>
      <c r="G486" s="5" t="inlineStr">
        <is>
          <t>普通科</t>
        </is>
      </c>
      <c r="H486" s="8" t="n"/>
      <c r="I486" s="9" t="n"/>
      <c r="J486" s="9" t="inlineStr">
        <is>
          <t>未架電</t>
        </is>
      </c>
      <c r="K486" s="8" t="n"/>
      <c r="L486" s="9" t="n"/>
      <c r="M486" s="10" t="inlineStr">
        <is>
          <t>代表として掲載。中高共通</t>
        </is>
      </c>
      <c r="N486" s="11" t="inlineStr">
        <is>
          <t>https://www.inter-edu.com/schools/school/2077 ; https://school.js88.com/scl_h/22039030/</t>
        </is>
      </c>
      <c r="O486" s="12" t="inlineStr">
        <is>
          <t>開く</t>
        </is>
      </c>
    </row>
    <row r="487">
      <c r="A487" s="4" t="n">
        <v>483</v>
      </c>
      <c r="B487" s="5" t="inlineStr">
        <is>
          <t>東京都</t>
        </is>
      </c>
      <c r="C487" s="5" t="inlineStr">
        <is>
          <t>豊島区</t>
        </is>
      </c>
      <c r="D487" s="5" t="inlineStr">
        <is>
          <t>豊島岡女子学園高等学校</t>
        </is>
      </c>
      <c r="E487" s="6" t="inlineStr">
        <is>
          <t>03-3983-8261</t>
        </is>
      </c>
      <c r="F487" s="13" t="inlineStr">
        <is>
          <t>中</t>
        </is>
      </c>
      <c r="G487" s="5" t="inlineStr">
        <is>
          <t>普通科</t>
        </is>
      </c>
      <c r="H487" s="8" t="n"/>
      <c r="I487" s="9" t="n"/>
      <c r="J487" s="9" t="inlineStr">
        <is>
          <t>未架電</t>
        </is>
      </c>
      <c r="K487" s="8" t="n"/>
      <c r="L487" s="9" t="n"/>
      <c r="M487" s="10" t="inlineStr">
        <is>
          <t>中高共通。学校情報サイトのみで確認</t>
        </is>
      </c>
      <c r="N487" s="11" t="inlineStr">
        <is>
          <t>https://www.inter-edu.com/schools/school/66</t>
        </is>
      </c>
      <c r="O487" s="12" t="inlineStr">
        <is>
          <t>開く</t>
        </is>
      </c>
    </row>
    <row r="488">
      <c r="A488" s="4" t="n">
        <v>484</v>
      </c>
      <c r="B488" s="5" t="inlineStr">
        <is>
          <t>東京都</t>
        </is>
      </c>
      <c r="C488" s="5" t="inlineStr">
        <is>
          <t>豊島区</t>
        </is>
      </c>
      <c r="D488" s="5" t="inlineStr">
        <is>
          <t>豊島学院高等学校</t>
        </is>
      </c>
      <c r="E488" s="6" t="inlineStr">
        <is>
          <t>03-3988-5511</t>
        </is>
      </c>
      <c r="F488" s="7" t="inlineStr">
        <is>
          <t>高</t>
        </is>
      </c>
      <c r="G488" s="5" t="inlineStr">
        <is>
          <t>普通科</t>
        </is>
      </c>
      <c r="H488" s="8" t="n"/>
      <c r="I488" s="9" t="n"/>
      <c r="J488" s="9" t="inlineStr">
        <is>
          <t>未架電</t>
        </is>
      </c>
      <c r="K488" s="8" t="n"/>
      <c r="L488" s="9" t="n"/>
      <c r="M488" s="10" t="inlineStr">
        <is>
          <t>3つの情報源で一致。昭和鉄道高校と同じ番号（同じ学校法人・同じ敷地）</t>
        </is>
      </c>
      <c r="N488" s="11" t="inlineStr">
        <is>
          <t>https://www.inter-edu.com/schools/school/655 ; https://school.js88.com/scl_h/22039730?page=5</t>
        </is>
      </c>
      <c r="O488" s="12" t="inlineStr">
        <is>
          <t>開く</t>
        </is>
      </c>
    </row>
    <row r="489">
      <c r="A489" s="4" t="n">
        <v>485</v>
      </c>
      <c r="B489" s="5" t="inlineStr">
        <is>
          <t>東京都</t>
        </is>
      </c>
      <c r="C489" s="5" t="inlineStr">
        <is>
          <t>文京区</t>
        </is>
      </c>
      <c r="D489" s="5" t="inlineStr">
        <is>
          <t>獨協高等学校</t>
        </is>
      </c>
      <c r="E489" s="6" t="inlineStr">
        <is>
          <t>03-3943-3651</t>
        </is>
      </c>
      <c r="F489" s="7" t="inlineStr">
        <is>
          <t>高</t>
        </is>
      </c>
      <c r="G489" s="5" t="inlineStr">
        <is>
          <t>普通科</t>
        </is>
      </c>
      <c r="H489" s="8" t="n"/>
      <c r="I489" s="9" t="n"/>
      <c r="J489" s="9" t="inlineStr">
        <is>
          <t>未架電</t>
        </is>
      </c>
      <c r="K489" s="8" t="n"/>
      <c r="L489" s="9" t="n"/>
      <c r="M489" s="10" t="inlineStr">
        <is>
          <t>代表として掲載。中高共通</t>
        </is>
      </c>
      <c r="N489" s="11" t="inlineStr">
        <is>
          <t>https://www.city.bunkyo.lg.jp/documents/5788/kizi_2024.pdf ; https://www.inter-edu.com/schools/school/93</t>
        </is>
      </c>
      <c r="O489" s="12" t="inlineStr">
        <is>
          <t>開く</t>
        </is>
      </c>
    </row>
    <row r="490">
      <c r="A490" s="4" t="n">
        <v>486</v>
      </c>
      <c r="B490" s="5" t="inlineStr">
        <is>
          <t>東京都</t>
        </is>
      </c>
      <c r="C490" s="5" t="inlineStr">
        <is>
          <t>調布市</t>
        </is>
      </c>
      <c r="D490" s="5" t="inlineStr">
        <is>
          <t>ドルトン東京学園高等部</t>
        </is>
      </c>
      <c r="E490" s="6" t="inlineStr">
        <is>
          <t>03-5787-7945</t>
        </is>
      </c>
      <c r="F490" s="7" t="inlineStr">
        <is>
          <t>高</t>
        </is>
      </c>
      <c r="G490" s="5" t="inlineStr">
        <is>
          <t>普通科</t>
        </is>
      </c>
      <c r="H490" s="8" t="n"/>
      <c r="I490" s="9" t="n"/>
      <c r="J490" s="9" t="inlineStr">
        <is>
          <t>未架電</t>
        </is>
      </c>
      <c r="K490" s="8" t="n"/>
      <c r="L490" s="9" t="n"/>
      <c r="M490" s="10" t="inlineStr">
        <is>
          <t>中高共通</t>
        </is>
      </c>
      <c r="N490" s="11" t="inlineStr">
        <is>
          <t>https://www.inter-edu.com/schools/school/2508 ; https://school.js88.com/scl_j/34041514</t>
        </is>
      </c>
      <c r="O490" s="12" t="inlineStr">
        <is>
          <t>開く</t>
        </is>
      </c>
    </row>
    <row r="491">
      <c r="A491" s="4" t="n">
        <v>487</v>
      </c>
      <c r="B491" s="5" t="inlineStr">
        <is>
          <t>東京都</t>
        </is>
      </c>
      <c r="C491" s="5" t="inlineStr">
        <is>
          <t>江東区</t>
        </is>
      </c>
      <c r="D491" s="5" t="inlineStr">
        <is>
          <t>中村高等学校</t>
        </is>
      </c>
      <c r="E491" s="6" t="inlineStr">
        <is>
          <t>03-3642-8041</t>
        </is>
      </c>
      <c r="F491" s="7" t="inlineStr">
        <is>
          <t>高</t>
        </is>
      </c>
      <c r="G491" s="5" t="inlineStr">
        <is>
          <t>普通科・専門学科</t>
        </is>
      </c>
      <c r="H491" s="8" t="n"/>
      <c r="I491" s="9" t="n"/>
      <c r="J491" s="9" t="inlineStr">
        <is>
          <t>未架電</t>
        </is>
      </c>
      <c r="K491" s="8" t="n"/>
      <c r="L491" s="9" t="n"/>
      <c r="M491" s="10" t="inlineStr">
        <is>
          <t>中高共通</t>
        </is>
      </c>
      <c r="N491" s="11" t="inlineStr">
        <is>
          <t>https://www.inter-edu.com/schools/school/2081 ; https://school.js88.com/scl_h/22038820/</t>
        </is>
      </c>
      <c r="O491" s="12" t="inlineStr">
        <is>
          <t>開く</t>
        </is>
      </c>
    </row>
    <row r="492">
      <c r="A492" s="4" t="n">
        <v>488</v>
      </c>
      <c r="B492" s="5" t="inlineStr">
        <is>
          <t>東京都</t>
        </is>
      </c>
      <c r="C492" s="5" t="inlineStr">
        <is>
          <t>千代田区</t>
        </is>
      </c>
      <c r="D492" s="5" t="inlineStr">
        <is>
          <t>二松学舎大学附属高等学校</t>
        </is>
      </c>
      <c r="E492" s="6" t="inlineStr">
        <is>
          <t>03-3261-9288</t>
        </is>
      </c>
      <c r="F492" s="13" t="inlineStr">
        <is>
          <t>中</t>
        </is>
      </c>
      <c r="G492" s="5" t="inlineStr">
        <is>
          <t>普通科</t>
        </is>
      </c>
      <c r="H492" s="8" t="n"/>
      <c r="I492" s="9" t="n"/>
      <c r="J492" s="9" t="inlineStr">
        <is>
          <t>未架電</t>
        </is>
      </c>
      <c r="K492" s="8" t="n"/>
      <c r="L492" s="9" t="n"/>
      <c r="M492" s="10" t="inlineStr">
        <is>
          <t>学校情報サイト1件のみで確認。柏校とは別の学校</t>
        </is>
      </c>
      <c r="N492" s="11" t="inlineStr">
        <is>
          <t>https://school.js88.com/scl_h/22038030</t>
        </is>
      </c>
      <c r="O492" s="12" t="inlineStr">
        <is>
          <t>開く</t>
        </is>
      </c>
    </row>
    <row r="493">
      <c r="A493" s="4" t="n">
        <v>489</v>
      </c>
      <c r="B493" s="5" t="inlineStr">
        <is>
          <t>東京都</t>
        </is>
      </c>
      <c r="C493" s="5" t="inlineStr">
        <is>
          <t>中野区</t>
        </is>
      </c>
      <c r="D493" s="5" t="inlineStr">
        <is>
          <t>新渡戸文化高等学校</t>
        </is>
      </c>
      <c r="E493" s="6" t="inlineStr">
        <is>
          <t>03-3381-0408</t>
        </is>
      </c>
      <c r="F493" s="13" t="inlineStr">
        <is>
          <t>中</t>
        </is>
      </c>
      <c r="G493" s="5" t="inlineStr">
        <is>
          <t>普通科</t>
        </is>
      </c>
      <c r="H493" s="8" t="n"/>
      <c r="I493" s="9" t="n"/>
      <c r="J493" s="9" t="inlineStr">
        <is>
          <t>未架電</t>
        </is>
      </c>
      <c r="K493" s="8" t="n"/>
      <c r="L493" s="9" t="n"/>
      <c r="M493" s="10" t="inlineStr">
        <is>
          <t>中高共通。学校情報サイトのみで確認</t>
        </is>
      </c>
      <c r="N493" s="11" t="inlineStr">
        <is>
          <t>https://www.inter-edu.com/schools/school/2101</t>
        </is>
      </c>
      <c r="O493" s="12" t="inlineStr">
        <is>
          <t>開く</t>
        </is>
      </c>
    </row>
    <row r="494">
      <c r="A494" s="4" t="n">
        <v>490</v>
      </c>
      <c r="B494" s="5" t="inlineStr">
        <is>
          <t>東京都</t>
        </is>
      </c>
      <c r="C494" s="5" t="inlineStr">
        <is>
          <t>目黒区</t>
        </is>
      </c>
      <c r="D494" s="5" t="inlineStr">
        <is>
          <t>日本工業大学駒場高等学校</t>
        </is>
      </c>
      <c r="E494" s="6" t="inlineStr">
        <is>
          <t>03-3467-2130</t>
        </is>
      </c>
      <c r="F494" s="13" t="inlineStr">
        <is>
          <t>中</t>
        </is>
      </c>
      <c r="G494" s="5" t="inlineStr">
        <is>
          <t>普通科</t>
        </is>
      </c>
      <c r="H494" s="8" t="n"/>
      <c r="I494" s="9" t="n"/>
      <c r="J494" s="9" t="inlineStr">
        <is>
          <t>未架電</t>
        </is>
      </c>
      <c r="K494" s="8" t="n"/>
      <c r="L494" s="9" t="n"/>
      <c r="M494" s="10" t="inlineStr">
        <is>
          <t>中高共通。学校情報サイトのみで確認</t>
        </is>
      </c>
      <c r="N494" s="11" t="inlineStr">
        <is>
          <t>https://www.inter-edu.com/schools/school/2079</t>
        </is>
      </c>
      <c r="O494" s="12" t="inlineStr">
        <is>
          <t>開く</t>
        </is>
      </c>
    </row>
    <row r="495">
      <c r="A495" s="4" t="n">
        <v>491</v>
      </c>
      <c r="B495" s="5" t="inlineStr">
        <is>
          <t>東京都</t>
        </is>
      </c>
      <c r="C495" s="5" t="inlineStr">
        <is>
          <t>世田谷区</t>
        </is>
      </c>
      <c r="D495" s="5" t="inlineStr">
        <is>
          <t>日本女子体育大学附属二階堂高等学校</t>
        </is>
      </c>
      <c r="E495" s="6" t="inlineStr">
        <is>
          <t>03-3322-9159</t>
        </is>
      </c>
      <c r="F495" s="13" t="inlineStr">
        <is>
          <t>中</t>
        </is>
      </c>
      <c r="G495" s="5" t="inlineStr">
        <is>
          <t>普通科</t>
        </is>
      </c>
      <c r="H495" s="8" t="n"/>
      <c r="I495" s="9" t="n"/>
      <c r="J495" s="9" t="inlineStr">
        <is>
          <t>未架電</t>
        </is>
      </c>
      <c r="K495" s="8" t="n"/>
      <c r="L495" s="9" t="n"/>
      <c r="M495" s="10" t="inlineStr">
        <is>
          <t>学校情報サイト1件のみで確認</t>
        </is>
      </c>
      <c r="N495" s="11" t="inlineStr">
        <is>
          <t>https://www.inter-edu.com/schools/school/1801</t>
        </is>
      </c>
      <c r="O495" s="12" t="inlineStr">
        <is>
          <t>開く</t>
        </is>
      </c>
    </row>
    <row r="496">
      <c r="A496" s="4" t="n">
        <v>492</v>
      </c>
      <c r="B496" s="5" t="inlineStr">
        <is>
          <t>東京都</t>
        </is>
      </c>
      <c r="C496" s="5" t="inlineStr">
        <is>
          <t>大田区</t>
        </is>
      </c>
      <c r="D496" s="5" t="inlineStr">
        <is>
          <t>日本体育大学荏原高等学校</t>
        </is>
      </c>
      <c r="E496" s="6" t="inlineStr">
        <is>
          <t>03-3759-3291</t>
        </is>
      </c>
      <c r="F496" s="7" t="inlineStr">
        <is>
          <t>高</t>
        </is>
      </c>
      <c r="G496" s="5" t="inlineStr">
        <is>
          <t>普通科</t>
        </is>
      </c>
      <c r="H496" s="8" t="n"/>
      <c r="I496" s="9" t="n"/>
      <c r="J496" s="9" t="inlineStr">
        <is>
          <t>未架電</t>
        </is>
      </c>
      <c r="K496" s="8" t="n"/>
      <c r="L496" s="9" t="n"/>
      <c r="M496" s="10" t="inlineStr">
        <is>
          <t>2つのサイトで一致</t>
        </is>
      </c>
      <c r="N496" s="11" t="inlineStr">
        <is>
          <t>https://www.inter-edu.com/schools/school/1023 ; https://school.js88.com/scl_h/22039120</t>
        </is>
      </c>
      <c r="O496" s="12" t="inlineStr">
        <is>
          <t>開く</t>
        </is>
      </c>
    </row>
    <row r="497">
      <c r="A497" s="4" t="n">
        <v>493</v>
      </c>
      <c r="B497" s="5" t="inlineStr">
        <is>
          <t>東京都</t>
        </is>
      </c>
      <c r="C497" s="5" t="inlineStr">
        <is>
          <t>東村山市</t>
        </is>
      </c>
      <c r="D497" s="5" t="inlineStr">
        <is>
          <t>日本体育大学桜華高等学校</t>
        </is>
      </c>
      <c r="E497" s="6" t="inlineStr">
        <is>
          <t>042-391-4133</t>
        </is>
      </c>
      <c r="F497" s="7" t="inlineStr">
        <is>
          <t>高</t>
        </is>
      </c>
      <c r="G497" s="5" t="inlineStr">
        <is>
          <t>普通科</t>
        </is>
      </c>
      <c r="H497" s="8" t="n"/>
      <c r="I497" s="9" t="n"/>
      <c r="J497" s="9" t="inlineStr">
        <is>
          <t>未架電</t>
        </is>
      </c>
      <c r="K497" s="8" t="n"/>
      <c r="L497" s="9" t="n"/>
      <c r="M497" s="10" t="inlineStr">
        <is>
          <t>中高共通</t>
        </is>
      </c>
      <c r="N497" s="11" t="inlineStr">
        <is>
          <t>https://school.js88.com/scl_h/22040050 ; https://www.inter-edu.com/schools/school/2212</t>
        </is>
      </c>
      <c r="O497" s="12" t="inlineStr">
        <is>
          <t>開く</t>
        </is>
      </c>
    </row>
    <row r="498">
      <c r="A498" s="4" t="n">
        <v>494</v>
      </c>
      <c r="B498" s="5" t="inlineStr">
        <is>
          <t>東京都</t>
        </is>
      </c>
      <c r="C498" s="5" t="inlineStr">
        <is>
          <t>世田谷区</t>
        </is>
      </c>
      <c r="D498" s="5" t="inlineStr">
        <is>
          <t>日本大学櫻丘高等学校</t>
        </is>
      </c>
      <c r="E498" s="6" t="inlineStr">
        <is>
          <t>03-5317-9300</t>
        </is>
      </c>
      <c r="F498" s="13" t="inlineStr">
        <is>
          <t>中</t>
        </is>
      </c>
      <c r="G498" s="5" t="inlineStr">
        <is>
          <t>普通科</t>
        </is>
      </c>
      <c r="H498" s="8" t="n"/>
      <c r="I498" s="9" t="n"/>
      <c r="J498" s="9" t="inlineStr">
        <is>
          <t>未架電</t>
        </is>
      </c>
      <c r="K498" s="8" t="n"/>
      <c r="L498" s="9" t="n"/>
      <c r="M498" s="10" t="inlineStr">
        <is>
          <t>学校情報サイト1件のみで確認</t>
        </is>
      </c>
      <c r="N498" s="11" t="inlineStr">
        <is>
          <t>https://www.inter-edu.com/schools/school/666</t>
        </is>
      </c>
      <c r="O498" s="12" t="inlineStr">
        <is>
          <t>開く</t>
        </is>
      </c>
    </row>
    <row r="499">
      <c r="A499" s="4" t="n">
        <v>495</v>
      </c>
      <c r="B499" s="5" t="inlineStr">
        <is>
          <t>東京都</t>
        </is>
      </c>
      <c r="C499" s="5" t="inlineStr">
        <is>
          <t>墨田区</t>
        </is>
      </c>
      <c r="D499" s="5" t="inlineStr">
        <is>
          <t>日本大学第一高等学校</t>
        </is>
      </c>
      <c r="E499" s="6" t="inlineStr">
        <is>
          <t>03-3625-0026</t>
        </is>
      </c>
      <c r="F499" s="13" t="inlineStr">
        <is>
          <t>中</t>
        </is>
      </c>
      <c r="G499" s="5" t="inlineStr">
        <is>
          <t>普通科</t>
        </is>
      </c>
      <c r="H499" s="8" t="n"/>
      <c r="I499" s="9" t="n"/>
      <c r="J499" s="9" t="inlineStr">
        <is>
          <t>未架電</t>
        </is>
      </c>
      <c r="K499" s="8" t="n"/>
      <c r="L499" s="9" t="n"/>
      <c r="M499" s="10" t="inlineStr">
        <is>
          <t>中高共通。学校情報サイトのみで確認</t>
        </is>
      </c>
      <c r="N499" s="11" t="inlineStr">
        <is>
          <t>https://www.inter-edu.com/schools/school/1963</t>
        </is>
      </c>
      <c r="O499" s="12" t="inlineStr">
        <is>
          <t>開く</t>
        </is>
      </c>
    </row>
    <row r="500">
      <c r="A500" s="4" t="n">
        <v>496</v>
      </c>
      <c r="B500" s="5" t="inlineStr">
        <is>
          <t>東京都</t>
        </is>
      </c>
      <c r="C500" s="5" t="inlineStr">
        <is>
          <t>町田市</t>
        </is>
      </c>
      <c r="D500" s="5" t="inlineStr">
        <is>
          <t>日本大学第三高等学校</t>
        </is>
      </c>
      <c r="E500" s="6" t="inlineStr">
        <is>
          <t>042-789-5535</t>
        </is>
      </c>
      <c r="F500" s="13" t="inlineStr">
        <is>
          <t>中</t>
        </is>
      </c>
      <c r="G500" s="5" t="inlineStr">
        <is>
          <t>普通科</t>
        </is>
      </c>
      <c r="H500" s="8" t="n"/>
      <c r="I500" s="9" t="n"/>
      <c r="J500" s="9" t="inlineStr">
        <is>
          <t>未架電</t>
        </is>
      </c>
      <c r="K500" s="8" t="n"/>
      <c r="L500" s="9" t="n"/>
      <c r="M500" s="10" t="inlineStr">
        <is>
          <t>学校情報サイトのみで確認。中学校は042-793-2131の可能性</t>
        </is>
      </c>
      <c r="N500" s="11" t="inlineStr">
        <is>
          <t>https://www.inter-edu.com/schools/school/1964</t>
        </is>
      </c>
      <c r="O500" s="12" t="inlineStr">
        <is>
          <t>開く</t>
        </is>
      </c>
    </row>
    <row r="501">
      <c r="A501" s="4" t="n">
        <v>497</v>
      </c>
      <c r="B501" s="5" t="inlineStr">
        <is>
          <t>東京都</t>
        </is>
      </c>
      <c r="C501" s="5" t="inlineStr">
        <is>
          <t>杉並区</t>
        </is>
      </c>
      <c r="D501" s="5" t="inlineStr">
        <is>
          <t>日本大学第二高等学校</t>
        </is>
      </c>
      <c r="E501" s="6" t="inlineStr">
        <is>
          <t>03-3391-0223</t>
        </is>
      </c>
      <c r="F501" s="7" t="inlineStr">
        <is>
          <t>高</t>
        </is>
      </c>
      <c r="G501" s="5" t="inlineStr">
        <is>
          <t>普通科</t>
        </is>
      </c>
      <c r="H501" s="8" t="n"/>
      <c r="I501" s="9" t="n"/>
      <c r="J501" s="9" t="inlineStr">
        <is>
          <t>未架電</t>
        </is>
      </c>
      <c r="K501" s="8" t="n"/>
      <c r="L501" s="9" t="n"/>
      <c r="M501" s="10" t="inlineStr">
        <is>
          <t>公式サイトで確認。中高共通</t>
        </is>
      </c>
      <c r="N501" s="11" t="inlineStr">
        <is>
          <t>https://www.nichidai2.ac.jp/access/</t>
        </is>
      </c>
      <c r="O501" s="12" t="inlineStr">
        <is>
          <t>開く</t>
        </is>
      </c>
    </row>
    <row r="502">
      <c r="A502" s="4" t="n">
        <v>498</v>
      </c>
      <c r="B502" s="5" t="inlineStr">
        <is>
          <t>東京都</t>
        </is>
      </c>
      <c r="C502" s="5" t="inlineStr">
        <is>
          <t>杉並区</t>
        </is>
      </c>
      <c r="D502" s="5" t="inlineStr">
        <is>
          <t>日本大学鶴ヶ丘高等学校</t>
        </is>
      </c>
      <c r="E502" s="6" t="inlineStr">
        <is>
          <t>03-3322-7521</t>
        </is>
      </c>
      <c r="F502" s="13" t="inlineStr">
        <is>
          <t>中</t>
        </is>
      </c>
      <c r="G502" s="5" t="inlineStr">
        <is>
          <t>普通科</t>
        </is>
      </c>
      <c r="H502" s="8" t="n"/>
      <c r="I502" s="9" t="n"/>
      <c r="J502" s="9" t="inlineStr">
        <is>
          <t>未架電</t>
        </is>
      </c>
      <c r="K502" s="8" t="n"/>
      <c r="L502" s="9" t="n"/>
      <c r="M502" s="10" t="inlineStr">
        <is>
          <t>学校情報サイト1件のみで確認</t>
        </is>
      </c>
      <c r="N502" s="11" t="inlineStr">
        <is>
          <t>https://www.inter-edu.com/schools/school/549</t>
        </is>
      </c>
      <c r="O502" s="12" t="inlineStr">
        <is>
          <t>開く</t>
        </is>
      </c>
    </row>
    <row r="503">
      <c r="A503" s="4" t="n">
        <v>499</v>
      </c>
      <c r="B503" s="5" t="inlineStr">
        <is>
          <t>東京都</t>
        </is>
      </c>
      <c r="C503" s="5" t="inlineStr">
        <is>
          <t>文京区</t>
        </is>
      </c>
      <c r="D503" s="5" t="inlineStr">
        <is>
          <t>日本大学豊山高等学校</t>
        </is>
      </c>
      <c r="E503" s="6" t="inlineStr">
        <is>
          <t>03-3943-2161</t>
        </is>
      </c>
      <c r="F503" s="7" t="inlineStr">
        <is>
          <t>高</t>
        </is>
      </c>
      <c r="G503" s="5" t="inlineStr">
        <is>
          <t>普通科</t>
        </is>
      </c>
      <c r="H503" s="8" t="n"/>
      <c r="I503" s="9" t="n"/>
      <c r="J503" s="9" t="inlineStr">
        <is>
          <t>未架電</t>
        </is>
      </c>
      <c r="K503" s="8" t="n"/>
      <c r="L503" s="9" t="n"/>
      <c r="M503" s="10" t="inlineStr">
        <is>
          <t>公式資料に「代表」と記載。中高共通</t>
        </is>
      </c>
      <c r="N503" s="11" t="inlineStr">
        <is>
          <t>https://www.buzan.hs.nihon-u.ac.jp/app/files/uploads/2023/07/0c3e5f5f42ed3ec2a5cc6564632ff9a9.pdf</t>
        </is>
      </c>
      <c r="O503" s="12" t="inlineStr">
        <is>
          <t>開く</t>
        </is>
      </c>
    </row>
    <row r="504">
      <c r="A504" s="4" t="n">
        <v>500</v>
      </c>
      <c r="B504" s="5" t="inlineStr">
        <is>
          <t>東京都</t>
        </is>
      </c>
      <c r="C504" s="5" t="inlineStr">
        <is>
          <t>板橋区</t>
        </is>
      </c>
      <c r="D504" s="5" t="inlineStr">
        <is>
          <t>日本大学豊山女子高等学校</t>
        </is>
      </c>
      <c r="E504" s="6" t="inlineStr">
        <is>
          <t>03-3934-2341</t>
        </is>
      </c>
      <c r="F504" s="7" t="inlineStr">
        <is>
          <t>高</t>
        </is>
      </c>
      <c r="G504" s="5" t="inlineStr">
        <is>
          <t>普通科・専門学科</t>
        </is>
      </c>
      <c r="H504" s="8" t="n"/>
      <c r="I504" s="9" t="n"/>
      <c r="J504" s="9" t="inlineStr">
        <is>
          <t>未架電</t>
        </is>
      </c>
      <c r="K504" s="8" t="n"/>
      <c r="L504" s="9" t="n"/>
      <c r="M504" s="10" t="inlineStr">
        <is>
          <t>中高共通。2つのサイトで一致</t>
        </is>
      </c>
      <c r="N504" s="11" t="inlineStr">
        <is>
          <t>https://www.inter-edu.com/schools/school/253</t>
        </is>
      </c>
      <c r="O504" s="12" t="inlineStr">
        <is>
          <t>開く</t>
        </is>
      </c>
    </row>
    <row r="505">
      <c r="A505" s="4" t="n">
        <v>501</v>
      </c>
      <c r="B505" s="5" t="inlineStr">
        <is>
          <t>東京都</t>
        </is>
      </c>
      <c r="C505" s="5" t="inlineStr">
        <is>
          <t>八王子市</t>
        </is>
      </c>
      <c r="D505" s="5" t="inlineStr">
        <is>
          <t>八王子学園八王子高等学校</t>
        </is>
      </c>
      <c r="E505" s="6" t="inlineStr">
        <is>
          <t>042-623-3461</t>
        </is>
      </c>
      <c r="F505" s="13" t="inlineStr">
        <is>
          <t>中</t>
        </is>
      </c>
      <c r="G505" s="5" t="inlineStr">
        <is>
          <t>普通科</t>
        </is>
      </c>
      <c r="H505" s="8" t="n"/>
      <c r="I505" s="9" t="n"/>
      <c r="J505" s="9" t="inlineStr">
        <is>
          <t>未架電</t>
        </is>
      </c>
      <c r="K505" s="8" t="n"/>
      <c r="L505" s="9" t="n"/>
      <c r="M505" s="10" t="inlineStr">
        <is>
          <t>中高共通。学校情報サイトのみで確認</t>
        </is>
      </c>
      <c r="N505" s="11" t="inlineStr">
        <is>
          <t>https://www.inter-edu.com/schools/school/2097</t>
        </is>
      </c>
      <c r="O505" s="12" t="inlineStr">
        <is>
          <t>開く</t>
        </is>
      </c>
    </row>
    <row r="506">
      <c r="A506" s="4" t="n">
        <v>502</v>
      </c>
      <c r="B506" s="5" t="inlineStr">
        <is>
          <t>東京都</t>
        </is>
      </c>
      <c r="C506" s="5" t="inlineStr">
        <is>
          <t>八王子市</t>
        </is>
      </c>
      <c r="D506" s="5" t="inlineStr">
        <is>
          <t>八王子実践高等学校</t>
        </is>
      </c>
      <c r="E506" s="6" t="inlineStr">
        <is>
          <t>042-622-0654</t>
        </is>
      </c>
      <c r="F506" s="13" t="inlineStr">
        <is>
          <t>中</t>
        </is>
      </c>
      <c r="G506" s="5" t="inlineStr">
        <is>
          <t>普通科</t>
        </is>
      </c>
      <c r="H506" s="8" t="n"/>
      <c r="I506" s="9" t="n"/>
      <c r="J506" s="9" t="inlineStr">
        <is>
          <t>未架電</t>
        </is>
      </c>
      <c r="K506" s="8" t="n"/>
      <c r="L506" s="9" t="n"/>
      <c r="M506" s="10" t="inlineStr">
        <is>
          <t>中高共通。学校情報サイトのみで確認</t>
        </is>
      </c>
      <c r="N506" s="11" t="inlineStr">
        <is>
          <t>https://www.inter-edu.com/schools/school/2106</t>
        </is>
      </c>
      <c r="O506" s="12" t="inlineStr">
        <is>
          <t>開く</t>
        </is>
      </c>
    </row>
    <row r="507">
      <c r="A507" s="4" t="n">
        <v>503</v>
      </c>
      <c r="B507" s="5" t="inlineStr">
        <is>
          <t>東京都</t>
        </is>
      </c>
      <c r="C507" s="5" t="inlineStr">
        <is>
          <t>大田区</t>
        </is>
      </c>
      <c r="D507" s="5" t="inlineStr">
        <is>
          <t>羽田国際高等学校</t>
        </is>
      </c>
      <c r="E507" s="6" t="inlineStr">
        <is>
          <t>03-3742-1511</t>
        </is>
      </c>
      <c r="F507" s="7" t="inlineStr">
        <is>
          <t>高</t>
        </is>
      </c>
      <c r="G507" s="5" t="inlineStr">
        <is>
          <t>普通科</t>
        </is>
      </c>
      <c r="H507" s="8" t="n"/>
      <c r="I507" s="9" t="n"/>
      <c r="J507" s="9" t="inlineStr">
        <is>
          <t>未架電</t>
        </is>
      </c>
      <c r="K507" s="8" t="n"/>
      <c r="L507" s="9" t="n"/>
      <c r="M507" s="10" t="inlineStr">
        <is>
          <t>法人の広報資料と学校情報サイトで一致。中高共通</t>
        </is>
      </c>
      <c r="N507" s="11" t="inlineStr">
        <is>
          <t>https://prtimes.jp/main/html/rd/p/000000037.000115210.html ; https://www.inter-edu.com/schools/school/1871</t>
        </is>
      </c>
      <c r="O507" s="12" t="inlineStr">
        <is>
          <t>開く</t>
        </is>
      </c>
    </row>
    <row r="508">
      <c r="A508" s="4" t="n">
        <v>504</v>
      </c>
      <c r="B508" s="5" t="inlineStr">
        <is>
          <t>東京都</t>
        </is>
      </c>
      <c r="C508" s="5" t="inlineStr">
        <is>
          <t>文京区</t>
        </is>
      </c>
      <c r="D508" s="5" t="inlineStr">
        <is>
          <t>広尾学園小石川高等学校</t>
        </is>
      </c>
      <c r="E508" s="6" t="inlineStr">
        <is>
          <t>03-5940-4455</t>
        </is>
      </c>
      <c r="F508" s="7" t="inlineStr">
        <is>
          <t>高</t>
        </is>
      </c>
      <c r="G508" s="5" t="inlineStr">
        <is>
          <t>普通科</t>
        </is>
      </c>
      <c r="H508" s="8" t="n"/>
      <c r="I508" s="9" t="n"/>
      <c r="J508" s="9" t="inlineStr">
        <is>
          <t>未架電</t>
        </is>
      </c>
      <c r="K508" s="8" t="n"/>
      <c r="L508" s="9" t="n"/>
      <c r="M508" s="10" t="inlineStr">
        <is>
          <t>公式サイトで確認。中高共通。入試専用は03-5940-4187</t>
        </is>
      </c>
      <c r="N508" s="11" t="inlineStr">
        <is>
          <t>https://hiroo-koishikawa.ed.jp/contact</t>
        </is>
      </c>
      <c r="O508" s="12" t="inlineStr">
        <is>
          <t>開く</t>
        </is>
      </c>
    </row>
    <row r="509">
      <c r="A509" s="4" t="n">
        <v>505</v>
      </c>
      <c r="B509" s="5" t="inlineStr">
        <is>
          <t>東京都</t>
        </is>
      </c>
      <c r="C509" s="5" t="inlineStr">
        <is>
          <t>港区</t>
        </is>
      </c>
      <c r="D509" s="5" t="inlineStr">
        <is>
          <t>広尾学園高等学校</t>
        </is>
      </c>
      <c r="E509" s="6" t="inlineStr">
        <is>
          <t>03-3444-7272</t>
        </is>
      </c>
      <c r="F509" s="7" t="inlineStr">
        <is>
          <t>高</t>
        </is>
      </c>
      <c r="G509" s="5" t="inlineStr">
        <is>
          <t>普通科</t>
        </is>
      </c>
      <c r="H509" s="8" t="n"/>
      <c r="I509" s="9" t="n"/>
      <c r="J509" s="9" t="inlineStr">
        <is>
          <t>未架電</t>
        </is>
      </c>
      <c r="K509" s="8" t="n"/>
      <c r="L509" s="9" t="n"/>
      <c r="M509" s="10" t="inlineStr">
        <is>
          <t>公式資料（広報室）と学校情報サイトで一致。中高共通</t>
        </is>
      </c>
      <c r="N509" s="11" t="inlineStr">
        <is>
          <t>https://www.hiroogakuen.ed.jp/junior/2026bosyuyoko_info.pdf</t>
        </is>
      </c>
      <c r="O509" s="12" t="inlineStr">
        <is>
          <t>開く</t>
        </is>
      </c>
    </row>
    <row r="510">
      <c r="A510" s="4" t="n">
        <v>506</v>
      </c>
      <c r="B510" s="5" t="inlineStr">
        <is>
          <t>東京都</t>
        </is>
      </c>
      <c r="C510" s="5" t="inlineStr">
        <is>
          <t>町田市</t>
        </is>
      </c>
      <c r="D510" s="5" t="inlineStr">
        <is>
          <t>フェリシア高等学校</t>
        </is>
      </c>
      <c r="E510" s="6" t="inlineStr">
        <is>
          <t>044-988-1126</t>
        </is>
      </c>
      <c r="F510" s="13" t="inlineStr">
        <is>
          <t>中</t>
        </is>
      </c>
      <c r="G510" s="5" t="inlineStr">
        <is>
          <t>普通科</t>
        </is>
      </c>
      <c r="H510" s="8" t="n"/>
      <c r="I510" s="9" t="n"/>
      <c r="J510" s="9" t="inlineStr">
        <is>
          <t>未架電</t>
        </is>
      </c>
      <c r="K510" s="8" t="n"/>
      <c r="L510" s="9" t="n"/>
      <c r="M510" s="10" t="inlineStr">
        <is>
          <t>学校情報サイト1件のみで確認（所在地は町田市、市外局番044）</t>
        </is>
      </c>
      <c r="N510" s="11" t="inlineStr">
        <is>
          <t>https://school.js88.com/scl_h/22039420</t>
        </is>
      </c>
      <c r="O510" s="12" t="inlineStr">
        <is>
          <t>開く</t>
        </is>
      </c>
    </row>
    <row r="511">
      <c r="A511" s="4" t="n">
        <v>507</v>
      </c>
      <c r="B511" s="5" t="inlineStr">
        <is>
          <t>東京都</t>
        </is>
      </c>
      <c r="C511" s="5" t="inlineStr">
        <is>
          <t>渋谷区</t>
        </is>
      </c>
      <c r="D511" s="5" t="inlineStr">
        <is>
          <t>富士見丘高等学校</t>
        </is>
      </c>
      <c r="E511" s="6" t="inlineStr">
        <is>
          <t>03-3376-1481</t>
        </is>
      </c>
      <c r="F511" s="7" t="inlineStr">
        <is>
          <t>高</t>
        </is>
      </c>
      <c r="G511" s="5" t="inlineStr">
        <is>
          <t>普通科</t>
        </is>
      </c>
      <c r="H511" s="8" t="n"/>
      <c r="I511" s="9" t="n"/>
      <c r="J511" s="9" t="inlineStr">
        <is>
          <t>未架電</t>
        </is>
      </c>
      <c r="K511" s="8" t="n"/>
      <c r="L511" s="9" t="n"/>
      <c r="M511" s="10" t="inlineStr">
        <is>
          <t>中高共通。富士見高校（練馬区）とは別の学校</t>
        </is>
      </c>
      <c r="N511" s="11" t="inlineStr">
        <is>
          <t>https://www.inter-edu.com/schools/school/256 ; https://www.minkou.jp/hischool/school/4180/</t>
        </is>
      </c>
      <c r="O511" s="12" t="inlineStr">
        <is>
          <t>開く</t>
        </is>
      </c>
    </row>
    <row r="512">
      <c r="A512" s="4" t="n">
        <v>508</v>
      </c>
      <c r="B512" s="5" t="inlineStr">
        <is>
          <t>東京都</t>
        </is>
      </c>
      <c r="C512" s="5" t="inlineStr">
        <is>
          <t>練馬区</t>
        </is>
      </c>
      <c r="D512" s="5" t="inlineStr">
        <is>
          <t>富士見高等学校</t>
        </is>
      </c>
      <c r="E512" s="6" t="inlineStr">
        <is>
          <t>03-3999-2136</t>
        </is>
      </c>
      <c r="F512" s="7" t="inlineStr">
        <is>
          <t>高</t>
        </is>
      </c>
      <c r="G512" s="5" t="inlineStr">
        <is>
          <t>普通科</t>
        </is>
      </c>
      <c r="H512" s="8" t="n"/>
      <c r="I512" s="9" t="n"/>
      <c r="J512" s="9" t="inlineStr">
        <is>
          <t>未架電</t>
        </is>
      </c>
      <c r="K512" s="8" t="n"/>
      <c r="L512" s="9" t="n"/>
      <c r="M512" s="10" t="inlineStr">
        <is>
          <t>練馬区の一覧と一致。富士見丘高校（渋谷区）とは別の学校</t>
        </is>
      </c>
      <c r="N512" s="11" t="inlineStr">
        <is>
          <t>https://www.city.nerima.tokyo.jp/shisetsu/gakko/koko.html ; https://www.inter-edu.com/schools/school/257</t>
        </is>
      </c>
      <c r="O512" s="12" t="inlineStr">
        <is>
          <t>開く</t>
        </is>
      </c>
    </row>
    <row r="513">
      <c r="A513" s="4" t="n">
        <v>509</v>
      </c>
      <c r="B513" s="5" t="inlineStr">
        <is>
          <t>東京都</t>
        </is>
      </c>
      <c r="C513" s="5" t="inlineStr">
        <is>
          <t>千代田区</t>
        </is>
      </c>
      <c r="D513" s="5" t="inlineStr">
        <is>
          <t>雙葉高等学校</t>
        </is>
      </c>
      <c r="E513" s="6" t="inlineStr">
        <is>
          <t>03-3261-0821</t>
        </is>
      </c>
      <c r="F513" s="7" t="inlineStr">
        <is>
          <t>高</t>
        </is>
      </c>
      <c r="G513" s="5" t="inlineStr">
        <is>
          <t>普通科</t>
        </is>
      </c>
      <c r="H513" s="8" t="n"/>
      <c r="I513" s="9" t="n"/>
      <c r="J513" s="9" t="inlineStr">
        <is>
          <t>未架電</t>
        </is>
      </c>
      <c r="K513" s="8" t="n"/>
      <c r="L513" s="9" t="n"/>
      <c r="M513" s="10" t="inlineStr">
        <is>
          <t>中高共通</t>
        </is>
      </c>
      <c r="N513" s="11" t="inlineStr">
        <is>
          <t>https://www.inter-edu.com/schools/school/68 ; https://www.minkou.jp/junior/school/7479/</t>
        </is>
      </c>
      <c r="O513" s="12" t="inlineStr">
        <is>
          <t>開く</t>
        </is>
      </c>
    </row>
    <row r="514">
      <c r="A514" s="4" t="n">
        <v>510</v>
      </c>
      <c r="B514" s="5" t="inlineStr">
        <is>
          <t>東京都</t>
        </is>
      </c>
      <c r="C514" s="5" t="inlineStr">
        <is>
          <t>港区</t>
        </is>
      </c>
      <c r="D514" s="5" t="inlineStr">
        <is>
          <t>普連土学園高等学校</t>
        </is>
      </c>
      <c r="E514" s="6" t="inlineStr">
        <is>
          <t>03-3451-4616</t>
        </is>
      </c>
      <c r="F514" s="7" t="inlineStr">
        <is>
          <t>高</t>
        </is>
      </c>
      <c r="G514" s="5" t="inlineStr">
        <is>
          <t>普通科</t>
        </is>
      </c>
      <c r="H514" s="8" t="n"/>
      <c r="I514" s="9" t="n"/>
      <c r="J514" s="9" t="inlineStr">
        <is>
          <t>未架電</t>
        </is>
      </c>
      <c r="K514" s="8" t="n"/>
      <c r="L514" s="9" t="n"/>
      <c r="M514" s="10" t="inlineStr">
        <is>
          <t>中高共通</t>
        </is>
      </c>
      <c r="N514" s="11" t="inlineStr">
        <is>
          <t>https://www.inter-edu.com/schools/school/258 ; https://k-doumei.or.jp/wp-content/uploads/2024/09/bd9e3ce9489feb4f707ef4abc1c07b2f.pdf</t>
        </is>
      </c>
      <c r="O514" s="12" t="inlineStr">
        <is>
          <t>開く</t>
        </is>
      </c>
    </row>
    <row r="515">
      <c r="A515" s="4" t="n">
        <v>511</v>
      </c>
      <c r="B515" s="5" t="inlineStr">
        <is>
          <t>東京都</t>
        </is>
      </c>
      <c r="C515" s="5" t="inlineStr">
        <is>
          <t>杉並区</t>
        </is>
      </c>
      <c r="D515" s="5" t="inlineStr">
        <is>
          <t>文化学園大学杉並高等学校</t>
        </is>
      </c>
      <c r="E515" s="6" t="inlineStr">
        <is>
          <t>03-3392-6636</t>
        </is>
      </c>
      <c r="F515" s="7" t="inlineStr">
        <is>
          <t>高</t>
        </is>
      </c>
      <c r="G515" s="5" t="inlineStr">
        <is>
          <t>普通科</t>
        </is>
      </c>
      <c r="H515" s="8" t="n"/>
      <c r="I515" s="9" t="n"/>
      <c r="J515" s="9" t="inlineStr">
        <is>
          <t>未架電</t>
        </is>
      </c>
      <c r="K515" s="8" t="n"/>
      <c r="L515" s="9" t="n"/>
      <c r="M515" s="10" t="inlineStr">
        <is>
          <t>杉並区の一覧と一致</t>
        </is>
      </c>
      <c r="N515" s="11" t="inlineStr">
        <is>
          <t>https://www.city.suginami.tokyo.jp/shisetsu/school/shiritsuko/index.html ; https://www.inter-edu.com/schools/school/69</t>
        </is>
      </c>
      <c r="O515" s="12" t="inlineStr">
        <is>
          <t>開く</t>
        </is>
      </c>
    </row>
    <row r="516">
      <c r="A516" s="4" t="n">
        <v>512</v>
      </c>
      <c r="B516" s="5" t="inlineStr">
        <is>
          <t>東京都</t>
        </is>
      </c>
      <c r="C516" s="5" t="inlineStr">
        <is>
          <t>文京区</t>
        </is>
      </c>
      <c r="D516" s="5" t="inlineStr">
        <is>
          <t>文京学院大学女子高等学校</t>
        </is>
      </c>
      <c r="E516" s="6" t="inlineStr">
        <is>
          <t>03-3946-5301</t>
        </is>
      </c>
      <c r="F516" s="7" t="inlineStr">
        <is>
          <t>高</t>
        </is>
      </c>
      <c r="G516" s="5" t="inlineStr">
        <is>
          <t>普通科</t>
        </is>
      </c>
      <c r="H516" s="8" t="n"/>
      <c r="I516" s="9" t="n"/>
      <c r="J516" s="9" t="inlineStr">
        <is>
          <t>未架電</t>
        </is>
      </c>
      <c r="K516" s="8" t="n"/>
      <c r="L516" s="9" t="n"/>
      <c r="M516" s="10" t="inlineStr">
        <is>
          <t>中高共通</t>
        </is>
      </c>
      <c r="N516" s="11" t="inlineStr">
        <is>
          <t>https://www.inter-edu.com/schools/school/259 ; https://www.bgu.ac.jp/bgu_sys/wp-content/uploads/2026/02/bgu815.pdf</t>
        </is>
      </c>
      <c r="O516" s="12" t="inlineStr">
        <is>
          <t>開く</t>
        </is>
      </c>
    </row>
    <row r="517">
      <c r="A517" s="4" t="n">
        <v>513</v>
      </c>
      <c r="B517" s="5" t="inlineStr">
        <is>
          <t>東京都</t>
        </is>
      </c>
      <c r="C517" s="5" t="inlineStr">
        <is>
          <t>品川区</t>
        </is>
      </c>
      <c r="D517" s="5" t="inlineStr">
        <is>
          <t>文教大学付属高等学校</t>
        </is>
      </c>
      <c r="E517" s="6" t="inlineStr">
        <is>
          <t>03-3783-5511</t>
        </is>
      </c>
      <c r="F517" s="7" t="inlineStr">
        <is>
          <t>高</t>
        </is>
      </c>
      <c r="G517" s="5" t="inlineStr">
        <is>
          <t>普通科</t>
        </is>
      </c>
      <c r="H517" s="8" t="n"/>
      <c r="I517" s="9" t="n"/>
      <c r="J517" s="9" t="inlineStr">
        <is>
          <t>未架電</t>
        </is>
      </c>
      <c r="K517" s="8" t="n"/>
      <c r="L517" s="9" t="n"/>
      <c r="M517" s="10" t="inlineStr">
        <is>
          <t>公式資料に「代表」と記載</t>
        </is>
      </c>
      <c r="N517" s="11" t="inlineStr">
        <is>
          <t>https://www.bunkyo.ac.jp/jsh/news/docs/2020hennyu_02.pdf</t>
        </is>
      </c>
      <c r="O517" s="12" t="inlineStr">
        <is>
          <t>開く</t>
        </is>
      </c>
    </row>
    <row r="518">
      <c r="A518" s="4" t="n">
        <v>514</v>
      </c>
      <c r="B518" s="5" t="inlineStr">
        <is>
          <t>東京都</t>
        </is>
      </c>
      <c r="C518" s="5" t="inlineStr">
        <is>
          <t>三鷹市</t>
        </is>
      </c>
      <c r="D518" s="5" t="inlineStr">
        <is>
          <t>法政大学高等学校</t>
        </is>
      </c>
      <c r="E518" s="6" t="inlineStr">
        <is>
          <t>0422-79-6230</t>
        </is>
      </c>
      <c r="F518" s="7" t="inlineStr">
        <is>
          <t>高</t>
        </is>
      </c>
      <c r="G518" s="5" t="inlineStr">
        <is>
          <t>普通科</t>
        </is>
      </c>
      <c r="H518" s="8" t="n"/>
      <c r="I518" s="9" t="n"/>
      <c r="J518" s="9" t="inlineStr">
        <is>
          <t>未架電</t>
        </is>
      </c>
      <c r="K518" s="8" t="n"/>
      <c r="L518" s="9" t="n"/>
      <c r="M518" s="10" t="inlineStr">
        <is>
          <t>中高共通</t>
        </is>
      </c>
      <c r="N518" s="11" t="inlineStr">
        <is>
          <t>https://school.js88.com/scl_h/22040140 ; https://www.inter-edu.com/schools/school/2007</t>
        </is>
      </c>
      <c r="O518" s="12" t="inlineStr">
        <is>
          <t>開く</t>
        </is>
      </c>
    </row>
    <row r="519">
      <c r="A519" s="4" t="n">
        <v>515</v>
      </c>
      <c r="B519" s="5" t="inlineStr">
        <is>
          <t>東京都</t>
        </is>
      </c>
      <c r="C519" s="5" t="inlineStr">
        <is>
          <t>中野区</t>
        </is>
      </c>
      <c r="D519" s="5" t="inlineStr">
        <is>
          <t>宝仙学園高等学校女子部</t>
        </is>
      </c>
      <c r="E519" s="6" t="inlineStr">
        <is>
          <t>03-3371-7103</t>
        </is>
      </c>
      <c r="F519" s="13" t="inlineStr">
        <is>
          <t>中</t>
        </is>
      </c>
      <c r="G519" s="5" t="inlineStr">
        <is>
          <t>普通科</t>
        </is>
      </c>
      <c r="H519" s="8" t="n"/>
      <c r="I519" s="9" t="n"/>
      <c r="J519" s="9" t="inlineStr">
        <is>
          <t>未架電</t>
        </is>
      </c>
      <c r="K519" s="8" t="n"/>
      <c r="L519" s="9" t="n"/>
      <c r="M519" s="10" t="inlineStr">
        <is>
          <t>学校ネットの一覧に区名がなく、所在地は中野区（中央2-28-3）として調査。理数インターと同じ番号（同じ敷地）</t>
        </is>
      </c>
      <c r="N519" s="11" t="inlineStr">
        <is>
          <t>https://www.inter-edu.com/schools/school/681</t>
        </is>
      </c>
      <c r="O519" s="12" t="inlineStr">
        <is>
          <t>開く</t>
        </is>
      </c>
    </row>
    <row r="520">
      <c r="A520" s="4" t="n">
        <v>516</v>
      </c>
      <c r="B520" s="5" t="inlineStr">
        <is>
          <t>東京都</t>
        </is>
      </c>
      <c r="C520" s="5" t="inlineStr">
        <is>
          <t>中野区</t>
        </is>
      </c>
      <c r="D520" s="5" t="inlineStr">
        <is>
          <t>宝仙学園 順天堂大学系属理数インター高等学校</t>
        </is>
      </c>
      <c r="E520" s="6" t="inlineStr">
        <is>
          <t>03-3371-7103</t>
        </is>
      </c>
      <c r="F520" s="13" t="inlineStr">
        <is>
          <t>中</t>
        </is>
      </c>
      <c r="G520" s="5" t="inlineStr">
        <is>
          <t>普通科</t>
        </is>
      </c>
      <c r="H520" s="8" t="n"/>
      <c r="I520" s="9" t="n"/>
      <c r="J520" s="9" t="inlineStr">
        <is>
          <t>未架電</t>
        </is>
      </c>
      <c r="K520" s="8" t="n"/>
      <c r="L520" s="9" t="n"/>
      <c r="M520" s="10" t="inlineStr">
        <is>
          <t>中高共通。宝仙学園女子部と同じ番号</t>
        </is>
      </c>
      <c r="N520" s="11" t="inlineStr">
        <is>
          <t>https://www.inter-edu.com/schools/school/95</t>
        </is>
      </c>
      <c r="O520" s="12" t="inlineStr">
        <is>
          <t>開く</t>
        </is>
      </c>
    </row>
    <row r="521">
      <c r="A521" s="4" t="n">
        <v>517</v>
      </c>
      <c r="B521" s="5" t="inlineStr">
        <is>
          <t>東京都</t>
        </is>
      </c>
      <c r="C521" s="5" t="inlineStr">
        <is>
          <t>豊島区</t>
        </is>
      </c>
      <c r="D521" s="5" t="inlineStr">
        <is>
          <t>豊南高等学校</t>
        </is>
      </c>
      <c r="E521" s="6" t="inlineStr">
        <is>
          <t>03-3959-5511</t>
        </is>
      </c>
      <c r="F521" s="13" t="inlineStr">
        <is>
          <t>中</t>
        </is>
      </c>
      <c r="G521" s="5" t="inlineStr">
        <is>
          <t>普通科</t>
        </is>
      </c>
      <c r="H521" s="8" t="n"/>
      <c r="I521" s="9" t="n"/>
      <c r="J521" s="9" t="inlineStr">
        <is>
          <t>未架電</t>
        </is>
      </c>
      <c r="K521" s="8" t="n"/>
      <c r="L521" s="9" t="n"/>
      <c r="M521" s="10" t="inlineStr">
        <is>
          <t>学校情報サイト1件のみで確認</t>
        </is>
      </c>
      <c r="N521" s="11" t="inlineStr">
        <is>
          <t>https://www.inter-edu.com/schools/school/682</t>
        </is>
      </c>
      <c r="O521" s="12" t="inlineStr">
        <is>
          <t>開く</t>
        </is>
      </c>
    </row>
    <row r="522">
      <c r="A522" s="4" t="n">
        <v>518</v>
      </c>
      <c r="B522" s="5" t="inlineStr">
        <is>
          <t>東京都</t>
        </is>
      </c>
      <c r="C522" s="5" t="inlineStr">
        <is>
          <t>品川区</t>
        </is>
      </c>
      <c r="D522" s="5" t="inlineStr">
        <is>
          <t>朋優学院高等学校</t>
        </is>
      </c>
      <c r="E522" s="6" t="inlineStr">
        <is>
          <t>03-3784-2131</t>
        </is>
      </c>
      <c r="F522" s="7" t="inlineStr">
        <is>
          <t>高</t>
        </is>
      </c>
      <c r="G522" s="5" t="inlineStr">
        <is>
          <t>普通科</t>
        </is>
      </c>
      <c r="H522" s="8" t="n"/>
      <c r="I522" s="9" t="n"/>
      <c r="J522" s="9" t="inlineStr">
        <is>
          <t>未架電</t>
        </is>
      </c>
      <c r="K522" s="8" t="n"/>
      <c r="L522" s="9" t="n"/>
      <c r="M522" s="10" t="inlineStr">
        <is>
          <t>2つの情報源で一致</t>
        </is>
      </c>
      <c r="N522" s="11" t="inlineStr">
        <is>
          <t>https://www.inter-edu.com/schools/school/680 ; https://www.univpress.co.jp/gk_pdf/13614.pdf</t>
        </is>
      </c>
      <c r="O522" s="12" t="inlineStr">
        <is>
          <t>開く</t>
        </is>
      </c>
    </row>
    <row r="523">
      <c r="A523" s="4" t="n">
        <v>519</v>
      </c>
      <c r="B523" s="5" t="inlineStr">
        <is>
          <t>東京都</t>
        </is>
      </c>
      <c r="C523" s="5" t="inlineStr">
        <is>
          <t>新宿区</t>
        </is>
      </c>
      <c r="D523" s="5" t="inlineStr">
        <is>
          <t>保善高等学校</t>
        </is>
      </c>
      <c r="E523" s="6" t="inlineStr">
        <is>
          <t>03-3209-8756</t>
        </is>
      </c>
      <c r="F523" s="13" t="inlineStr">
        <is>
          <t>中</t>
        </is>
      </c>
      <c r="G523" s="5" t="inlineStr">
        <is>
          <t>普通科</t>
        </is>
      </c>
      <c r="H523" s="8" t="n"/>
      <c r="I523" s="9" t="n"/>
      <c r="J523" s="9" t="inlineStr">
        <is>
          <t>未架電</t>
        </is>
      </c>
      <c r="K523" s="8" t="n"/>
      <c r="L523" s="9" t="n"/>
      <c r="M523" s="10" t="inlineStr">
        <is>
          <t>学校情報サイト1件のみで確認</t>
        </is>
      </c>
      <c r="N523" s="11" t="inlineStr">
        <is>
          <t>https://www.inter-edu.com/schools/school/679</t>
        </is>
      </c>
      <c r="O523" s="12" t="inlineStr">
        <is>
          <t>開く</t>
        </is>
      </c>
    </row>
    <row r="524">
      <c r="A524" s="4" t="n">
        <v>520</v>
      </c>
      <c r="B524" s="5" t="inlineStr">
        <is>
          <t>東京都</t>
        </is>
      </c>
      <c r="C524" s="5" t="inlineStr">
        <is>
          <t>中野区</t>
        </is>
      </c>
      <c r="D524" s="5" t="inlineStr">
        <is>
          <t>堀越高等学校</t>
        </is>
      </c>
      <c r="E524" s="6" t="inlineStr">
        <is>
          <t>03-3363-7661</t>
        </is>
      </c>
      <c r="F524" s="7" t="inlineStr">
        <is>
          <t>高</t>
        </is>
      </c>
      <c r="G524" s="5" t="inlineStr">
        <is>
          <t>普通科</t>
        </is>
      </c>
      <c r="H524" s="8" t="n"/>
      <c r="I524" s="9" t="n"/>
      <c r="J524" s="9" t="inlineStr">
        <is>
          <t>未架電</t>
        </is>
      </c>
      <c r="K524" s="8" t="n"/>
      <c r="L524" s="9" t="n"/>
      <c r="M524" s="10" t="inlineStr">
        <is>
          <t>代表として掲載</t>
        </is>
      </c>
      <c r="N524" s="11" t="inlineStr">
        <is>
          <t>https://www.inter-edu.com/schools/school/1929 ; https://school.js88.com/scl_h/22039490?page=8</t>
        </is>
      </c>
      <c r="O524" s="12" t="inlineStr">
        <is>
          <t>開く</t>
        </is>
      </c>
    </row>
    <row r="525">
      <c r="A525" s="4" t="n">
        <v>521</v>
      </c>
      <c r="B525" s="5" t="inlineStr">
        <is>
          <t>東京都</t>
        </is>
      </c>
      <c r="C525" s="5" t="inlineStr">
        <is>
          <t>豊島区</t>
        </is>
      </c>
      <c r="D525" s="5" t="inlineStr">
        <is>
          <t>本郷高等学校</t>
        </is>
      </c>
      <c r="E525" s="6" t="inlineStr">
        <is>
          <t>03-3917-1456</t>
        </is>
      </c>
      <c r="F525" s="7" t="inlineStr">
        <is>
          <t>高</t>
        </is>
      </c>
      <c r="G525" s="5" t="inlineStr">
        <is>
          <t>普通科</t>
        </is>
      </c>
      <c r="H525" s="8" t="n"/>
      <c r="I525" s="9" t="n"/>
      <c r="J525" s="9" t="inlineStr">
        <is>
          <t>未架電</t>
        </is>
      </c>
      <c r="K525" s="8" t="n"/>
      <c r="L525" s="9" t="n"/>
      <c r="M525" s="10" t="inlineStr">
        <is>
          <t>中高共通</t>
        </is>
      </c>
      <c r="N525" s="11" t="inlineStr">
        <is>
          <t>https://www.minkou.jp/hischool/school/university/4472/s=1/ ; https://www.inter-edu.com/schools/school/82/</t>
        </is>
      </c>
      <c r="O525" s="12" t="inlineStr">
        <is>
          <t>開く</t>
        </is>
      </c>
    </row>
    <row r="526">
      <c r="A526" s="4" t="n">
        <v>522</v>
      </c>
      <c r="B526" s="5" t="inlineStr">
        <is>
          <t>東京都</t>
        </is>
      </c>
      <c r="C526" s="5" t="inlineStr">
        <is>
          <t>世田谷区</t>
        </is>
      </c>
      <c r="D526" s="5" t="inlineStr">
        <is>
          <t>三田国際科学学園高等学校</t>
        </is>
      </c>
      <c r="E526" s="6" t="inlineStr">
        <is>
          <t>03-3707-5676</t>
        </is>
      </c>
      <c r="F526" s="13" t="inlineStr">
        <is>
          <t>中</t>
        </is>
      </c>
      <c r="G526" s="5" t="inlineStr">
        <is>
          <t>普通科</t>
        </is>
      </c>
      <c r="H526" s="8" t="n"/>
      <c r="I526" s="9" t="n"/>
      <c r="J526" s="9" t="inlineStr">
        <is>
          <t>未架電</t>
        </is>
      </c>
      <c r="K526" s="8" t="n"/>
      <c r="L526" s="9" t="n"/>
      <c r="M526" s="10" t="inlineStr">
        <is>
          <t>【校名変更】2025年4月に三田国際学園から改称。中高共通</t>
        </is>
      </c>
      <c r="N526" s="11" t="inlineStr">
        <is>
          <t>https://www.inter-edu.com/schools/school/252</t>
        </is>
      </c>
      <c r="O526" s="12" t="inlineStr">
        <is>
          <t>開く</t>
        </is>
      </c>
    </row>
    <row r="527">
      <c r="A527" s="4" t="n">
        <v>523</v>
      </c>
      <c r="B527" s="5" t="inlineStr">
        <is>
          <t>東京都</t>
        </is>
      </c>
      <c r="C527" s="5" t="inlineStr">
        <is>
          <t>三鷹市</t>
        </is>
      </c>
      <c r="D527" s="5" t="inlineStr">
        <is>
          <t>明星学園高等学校</t>
        </is>
      </c>
      <c r="E527" s="14" t="n"/>
      <c r="F527" s="15" t="inlineStr">
        <is>
          <t>要調査</t>
        </is>
      </c>
      <c r="G527" s="5" t="inlineStr">
        <is>
          <t>普通科</t>
        </is>
      </c>
      <c r="H527" s="8" t="n"/>
      <c r="I527" s="9" t="n"/>
      <c r="J527" s="9" t="inlineStr">
        <is>
          <t>未架電</t>
        </is>
      </c>
      <c r="K527" s="8" t="n"/>
      <c r="L527" s="9" t="n"/>
      <c r="M527" s="10" t="inlineStr">
        <is>
          <t>情報源で番号が食い違い。候補：0422-43-2196（中高共通として複数サイト）／0422-48-6221。明星高校（府中市）とは別の学校</t>
        </is>
      </c>
      <c r="N527" s="11" t="inlineStr">
        <is>
          <t>https://www.inter-edu.com/schools/school/146 ; https://school.js88.com/scl_h/22040160</t>
        </is>
      </c>
      <c r="O527" s="12" t="inlineStr">
        <is>
          <t>開く</t>
        </is>
      </c>
    </row>
    <row r="528">
      <c r="A528" s="4" t="n">
        <v>524</v>
      </c>
      <c r="B528" s="5" t="inlineStr">
        <is>
          <t>東京都</t>
        </is>
      </c>
      <c r="C528" s="5" t="inlineStr">
        <is>
          <t>千代田区</t>
        </is>
      </c>
      <c r="D528" s="5" t="inlineStr">
        <is>
          <t>三輪田学園高等学校</t>
        </is>
      </c>
      <c r="E528" s="6" t="inlineStr">
        <is>
          <t>03-3263-7801</t>
        </is>
      </c>
      <c r="F528" s="7" t="inlineStr">
        <is>
          <t>高</t>
        </is>
      </c>
      <c r="G528" s="5" t="inlineStr">
        <is>
          <t>普通科</t>
        </is>
      </c>
      <c r="H528" s="8" t="n"/>
      <c r="I528" s="9" t="n"/>
      <c r="J528" s="9" t="inlineStr">
        <is>
          <t>未架電</t>
        </is>
      </c>
      <c r="K528" s="8" t="n"/>
      <c r="L528" s="9" t="n"/>
      <c r="M528" s="10" t="inlineStr">
        <is>
          <t>中高共通</t>
        </is>
      </c>
      <c r="N528" s="11" t="inlineStr">
        <is>
          <t>https://www.inter-edu.com/schools/school/70 ; https://www.minkou.jp/junior/school/7488/</t>
        </is>
      </c>
      <c r="O528" s="12" t="inlineStr">
        <is>
          <t>開く</t>
        </is>
      </c>
    </row>
    <row r="529">
      <c r="A529" s="4" t="n">
        <v>525</v>
      </c>
      <c r="B529" s="5" t="inlineStr">
        <is>
          <t>東京都</t>
        </is>
      </c>
      <c r="C529" s="5" t="inlineStr">
        <is>
          <t>練馬区</t>
        </is>
      </c>
      <c r="D529" s="5" t="inlineStr">
        <is>
          <t>武蔵高等学校</t>
        </is>
      </c>
      <c r="E529" s="6" t="inlineStr">
        <is>
          <t>03-5984-3741</t>
        </is>
      </c>
      <c r="F529" s="7" t="inlineStr">
        <is>
          <t>高</t>
        </is>
      </c>
      <c r="G529" s="5" t="inlineStr">
        <is>
          <t>普通科</t>
        </is>
      </c>
      <c r="H529" s="8" t="n"/>
      <c r="I529" s="9" t="n"/>
      <c r="J529" s="9" t="inlineStr">
        <is>
          <t>未架電</t>
        </is>
      </c>
      <c r="K529" s="8" t="n"/>
      <c r="L529" s="9" t="n"/>
      <c r="M529" s="10" t="inlineStr">
        <is>
          <t>中高共通。高校募集なし（完全中高一貫）。武蔵野高校とは別の学校</t>
        </is>
      </c>
      <c r="N529" s="11" t="inlineStr">
        <is>
          <t>https://www.inter-edu.com/schools/school/18</t>
        </is>
      </c>
      <c r="O529" s="12" t="inlineStr">
        <is>
          <t>開く</t>
        </is>
      </c>
    </row>
    <row r="530">
      <c r="A530" s="4" t="n">
        <v>526</v>
      </c>
      <c r="B530" s="5" t="inlineStr">
        <is>
          <t>東京都</t>
        </is>
      </c>
      <c r="C530" s="5" t="inlineStr">
        <is>
          <t>北区</t>
        </is>
      </c>
      <c r="D530" s="5" t="inlineStr">
        <is>
          <t>武蔵野高等学校</t>
        </is>
      </c>
      <c r="E530" s="6" t="inlineStr">
        <is>
          <t>03-3910-0151</t>
        </is>
      </c>
      <c r="F530" s="7" t="inlineStr">
        <is>
          <t>高</t>
        </is>
      </c>
      <c r="G530" s="5" t="inlineStr">
        <is>
          <t>普通科</t>
        </is>
      </c>
      <c r="H530" s="8" t="n"/>
      <c r="I530" s="9" t="n"/>
      <c r="J530" s="9" t="inlineStr">
        <is>
          <t>未架電</t>
        </is>
      </c>
      <c r="K530" s="8" t="n"/>
      <c r="L530" s="9" t="n"/>
      <c r="M530" s="10" t="inlineStr">
        <is>
          <t>北区の学校。武蔵高校・武蔵野大学高校とは別の学校</t>
        </is>
      </c>
      <c r="N530" s="11" t="inlineStr">
        <is>
          <t>https://www.inter-edu.com/schools/school/291 ; https://school.js88.com/scl_h/22038770?page=5</t>
        </is>
      </c>
      <c r="O530" s="12" t="inlineStr">
        <is>
          <t>開く</t>
        </is>
      </c>
    </row>
    <row r="531">
      <c r="A531" s="4" t="n">
        <v>527</v>
      </c>
      <c r="B531" s="5" t="inlineStr">
        <is>
          <t>東京都</t>
        </is>
      </c>
      <c r="C531" s="5" t="inlineStr">
        <is>
          <t>西東京市</t>
        </is>
      </c>
      <c r="D531" s="5" t="inlineStr">
        <is>
          <t>武蔵野大学高等学校</t>
        </is>
      </c>
      <c r="E531" s="6" t="inlineStr">
        <is>
          <t>042-468-3256</t>
        </is>
      </c>
      <c r="F531" s="7" t="inlineStr">
        <is>
          <t>高</t>
        </is>
      </c>
      <c r="G531" s="5" t="inlineStr">
        <is>
          <t>普通科</t>
        </is>
      </c>
      <c r="H531" s="8" t="n"/>
      <c r="I531" s="9" t="n"/>
      <c r="J531" s="9" t="inlineStr">
        <is>
          <t>未架電</t>
        </is>
      </c>
      <c r="K531" s="8" t="n"/>
      <c r="L531" s="9" t="n"/>
      <c r="M531" s="10" t="inlineStr">
        <is>
          <t>中高共通</t>
        </is>
      </c>
      <c r="N531" s="11" t="inlineStr">
        <is>
          <t>https://www.inter-edu.com/schools/school/1976</t>
        </is>
      </c>
      <c r="O531" s="12" t="inlineStr">
        <is>
          <t>開く</t>
        </is>
      </c>
    </row>
    <row r="532">
      <c r="A532" s="4" t="n">
        <v>528</v>
      </c>
      <c r="B532" s="5" t="inlineStr">
        <is>
          <t>東京都</t>
        </is>
      </c>
      <c r="C532" s="5" t="inlineStr">
        <is>
          <t>港区</t>
        </is>
      </c>
      <c r="D532" s="5" t="inlineStr">
        <is>
          <t>明治学院高等学校</t>
        </is>
      </c>
      <c r="E532" s="6" t="inlineStr">
        <is>
          <t>03-5421-5011</t>
        </is>
      </c>
      <c r="F532" s="7" t="inlineStr">
        <is>
          <t>高</t>
        </is>
      </c>
      <c r="G532" s="5" t="inlineStr">
        <is>
          <t>普通科</t>
        </is>
      </c>
      <c r="H532" s="8" t="n"/>
      <c r="I532" s="9" t="n"/>
      <c r="J532" s="9" t="inlineStr">
        <is>
          <t>未架電</t>
        </is>
      </c>
      <c r="K532" s="8" t="n"/>
      <c r="L532" s="9" t="n"/>
      <c r="M532" s="10" t="inlineStr">
        <is>
          <t>代表として掲載</t>
        </is>
      </c>
      <c r="N532" s="11" t="inlineStr">
        <is>
          <t>https://school.js88.com/scl_h/22038230/</t>
        </is>
      </c>
      <c r="O532" s="12" t="inlineStr">
        <is>
          <t>開く</t>
        </is>
      </c>
    </row>
    <row r="533">
      <c r="A533" s="4" t="n">
        <v>529</v>
      </c>
      <c r="B533" s="5" t="inlineStr">
        <is>
          <t>東京都</t>
        </is>
      </c>
      <c r="C533" s="5" t="inlineStr">
        <is>
          <t>東村山市</t>
        </is>
      </c>
      <c r="D533" s="5" t="inlineStr">
        <is>
          <t>明治学院東村山高等学校</t>
        </is>
      </c>
      <c r="E533" s="6" t="inlineStr">
        <is>
          <t>042-391-2142</t>
        </is>
      </c>
      <c r="F533" s="7" t="inlineStr">
        <is>
          <t>高</t>
        </is>
      </c>
      <c r="G533" s="5" t="inlineStr">
        <is>
          <t>普通科</t>
        </is>
      </c>
      <c r="H533" s="8" t="n"/>
      <c r="I533" s="9" t="n"/>
      <c r="J533" s="9" t="inlineStr">
        <is>
          <t>未架電</t>
        </is>
      </c>
      <c r="K533" s="8" t="n"/>
      <c r="L533" s="9" t="n"/>
      <c r="M533" s="10" t="inlineStr">
        <is>
          <t>明治学院中学校と共通</t>
        </is>
      </c>
      <c r="N533" s="11" t="inlineStr">
        <is>
          <t>https://www.inter-edu.com/schools/school/144 ; https://school.js88.com/scl_h/22040060?page=5</t>
        </is>
      </c>
      <c r="O533" s="12" t="inlineStr">
        <is>
          <t>開く</t>
        </is>
      </c>
    </row>
    <row r="534">
      <c r="A534" s="4" t="n">
        <v>530</v>
      </c>
      <c r="B534" s="5" t="inlineStr">
        <is>
          <t>東京都</t>
        </is>
      </c>
      <c r="C534" s="5" t="inlineStr">
        <is>
          <t>世田谷区</t>
        </is>
      </c>
      <c r="D534" s="5" t="inlineStr">
        <is>
          <t>明治大学付属世田谷高等学校</t>
        </is>
      </c>
      <c r="E534" s="6" t="inlineStr">
        <is>
          <t>03-3322-6331</t>
        </is>
      </c>
      <c r="F534" s="7" t="inlineStr">
        <is>
          <t>高</t>
        </is>
      </c>
      <c r="G534" s="5" t="inlineStr">
        <is>
          <t>普通科</t>
        </is>
      </c>
      <c r="H534" s="8" t="n"/>
      <c r="I534" s="9" t="n"/>
      <c r="J534" s="9" t="inlineStr">
        <is>
          <t>未架電</t>
        </is>
      </c>
      <c r="K534" s="8" t="n"/>
      <c r="L534" s="9" t="n"/>
      <c r="M534" s="10" t="inlineStr">
        <is>
          <t>【校名変更】旧 日本学園高校（2026年4月に改称）</t>
        </is>
      </c>
      <c r="N534" s="11" t="inlineStr">
        <is>
          <t>https://www.inter-edu.com/schools/school/2042</t>
        </is>
      </c>
      <c r="O534" s="12" t="inlineStr">
        <is>
          <t>開く</t>
        </is>
      </c>
    </row>
    <row r="535">
      <c r="A535" s="4" t="n">
        <v>531</v>
      </c>
      <c r="B535" s="5" t="inlineStr">
        <is>
          <t>東京都</t>
        </is>
      </c>
      <c r="C535" s="5" t="inlineStr">
        <is>
          <t>中野区</t>
        </is>
      </c>
      <c r="D535" s="5" t="inlineStr">
        <is>
          <t>明治大学付属中野高等学校</t>
        </is>
      </c>
      <c r="E535" s="6" t="inlineStr">
        <is>
          <t>03-3362-8704</t>
        </is>
      </c>
      <c r="F535" s="7" t="inlineStr">
        <is>
          <t>高</t>
        </is>
      </c>
      <c r="G535" s="5" t="inlineStr">
        <is>
          <t>普通科</t>
        </is>
      </c>
      <c r="H535" s="8" t="n"/>
      <c r="I535" s="9" t="n"/>
      <c r="J535" s="9" t="inlineStr">
        <is>
          <t>未架電</t>
        </is>
      </c>
      <c r="K535" s="8" t="n"/>
      <c r="L535" s="9" t="n"/>
      <c r="M535" s="10" t="inlineStr">
        <is>
          <t>中高共通</t>
        </is>
      </c>
      <c r="N535" s="11" t="inlineStr">
        <is>
          <t>https://www.inter-edu.com/schools/school/1948</t>
        </is>
      </c>
      <c r="O535" s="12" t="inlineStr">
        <is>
          <t>開く</t>
        </is>
      </c>
    </row>
    <row r="536">
      <c r="A536" s="4" t="n">
        <v>532</v>
      </c>
      <c r="B536" s="5" t="inlineStr">
        <is>
          <t>東京都</t>
        </is>
      </c>
      <c r="C536" s="5" t="inlineStr">
        <is>
          <t>八王子市</t>
        </is>
      </c>
      <c r="D536" s="5" t="inlineStr">
        <is>
          <t>明治大学付属八王子高等学校</t>
        </is>
      </c>
      <c r="E536" s="6" t="inlineStr">
        <is>
          <t>042-691-0321</t>
        </is>
      </c>
      <c r="F536" s="7" t="inlineStr">
        <is>
          <t>高</t>
        </is>
      </c>
      <c r="G536" s="5" t="inlineStr">
        <is>
          <t>普通科</t>
        </is>
      </c>
      <c r="H536" s="8" t="n"/>
      <c r="I536" s="9" t="n"/>
      <c r="J536" s="9" t="inlineStr">
        <is>
          <t>未架電</t>
        </is>
      </c>
      <c r="K536" s="8" t="n"/>
      <c r="L536" s="9" t="n"/>
      <c r="M536" s="10" t="inlineStr">
        <is>
          <t>2024年に「明治大学付属中野八王子」から改称。複数サイトで一致</t>
        </is>
      </c>
      <c r="N536" s="11" t="inlineStr">
        <is>
          <t>https://www.inter-edu.com/schools/school/1967</t>
        </is>
      </c>
      <c r="O536" s="12" t="inlineStr">
        <is>
          <t>開く</t>
        </is>
      </c>
    </row>
    <row r="537">
      <c r="A537" s="4" t="n">
        <v>533</v>
      </c>
      <c r="B537" s="5" t="inlineStr">
        <is>
          <t>東京都</t>
        </is>
      </c>
      <c r="C537" s="5" t="inlineStr">
        <is>
          <t>調布市</t>
        </is>
      </c>
      <c r="D537" s="5" t="inlineStr">
        <is>
          <t>明治大学付属明治高等学校</t>
        </is>
      </c>
      <c r="E537" s="6" t="inlineStr">
        <is>
          <t>042-444-9100</t>
        </is>
      </c>
      <c r="F537" s="7" t="inlineStr">
        <is>
          <t>高</t>
        </is>
      </c>
      <c r="G537" s="5" t="inlineStr">
        <is>
          <t>普通科</t>
        </is>
      </c>
      <c r="H537" s="8" t="n"/>
      <c r="I537" s="9" t="n"/>
      <c r="J537" s="9" t="inlineStr">
        <is>
          <t>未架電</t>
        </is>
      </c>
      <c r="K537" s="8" t="n"/>
      <c r="L537" s="9" t="n"/>
      <c r="M537" s="10" t="inlineStr">
        <is>
          <t>中高共通。公式資料の事務室の番号（新しい公式資料には042-444-9101の記載もあり）</t>
        </is>
      </c>
      <c r="N537" s="11" t="inlineStr">
        <is>
          <t>https://www.meiji.ac.jp/ko_chu/admission/ujnu1b0000000aab-att/a1568003491541.pdf ; https://school.js88.com/scl_h/22038060</t>
        </is>
      </c>
      <c r="O537" s="12" t="inlineStr">
        <is>
          <t>開く</t>
        </is>
      </c>
    </row>
    <row r="538">
      <c r="A538" s="4" t="n">
        <v>534</v>
      </c>
      <c r="B538" s="5" t="inlineStr">
        <is>
          <t>東京都</t>
        </is>
      </c>
      <c r="C538" s="5" t="inlineStr">
        <is>
          <t>府中市</t>
        </is>
      </c>
      <c r="D538" s="5" t="inlineStr">
        <is>
          <t>明星高等学校（東京都）</t>
        </is>
      </c>
      <c r="E538" s="6" t="inlineStr">
        <is>
          <t>042-368-5201</t>
        </is>
      </c>
      <c r="F538" s="7" t="inlineStr">
        <is>
          <t>高</t>
        </is>
      </c>
      <c r="G538" s="5" t="inlineStr">
        <is>
          <t>普通科</t>
        </is>
      </c>
      <c r="H538" s="8" t="n"/>
      <c r="I538" s="9" t="n"/>
      <c r="J538" s="9" t="inlineStr">
        <is>
          <t>未架電</t>
        </is>
      </c>
      <c r="K538" s="8" t="n"/>
      <c r="L538" s="9" t="n"/>
      <c r="M538" s="10" t="inlineStr">
        <is>
          <t>中高共通。府中市の学校で、明星学園（三鷹市）とは別の学校</t>
        </is>
      </c>
      <c r="N538" s="11" t="inlineStr">
        <is>
          <t>https://www.inter-edu.com/schools/school/2009</t>
        </is>
      </c>
      <c r="O538" s="12" t="inlineStr">
        <is>
          <t>開く</t>
        </is>
      </c>
    </row>
    <row r="539">
      <c r="A539" s="4" t="n">
        <v>535</v>
      </c>
      <c r="B539" s="5" t="inlineStr">
        <is>
          <t>東京都</t>
        </is>
      </c>
      <c r="C539" s="5" t="inlineStr">
        <is>
          <t>東村山市</t>
        </is>
      </c>
      <c r="D539" s="5" t="inlineStr">
        <is>
          <t>明法高等学校</t>
        </is>
      </c>
      <c r="E539" s="6" t="inlineStr">
        <is>
          <t>042-393-5611</t>
        </is>
      </c>
      <c r="F539" s="7" t="inlineStr">
        <is>
          <t>高</t>
        </is>
      </c>
      <c r="G539" s="5" t="inlineStr">
        <is>
          <t>普通科</t>
        </is>
      </c>
      <c r="H539" s="8" t="n"/>
      <c r="I539" s="9" t="n"/>
      <c r="J539" s="9" t="inlineStr">
        <is>
          <t>未架電</t>
        </is>
      </c>
      <c r="K539" s="8" t="n"/>
      <c r="L539" s="9" t="n"/>
      <c r="M539" s="10" t="inlineStr">
        <is>
          <t>中高共通。複数ページで一致</t>
        </is>
      </c>
      <c r="N539" s="11" t="inlineStr">
        <is>
          <t>https://www.inter-edu.com/schools/school/1981</t>
        </is>
      </c>
      <c r="O539" s="12" t="inlineStr">
        <is>
          <t>開く</t>
        </is>
      </c>
    </row>
    <row r="540">
      <c r="A540" s="4" t="n">
        <v>536</v>
      </c>
      <c r="B540" s="5" t="inlineStr">
        <is>
          <t>東京都</t>
        </is>
      </c>
      <c r="C540" s="5" t="inlineStr">
        <is>
          <t>目黒区</t>
        </is>
      </c>
      <c r="D540" s="5" t="inlineStr">
        <is>
          <t>目黒学院高等学校</t>
        </is>
      </c>
      <c r="E540" s="6" t="inlineStr">
        <is>
          <t>03-3711-6556</t>
        </is>
      </c>
      <c r="F540" s="7" t="inlineStr">
        <is>
          <t>高</t>
        </is>
      </c>
      <c r="G540" s="5" t="inlineStr">
        <is>
          <t>普通科</t>
        </is>
      </c>
      <c r="H540" s="8" t="n"/>
      <c r="I540" s="9" t="n"/>
      <c r="J540" s="9" t="inlineStr">
        <is>
          <t>未架電</t>
        </is>
      </c>
      <c r="K540" s="8" t="n"/>
      <c r="L540" s="9" t="n"/>
      <c r="M540" s="10" t="inlineStr">
        <is>
          <t>複数サイトで一致</t>
        </is>
      </c>
      <c r="N540" s="11" t="inlineStr">
        <is>
          <t>https://www.inter-edu.com/schools/school/193</t>
        </is>
      </c>
      <c r="O540" s="12" t="inlineStr">
        <is>
          <t>開く</t>
        </is>
      </c>
    </row>
    <row r="541">
      <c r="A541" s="4" t="n">
        <v>537</v>
      </c>
      <c r="B541" s="5" t="inlineStr">
        <is>
          <t>東京都</t>
        </is>
      </c>
      <c r="C541" s="5" t="inlineStr">
        <is>
          <t>目黒区</t>
        </is>
      </c>
      <c r="D541" s="5" t="inlineStr">
        <is>
          <t>目黒日本大学高等学校</t>
        </is>
      </c>
      <c r="E541" s="6" t="inlineStr">
        <is>
          <t>03-3492-3388</t>
        </is>
      </c>
      <c r="F541" s="7" t="inlineStr">
        <is>
          <t>高</t>
        </is>
      </c>
      <c r="G541" s="5" t="inlineStr">
        <is>
          <t>普通科</t>
        </is>
      </c>
      <c r="H541" s="8" t="n"/>
      <c r="I541" s="9" t="n"/>
      <c r="J541" s="9" t="inlineStr">
        <is>
          <t>未架電</t>
        </is>
      </c>
      <c r="K541" s="8" t="n"/>
      <c r="L541" s="9" t="n"/>
      <c r="M541" s="10" t="inlineStr">
        <is>
          <t>全日制の番号。通信制課程は03-3492-6674。2019年に日出高校から改称</t>
        </is>
      </c>
      <c r="N541" s="11" t="inlineStr">
        <is>
          <t>https://www.inter-edu.com/schools/school/2107 ; https://www.univpress.co.jp/gk_pdf/13623.pdf</t>
        </is>
      </c>
      <c r="O541" s="12" t="inlineStr">
        <is>
          <t>開く</t>
        </is>
      </c>
    </row>
    <row r="542">
      <c r="A542" s="4" t="n">
        <v>538</v>
      </c>
      <c r="B542" s="5" t="inlineStr">
        <is>
          <t>東京都</t>
        </is>
      </c>
      <c r="C542" s="5" t="inlineStr">
        <is>
          <t>新宿区</t>
        </is>
      </c>
      <c r="D542" s="5" t="inlineStr">
        <is>
          <t>目白研心高等学校</t>
        </is>
      </c>
      <c r="E542" s="6" t="inlineStr">
        <is>
          <t>03-5996-3133</t>
        </is>
      </c>
      <c r="F542" s="13" t="inlineStr">
        <is>
          <t>中</t>
        </is>
      </c>
      <c r="G542" s="5" t="inlineStr">
        <is>
          <t>普通科</t>
        </is>
      </c>
      <c r="H542" s="8" t="n"/>
      <c r="I542" s="9" t="n"/>
      <c r="J542" s="9" t="inlineStr">
        <is>
          <t>未架電</t>
        </is>
      </c>
      <c r="K542" s="8" t="n"/>
      <c r="L542" s="9" t="n"/>
      <c r="M542" s="10" t="inlineStr">
        <is>
          <t>広報部の番号とするサイトあり。代表は03-5996-3131の可能性</t>
        </is>
      </c>
      <c r="N542" s="11" t="inlineStr">
        <is>
          <t>https://www.inter-edu.com/schools/school/2011 ; https://school.js88.com/scl_h/22038300</t>
        </is>
      </c>
      <c r="O542" s="12" t="inlineStr">
        <is>
          <t>開く</t>
        </is>
      </c>
    </row>
    <row r="543">
      <c r="A543" s="4" t="n">
        <v>539</v>
      </c>
      <c r="B543" s="5" t="inlineStr">
        <is>
          <t>東京都</t>
        </is>
      </c>
      <c r="C543" s="5" t="inlineStr">
        <is>
          <t>目黒区</t>
        </is>
      </c>
      <c r="D543" s="5" t="inlineStr">
        <is>
          <t>八雲学園高等学校</t>
        </is>
      </c>
      <c r="E543" s="6" t="inlineStr">
        <is>
          <t>03-3717-1196</t>
        </is>
      </c>
      <c r="F543" s="7" t="inlineStr">
        <is>
          <t>高</t>
        </is>
      </c>
      <c r="G543" s="5" t="inlineStr">
        <is>
          <t>普通科</t>
        </is>
      </c>
      <c r="H543" s="8" t="n"/>
      <c r="I543" s="9" t="n"/>
      <c r="J543" s="9" t="inlineStr">
        <is>
          <t>未架電</t>
        </is>
      </c>
      <c r="K543" s="8" t="n"/>
      <c r="L543" s="9" t="n"/>
      <c r="M543" s="10" t="inlineStr">
        <is>
          <t>中高共通</t>
        </is>
      </c>
      <c r="N543" s="11" t="inlineStr">
        <is>
          <t>https://www.inter-edu.com/schools/school/2084</t>
        </is>
      </c>
      <c r="O543" s="12" t="inlineStr">
        <is>
          <t>開く</t>
        </is>
      </c>
    </row>
    <row r="544">
      <c r="A544" s="4" t="n">
        <v>540</v>
      </c>
      <c r="B544" s="5" t="inlineStr">
        <is>
          <t>東京都</t>
        </is>
      </c>
      <c r="C544" s="5" t="inlineStr">
        <is>
          <t>墨田区</t>
        </is>
      </c>
      <c r="D544" s="5" t="inlineStr">
        <is>
          <t>安田学園高等学校</t>
        </is>
      </c>
      <c r="E544" s="6" t="inlineStr">
        <is>
          <t>03-3624-2666</t>
        </is>
      </c>
      <c r="F544" s="7" t="inlineStr">
        <is>
          <t>高</t>
        </is>
      </c>
      <c r="G544" s="5" t="inlineStr">
        <is>
          <t>普通科</t>
        </is>
      </c>
      <c r="H544" s="8" t="n"/>
      <c r="I544" s="9" t="n"/>
      <c r="J544" s="9" t="inlineStr">
        <is>
          <t>未架電</t>
        </is>
      </c>
      <c r="K544" s="8" t="n"/>
      <c r="L544" s="9" t="n"/>
      <c r="M544" s="10" t="inlineStr">
        <is>
          <t>公式資料に「代表」と記載</t>
        </is>
      </c>
      <c r="N544" s="11" t="inlineStr">
        <is>
          <t>https://www.yasuda.ed.jp/wordpress/wp-content/uploads/2025/09/20250922-68d0e3d53964f.pdf</t>
        </is>
      </c>
      <c r="O544" s="12" t="inlineStr">
        <is>
          <t>開く</t>
        </is>
      </c>
    </row>
    <row r="545">
      <c r="A545" s="4" t="n">
        <v>541</v>
      </c>
      <c r="B545" s="5" t="inlineStr">
        <is>
          <t>東京都</t>
        </is>
      </c>
      <c r="C545" s="5" t="inlineStr">
        <is>
          <t>港区</t>
        </is>
      </c>
      <c r="D545" s="5" t="inlineStr">
        <is>
          <t>山脇学園高等学校</t>
        </is>
      </c>
      <c r="E545" s="6" t="inlineStr">
        <is>
          <t>03-3585-3911</t>
        </is>
      </c>
      <c r="F545" s="7" t="inlineStr">
        <is>
          <t>高</t>
        </is>
      </c>
      <c r="G545" s="5" t="inlineStr">
        <is>
          <t>普通科</t>
        </is>
      </c>
      <c r="H545" s="8" t="n"/>
      <c r="I545" s="9" t="n"/>
      <c r="J545" s="9" t="inlineStr">
        <is>
          <t>未架電</t>
        </is>
      </c>
      <c r="K545" s="8" t="n"/>
      <c r="L545" s="9" t="n"/>
      <c r="M545" s="10" t="inlineStr">
        <is>
          <t>中高共通。公式資料で確認</t>
        </is>
      </c>
      <c r="N545" s="11" t="inlineStr">
        <is>
          <t>https://www.yamawaki.ed.jp/wordpress/wp-content/uploads/2025/07/2026yamawaki_youkou_ippan.pdf ; https://www.inter-edu.com/schools/school/261</t>
        </is>
      </c>
      <c r="O545" s="12" t="inlineStr">
        <is>
          <t>開く</t>
        </is>
      </c>
    </row>
    <row r="546">
      <c r="A546" s="4" t="n">
        <v>542</v>
      </c>
      <c r="B546" s="5" t="inlineStr">
        <is>
          <t>東京都</t>
        </is>
      </c>
      <c r="C546" s="5" t="inlineStr">
        <is>
          <t>豊島区</t>
        </is>
      </c>
      <c r="D546" s="5" t="inlineStr">
        <is>
          <t>立教池袋高等学校</t>
        </is>
      </c>
      <c r="E546" s="6" t="inlineStr">
        <is>
          <t>03-3985-2707</t>
        </is>
      </c>
      <c r="F546" s="7" t="inlineStr">
        <is>
          <t>高</t>
        </is>
      </c>
      <c r="G546" s="5" t="inlineStr">
        <is>
          <t>普通科</t>
        </is>
      </c>
      <c r="H546" s="8" t="n"/>
      <c r="I546" s="9" t="n"/>
      <c r="J546" s="9" t="inlineStr">
        <is>
          <t>未架電</t>
        </is>
      </c>
      <c r="K546" s="8" t="n"/>
      <c r="L546" s="9" t="n"/>
      <c r="M546" s="10" t="inlineStr">
        <is>
          <t>中高共通</t>
        </is>
      </c>
      <c r="N546" s="11" t="inlineStr">
        <is>
          <t>https://www.inter-edu.com/schools/school/2043</t>
        </is>
      </c>
      <c r="O546" s="12" t="inlineStr">
        <is>
          <t>開く</t>
        </is>
      </c>
    </row>
    <row r="547">
      <c r="A547" s="4" t="n">
        <v>543</v>
      </c>
      <c r="B547" s="5" t="inlineStr">
        <is>
          <t>東京都</t>
        </is>
      </c>
      <c r="C547" s="5" t="inlineStr">
        <is>
          <t>豊島区</t>
        </is>
      </c>
      <c r="D547" s="5" t="inlineStr">
        <is>
          <t>立教英国学院高等部</t>
        </is>
      </c>
      <c r="E547" s="14" t="n"/>
      <c r="F547" s="15" t="inlineStr">
        <is>
          <t>要調査</t>
        </is>
      </c>
      <c r="G547" s="5" t="inlineStr">
        <is>
          <t>普通科</t>
        </is>
      </c>
      <c r="H547" s="8" t="n"/>
      <c r="I547" s="9" t="n"/>
      <c r="J547" s="9" t="inlineStr">
        <is>
          <t>未架電</t>
        </is>
      </c>
      <c r="K547" s="8" t="n"/>
      <c r="L547" s="9" t="n"/>
      <c r="M547" s="10" t="inlineStr">
        <is>
          <t>学校本体は英国。東京事務所（立教学院内）の番号として03-3985-2785が1サイトに掲載。公式の問い合わせ先は英国の番号</t>
        </is>
      </c>
      <c r="N547" s="11" t="inlineStr">
        <is>
          <t>https://www.gakkou.net/chugaku/view/index_227851.html</t>
        </is>
      </c>
      <c r="O547" s="12" t="inlineStr">
        <is>
          <t>開く</t>
        </is>
      </c>
    </row>
    <row r="548">
      <c r="A548" s="4" t="n">
        <v>544</v>
      </c>
      <c r="B548" s="5" t="inlineStr">
        <is>
          <t>東京都</t>
        </is>
      </c>
      <c r="C548" s="5" t="inlineStr">
        <is>
          <t>杉並区</t>
        </is>
      </c>
      <c r="D548" s="5" t="inlineStr">
        <is>
          <t>立教女学院高等学校</t>
        </is>
      </c>
      <c r="E548" s="6" t="inlineStr">
        <is>
          <t>03-3334-5103</t>
        </is>
      </c>
      <c r="F548" s="7" t="inlineStr">
        <is>
          <t>高</t>
        </is>
      </c>
      <c r="G548" s="5" t="inlineStr">
        <is>
          <t>普通科</t>
        </is>
      </c>
      <c r="H548" s="8" t="n"/>
      <c r="I548" s="9" t="n"/>
      <c r="J548" s="9" t="inlineStr">
        <is>
          <t>未架電</t>
        </is>
      </c>
      <c r="K548" s="8" t="n"/>
      <c r="L548" s="9" t="n"/>
      <c r="M548" s="10" t="inlineStr">
        <is>
          <t>中高共通。杉並区の一覧で確認</t>
        </is>
      </c>
      <c r="N548" s="11" t="inlineStr">
        <is>
          <t>https://www.city.suginami.tokyo.jp/shisetsu/school/shiritsuko/index.html</t>
        </is>
      </c>
      <c r="O548" s="12" t="inlineStr">
        <is>
          <t>開く</t>
        </is>
      </c>
    </row>
    <row r="549">
      <c r="A549" s="4" t="n">
        <v>545</v>
      </c>
      <c r="B549" s="5" t="inlineStr">
        <is>
          <t>東京都</t>
        </is>
      </c>
      <c r="C549" s="5" t="inlineStr">
        <is>
          <t>墨田区</t>
        </is>
      </c>
      <c r="D549" s="5" t="inlineStr">
        <is>
          <t>立志舎高等学校</t>
        </is>
      </c>
      <c r="E549" s="6" t="inlineStr">
        <is>
          <t>03-5608-1033</t>
        </is>
      </c>
      <c r="F549" s="13" t="inlineStr">
        <is>
          <t>中</t>
        </is>
      </c>
      <c r="G549" s="5" t="inlineStr">
        <is>
          <t>普通科</t>
        </is>
      </c>
      <c r="H549" s="8" t="n"/>
      <c r="I549" s="9" t="n"/>
      <c r="J549" s="9" t="inlineStr">
        <is>
          <t>未架電</t>
        </is>
      </c>
      <c r="K549" s="8" t="n"/>
      <c r="L549" s="9" t="n"/>
      <c r="M549" s="10" t="inlineStr">
        <is>
          <t>通信制。東京都の通信制一覧のみで確認</t>
        </is>
      </c>
      <c r="N549" s="11" t="inlineStr">
        <is>
          <t>https://www.seikatubunka.metro.tokyo.lg.jp/documents/d/seikatubunka/13high_tushin_r61201</t>
        </is>
      </c>
      <c r="O549" s="12" t="inlineStr">
        <is>
          <t>開く</t>
        </is>
      </c>
    </row>
    <row r="550">
      <c r="A550" s="4" t="n">
        <v>546</v>
      </c>
      <c r="B550" s="5" t="inlineStr">
        <is>
          <t>東京都</t>
        </is>
      </c>
      <c r="C550" s="5" t="inlineStr">
        <is>
          <t>大田区</t>
        </is>
      </c>
      <c r="D550" s="5" t="inlineStr">
        <is>
          <t>立正大学付属立正高等学校</t>
        </is>
      </c>
      <c r="E550" s="6" t="inlineStr">
        <is>
          <t>03-6303-7683</t>
        </is>
      </c>
      <c r="F550" s="7" t="inlineStr">
        <is>
          <t>高</t>
        </is>
      </c>
      <c r="G550" s="5" t="inlineStr">
        <is>
          <t>普通科</t>
        </is>
      </c>
      <c r="H550" s="8" t="n"/>
      <c r="I550" s="9" t="n"/>
      <c r="J550" s="9" t="inlineStr">
        <is>
          <t>未架電</t>
        </is>
      </c>
      <c r="K550" s="8" t="n"/>
      <c r="L550" s="9" t="n"/>
      <c r="M550" s="10" t="inlineStr">
        <is>
          <t>中高共通。公式の学校案内で確認</t>
        </is>
      </c>
      <c r="N550" s="11" t="inlineStr">
        <is>
          <t>https://www.rissho-hs.ac.jp/material/data/request/RisshoJHguide2026.pdf</t>
        </is>
      </c>
      <c r="O550" s="12" t="inlineStr">
        <is>
          <t>開く</t>
        </is>
      </c>
    </row>
    <row r="551">
      <c r="A551" s="4" t="n">
        <v>547</v>
      </c>
      <c r="B551" s="5" t="inlineStr">
        <is>
          <t>東京都</t>
        </is>
      </c>
      <c r="C551" s="5" t="inlineStr">
        <is>
          <t>町田市</t>
        </is>
      </c>
      <c r="D551" s="5" t="inlineStr">
        <is>
          <t>和光高等学校</t>
        </is>
      </c>
      <c r="E551" s="14" t="n"/>
      <c r="F551" s="15" t="inlineStr">
        <is>
          <t>要調査</t>
        </is>
      </c>
      <c r="G551" s="5" t="inlineStr">
        <is>
          <t>普通科</t>
        </is>
      </c>
      <c r="H551" s="8" t="n"/>
      <c r="I551" s="9" t="n"/>
      <c r="J551" s="9" t="inlineStr">
        <is>
          <t>未架電</t>
        </is>
      </c>
      <c r="K551" s="8" t="n"/>
      <c r="L551" s="9" t="n"/>
      <c r="M551" s="10" t="inlineStr">
        <is>
          <t>情報源で番号が食い違い。候補：042-734-3401（代表とする情報あり）／042-734-3402／042-734-3403</t>
        </is>
      </c>
      <c r="N551" s="11" t="inlineStr">
        <is>
          <t>https://school.js88.com/scl_h/22039400 ; https://www.inter-edu.com/schools/school/2012</t>
        </is>
      </c>
      <c r="O551" s="12" t="inlineStr">
        <is>
          <t>開く</t>
        </is>
      </c>
    </row>
    <row r="552">
      <c r="A552" s="4" t="n">
        <v>548</v>
      </c>
      <c r="B552" s="5" t="inlineStr">
        <is>
          <t>東京都</t>
        </is>
      </c>
      <c r="C552" s="5" t="inlineStr">
        <is>
          <t>新宿区</t>
        </is>
      </c>
      <c r="D552" s="5" t="inlineStr">
        <is>
          <t>早稲田高等学校</t>
        </is>
      </c>
      <c r="E552" s="6" t="inlineStr">
        <is>
          <t>03-3202-7674</t>
        </is>
      </c>
      <c r="F552" s="7" t="inlineStr">
        <is>
          <t>高</t>
        </is>
      </c>
      <c r="G552" s="5" t="inlineStr">
        <is>
          <t>普通科</t>
        </is>
      </c>
      <c r="H552" s="8" t="n"/>
      <c r="I552" s="9" t="n"/>
      <c r="J552" s="9" t="inlineStr">
        <is>
          <t>未架電</t>
        </is>
      </c>
      <c r="K552" s="8" t="n"/>
      <c r="L552" s="9" t="n"/>
      <c r="M552" s="10" t="inlineStr">
        <is>
          <t>中高共通</t>
        </is>
      </c>
      <c r="N552" s="11" t="inlineStr">
        <is>
          <t>https://school.js88.com/scl_h/22038310 ; https://www.inter-edu.com/schools/school/22</t>
        </is>
      </c>
      <c r="O552" s="12" t="inlineStr">
        <is>
          <t>開く</t>
        </is>
      </c>
    </row>
    <row r="553">
      <c r="A553" s="4" t="n">
        <v>549</v>
      </c>
      <c r="B553" s="5" t="inlineStr">
        <is>
          <t>東京都</t>
        </is>
      </c>
      <c r="C553" s="5" t="inlineStr">
        <is>
          <t>国分寺市</t>
        </is>
      </c>
      <c r="D553" s="5" t="inlineStr">
        <is>
          <t>早稲田実業学校高等部</t>
        </is>
      </c>
      <c r="E553" s="6" t="inlineStr">
        <is>
          <t>042-300-2121</t>
        </is>
      </c>
      <c r="F553" s="13" t="inlineStr">
        <is>
          <t>中</t>
        </is>
      </c>
      <c r="G553" s="5" t="inlineStr">
        <is>
          <t>普通科</t>
        </is>
      </c>
      <c r="H553" s="8" t="n"/>
      <c r="I553" s="9" t="n"/>
      <c r="J553" s="9" t="inlineStr">
        <is>
          <t>未架電</t>
        </is>
      </c>
      <c r="K553" s="8" t="n"/>
      <c r="L553" s="9" t="n"/>
      <c r="M553" s="10" t="inlineStr">
        <is>
          <t>中等部・高等部共通。学校情報サイトのみで確認</t>
        </is>
      </c>
      <c r="N553" s="11" t="inlineStr">
        <is>
          <t>https://www.inter-edu.com/schools/school/2176</t>
        </is>
      </c>
      <c r="O553" s="12" t="inlineStr">
        <is>
          <t>開く</t>
        </is>
      </c>
    </row>
    <row r="554">
      <c r="A554" s="4" t="n">
        <v>550</v>
      </c>
      <c r="B554" s="5" t="inlineStr">
        <is>
          <t>東京都</t>
        </is>
      </c>
      <c r="C554" s="5" t="inlineStr">
        <is>
          <t>練馬区</t>
        </is>
      </c>
      <c r="D554" s="5" t="inlineStr">
        <is>
          <t>早稲田大学高等学院</t>
        </is>
      </c>
      <c r="E554" s="6" t="inlineStr">
        <is>
          <t>03-5991-4156</t>
        </is>
      </c>
      <c r="F554" s="13" t="inlineStr">
        <is>
          <t>中</t>
        </is>
      </c>
      <c r="G554" s="5" t="inlineStr">
        <is>
          <t>普通科</t>
        </is>
      </c>
      <c r="H554" s="8" t="n"/>
      <c r="I554" s="9" t="n"/>
      <c r="J554" s="9" t="inlineStr">
        <is>
          <t>未架電</t>
        </is>
      </c>
      <c r="K554" s="8" t="n"/>
      <c r="L554" s="9" t="n"/>
      <c r="M554" s="10" t="inlineStr">
        <is>
          <t>公式サイトの事務所の番号（「代表」の表記なし）。入試専用は03-5991-4210</t>
        </is>
      </c>
      <c r="N554" s="11" t="inlineStr">
        <is>
          <t>https://www.waseda.jp/school/shs/access/</t>
        </is>
      </c>
      <c r="O554" s="12" t="inlineStr">
        <is>
          <t>開く</t>
        </is>
      </c>
    </row>
    <row r="555">
      <c r="A555" s="4" t="n">
        <v>551</v>
      </c>
      <c r="B555" s="5" t="inlineStr">
        <is>
          <t>東京都</t>
        </is>
      </c>
      <c r="C555" s="5" t="inlineStr">
        <is>
          <t>千代田区</t>
        </is>
      </c>
      <c r="D555" s="5" t="inlineStr">
        <is>
          <t>和洋九段女子高等学校</t>
        </is>
      </c>
      <c r="E555" s="6" t="inlineStr">
        <is>
          <t>03-3262-4161</t>
        </is>
      </c>
      <c r="F555" s="7" t="inlineStr">
        <is>
          <t>高</t>
        </is>
      </c>
      <c r="G555" s="5" t="inlineStr">
        <is>
          <t>普通科</t>
        </is>
      </c>
      <c r="H555" s="8" t="n"/>
      <c r="I555" s="9" t="n"/>
      <c r="J555" s="9" t="inlineStr">
        <is>
          <t>未架電</t>
        </is>
      </c>
      <c r="K555" s="8" t="n"/>
      <c r="L555" s="9" t="n"/>
      <c r="M555" s="10" t="inlineStr">
        <is>
          <t>中高共通</t>
        </is>
      </c>
      <c r="N555" s="11" t="inlineStr">
        <is>
          <t>https://www.inter-edu.com/schools/school/244</t>
        </is>
      </c>
      <c r="O555" s="12" t="inlineStr">
        <is>
          <t>開く</t>
        </is>
      </c>
    </row>
    <row r="556">
      <c r="A556" s="4" t="n">
        <v>552</v>
      </c>
      <c r="B556" s="5" t="inlineStr">
        <is>
          <t>神奈川県</t>
        </is>
      </c>
      <c r="C556" s="5" t="inlineStr">
        <is>
          <t>横浜市南区</t>
        </is>
      </c>
      <c r="D556" s="5" t="inlineStr">
        <is>
          <t>青山学院横浜英和高等学校</t>
        </is>
      </c>
      <c r="E556" s="6" t="inlineStr">
        <is>
          <t>045-731-2862</t>
        </is>
      </c>
      <c r="F556" s="13" t="inlineStr">
        <is>
          <t>中</t>
        </is>
      </c>
      <c r="G556" s="5" t="inlineStr">
        <is>
          <t>普通科</t>
        </is>
      </c>
      <c r="H556" s="8" t="n"/>
      <c r="I556" s="9" t="n"/>
      <c r="J556" s="9" t="inlineStr">
        <is>
          <t>未架電</t>
        </is>
      </c>
      <c r="K556" s="8" t="n"/>
      <c r="L556" s="9" t="n"/>
      <c r="M556" s="10" t="inlineStr">
        <is>
          <t>中高共通。横浜市南区の一覧ほかで一致。045-731-2861を載せるサイトもあり</t>
        </is>
      </c>
      <c r="N556" s="11" t="inlineStr">
        <is>
          <t>https://www.city.yokohama.lg.jp/minami/kosodate_kyoiku/kyoiku/gakko/juniorhighschool.html ; https://www.inter-edu.com/schools/school/218</t>
        </is>
      </c>
      <c r="O556" s="12" t="inlineStr">
        <is>
          <t>開く</t>
        </is>
      </c>
    </row>
    <row r="557">
      <c r="A557" s="4" t="n">
        <v>553</v>
      </c>
      <c r="B557" s="5" t="inlineStr">
        <is>
          <t>神奈川県</t>
        </is>
      </c>
      <c r="C557" s="5" t="inlineStr">
        <is>
          <t>横浜市神奈川区</t>
        </is>
      </c>
      <c r="D557" s="5" t="inlineStr">
        <is>
          <t>浅野高等学校</t>
        </is>
      </c>
      <c r="E557" s="6" t="inlineStr">
        <is>
          <t>045-421-3281</t>
        </is>
      </c>
      <c r="F557" s="13" t="inlineStr">
        <is>
          <t>中</t>
        </is>
      </c>
      <c r="G557" s="5" t="inlineStr">
        <is>
          <t>普通科</t>
        </is>
      </c>
      <c r="H557" s="8" t="n"/>
      <c r="I557" s="9" t="n"/>
      <c r="J557" s="9" t="inlineStr">
        <is>
          <t>未架電</t>
        </is>
      </c>
      <c r="K557" s="8" t="n"/>
      <c r="L557" s="9" t="n"/>
      <c r="M557" s="10" t="inlineStr">
        <is>
          <t>中高共通。学校情報サイト1件のみで確認</t>
        </is>
      </c>
      <c r="N557" s="11" t="inlineStr">
        <is>
          <t>https://www.inter-edu.com/schools/school/1/</t>
        </is>
      </c>
      <c r="O557" s="12" t="inlineStr">
        <is>
          <t>開く</t>
        </is>
      </c>
    </row>
    <row r="558">
      <c r="A558" s="4" t="n">
        <v>554</v>
      </c>
      <c r="B558" s="5" t="inlineStr">
        <is>
          <t>神奈川県</t>
        </is>
      </c>
      <c r="C558" s="5" t="inlineStr">
        <is>
          <t>小田原市</t>
        </is>
      </c>
      <c r="D558" s="5" t="inlineStr">
        <is>
          <t>旭丘高等学校</t>
        </is>
      </c>
      <c r="E558" s="6" t="inlineStr">
        <is>
          <t>0465-24-2227</t>
        </is>
      </c>
      <c r="F558" s="13" t="inlineStr">
        <is>
          <t>中</t>
        </is>
      </c>
      <c r="G558" s="5" t="inlineStr">
        <is>
          <t>普通科・総合学科</t>
        </is>
      </c>
      <c r="H558" s="8" t="n"/>
      <c r="I558" s="9" t="n"/>
      <c r="J558" s="9" t="inlineStr">
        <is>
          <t>未架電</t>
        </is>
      </c>
      <c r="K558" s="8" t="n"/>
      <c r="L558" s="9" t="n"/>
      <c r="M558" s="10" t="inlineStr">
        <is>
          <t>学校情報サイト1件のみで確認</t>
        </is>
      </c>
      <c r="N558" s="11" t="inlineStr">
        <is>
          <t>https://school.js88.com/scl_h/22042660</t>
        </is>
      </c>
      <c r="O558" s="12" t="inlineStr">
        <is>
          <t>開く</t>
        </is>
      </c>
    </row>
    <row r="559">
      <c r="A559" s="4" t="n">
        <v>555</v>
      </c>
      <c r="B559" s="5" t="inlineStr">
        <is>
          <t>神奈川県</t>
        </is>
      </c>
      <c r="C559" s="5" t="inlineStr">
        <is>
          <t>相模原市中央区</t>
        </is>
      </c>
      <c r="D559" s="5" t="inlineStr">
        <is>
          <t>麻布大学附属高等学校</t>
        </is>
      </c>
      <c r="E559" s="6" t="inlineStr">
        <is>
          <t>042-757-2403</t>
        </is>
      </c>
      <c r="F559" s="7" t="inlineStr">
        <is>
          <t>高</t>
        </is>
      </c>
      <c r="G559" s="5" t="inlineStr">
        <is>
          <t>普通科</t>
        </is>
      </c>
      <c r="H559" s="8" t="n"/>
      <c r="I559" s="9" t="n"/>
      <c r="J559" s="9" t="inlineStr">
        <is>
          <t>未架電</t>
        </is>
      </c>
      <c r="K559" s="8" t="n"/>
      <c r="L559" s="9" t="n"/>
      <c r="M559" s="10" t="inlineStr">
        <is>
          <t>2つのサイトで一致</t>
        </is>
      </c>
      <c r="N559" s="11" t="inlineStr">
        <is>
          <t>https://school.js88.com/scl_h/22042730 ; https://www.inter-edu.com/schools/school/553</t>
        </is>
      </c>
      <c r="O559" s="12" t="inlineStr">
        <is>
          <t>開く</t>
        </is>
      </c>
    </row>
    <row r="560">
      <c r="A560" s="4" t="n">
        <v>556</v>
      </c>
      <c r="B560" s="5" t="inlineStr">
        <is>
          <t>神奈川県</t>
        </is>
      </c>
      <c r="C560" s="5" t="inlineStr">
        <is>
          <t>厚木市</t>
        </is>
      </c>
      <c r="D560" s="5" t="inlineStr">
        <is>
          <t>厚木中央高等学校</t>
        </is>
      </c>
      <c r="E560" s="6" t="inlineStr">
        <is>
          <t>046-221-5678</t>
        </is>
      </c>
      <c r="F560" s="13" t="inlineStr">
        <is>
          <t>中</t>
        </is>
      </c>
      <c r="G560" s="5" t="inlineStr">
        <is>
          <t>普通科・専門学科</t>
        </is>
      </c>
      <c r="H560" s="8" t="n"/>
      <c r="I560" s="9" t="n"/>
      <c r="J560" s="9" t="inlineStr">
        <is>
          <t>未架電</t>
        </is>
      </c>
      <c r="K560" s="8" t="n"/>
      <c r="L560" s="9" t="n"/>
      <c r="M560" s="10" t="inlineStr">
        <is>
          <t>通信制。学校情報サイト1件のみで確認</t>
        </is>
      </c>
      <c r="N560" s="11" t="inlineStr">
        <is>
          <t>https://school.js88.com/scl_h/34025180</t>
        </is>
      </c>
      <c r="O560" s="12" t="inlineStr">
        <is>
          <t>開く</t>
        </is>
      </c>
    </row>
    <row r="561">
      <c r="A561" s="4" t="n">
        <v>557</v>
      </c>
      <c r="B561" s="5" t="inlineStr">
        <is>
          <t>神奈川県</t>
        </is>
      </c>
      <c r="C561" s="5" t="inlineStr">
        <is>
          <t>茅ヶ崎市</t>
        </is>
      </c>
      <c r="D561" s="5" t="inlineStr">
        <is>
          <t>アレセイア湘南高等学校</t>
        </is>
      </c>
      <c r="E561" s="6" t="inlineStr">
        <is>
          <t>0467-87-0132</t>
        </is>
      </c>
      <c r="F561" s="7" t="inlineStr">
        <is>
          <t>高</t>
        </is>
      </c>
      <c r="G561" s="5" t="inlineStr">
        <is>
          <t>普通科</t>
        </is>
      </c>
      <c r="H561" s="8" t="n"/>
      <c r="I561" s="9" t="n"/>
      <c r="J561" s="9" t="inlineStr">
        <is>
          <t>未架電</t>
        </is>
      </c>
      <c r="K561" s="8" t="n"/>
      <c r="L561" s="9" t="n"/>
      <c r="M561" s="10" t="inlineStr">
        <is>
          <t>中高共通。複数サイトで一致</t>
        </is>
      </c>
      <c r="N561" s="11" t="inlineStr">
        <is>
          <t>https://www.inter-edu.com/schools/school/2220 ; https://school.js88.com/scl_h/22042670</t>
        </is>
      </c>
      <c r="O561" s="12" t="inlineStr">
        <is>
          <t>開く</t>
        </is>
      </c>
    </row>
    <row r="562">
      <c r="A562" s="4" t="n">
        <v>558</v>
      </c>
      <c r="B562" s="5" t="inlineStr">
        <is>
          <t>神奈川県</t>
        </is>
      </c>
      <c r="C562" s="5" t="inlineStr">
        <is>
          <t>鎌倉市</t>
        </is>
      </c>
      <c r="D562" s="5" t="inlineStr">
        <is>
          <t>栄光学園高等学校</t>
        </is>
      </c>
      <c r="E562" s="6" t="inlineStr">
        <is>
          <t>0467-46-7711</t>
        </is>
      </c>
      <c r="F562" s="7" t="inlineStr">
        <is>
          <t>高</t>
        </is>
      </c>
      <c r="G562" s="5" t="inlineStr">
        <is>
          <t>普通科</t>
        </is>
      </c>
      <c r="H562" s="8" t="n"/>
      <c r="I562" s="9" t="n"/>
      <c r="J562" s="9" t="inlineStr">
        <is>
          <t>未架電</t>
        </is>
      </c>
      <c r="K562" s="8" t="n"/>
      <c r="L562" s="9" t="n"/>
      <c r="M562" s="10" t="inlineStr">
        <is>
          <t>中高共通</t>
        </is>
      </c>
      <c r="N562" s="11" t="inlineStr">
        <is>
          <t>https://www.inter-edu.com/schools/school/3 ; https://school.js88.com/scl_h/22042500</t>
        </is>
      </c>
      <c r="O562" s="12" t="inlineStr">
        <is>
          <t>開く</t>
        </is>
      </c>
    </row>
    <row r="563">
      <c r="A563" s="4" t="n">
        <v>559</v>
      </c>
      <c r="B563" s="5" t="inlineStr">
        <is>
          <t>神奈川県</t>
        </is>
      </c>
      <c r="C563" s="5" t="inlineStr">
        <is>
          <t>横浜市港北区</t>
        </is>
      </c>
      <c r="D563" s="5" t="inlineStr">
        <is>
          <t>英理女子学院高等学校</t>
        </is>
      </c>
      <c r="E563" s="6" t="inlineStr">
        <is>
          <t>045-431-8188</t>
        </is>
      </c>
      <c r="F563" s="13" t="inlineStr">
        <is>
          <t>中</t>
        </is>
      </c>
      <c r="G563" s="5" t="inlineStr">
        <is>
          <t>普通科</t>
        </is>
      </c>
      <c r="H563" s="8" t="n"/>
      <c r="I563" s="9" t="n"/>
      <c r="J563" s="9" t="inlineStr">
        <is>
          <t>未架電</t>
        </is>
      </c>
      <c r="K563" s="8" t="n"/>
      <c r="L563" s="9" t="n"/>
      <c r="M563" s="10" t="inlineStr">
        <is>
          <t>学校情報サイト1件のみで確認</t>
        </is>
      </c>
      <c r="N563" s="11" t="inlineStr">
        <is>
          <t>https://www.inter-edu.com/schools/school/1816</t>
        </is>
      </c>
      <c r="O563" s="12" t="inlineStr">
        <is>
          <t>開く</t>
        </is>
      </c>
    </row>
    <row r="564">
      <c r="A564" s="4" t="n">
        <v>560</v>
      </c>
      <c r="B564" s="5" t="inlineStr">
        <is>
          <t>神奈川県</t>
        </is>
      </c>
      <c r="C564" s="5" t="inlineStr">
        <is>
          <t>川崎市中原区</t>
        </is>
      </c>
      <c r="D564" s="5" t="inlineStr">
        <is>
          <t>大西学園高等学校</t>
        </is>
      </c>
      <c r="E564" s="6" t="inlineStr">
        <is>
          <t>044-722-2332</t>
        </is>
      </c>
      <c r="F564" s="7" t="inlineStr">
        <is>
          <t>高</t>
        </is>
      </c>
      <c r="G564" s="5" t="inlineStr">
        <is>
          <t>普通科・専門学科</t>
        </is>
      </c>
      <c r="H564" s="8" t="n"/>
      <c r="I564" s="9" t="n"/>
      <c r="J564" s="9" t="inlineStr">
        <is>
          <t>未架電</t>
        </is>
      </c>
      <c r="K564" s="8" t="n"/>
      <c r="L564" s="9" t="n"/>
      <c r="M564" s="10" t="inlineStr">
        <is>
          <t>中高共通</t>
        </is>
      </c>
      <c r="N564" s="11" t="inlineStr">
        <is>
          <t>https://school.js88.com/scl_h/22042430/ ; https://www.inter-edu.com/schools/school/1864</t>
        </is>
      </c>
      <c r="O564" s="12" t="inlineStr">
        <is>
          <t>開く</t>
        </is>
      </c>
    </row>
    <row r="565">
      <c r="A565" s="4" t="n">
        <v>561</v>
      </c>
      <c r="B565" s="5" t="inlineStr">
        <is>
          <t>神奈川県</t>
        </is>
      </c>
      <c r="C565" s="5" t="inlineStr">
        <is>
          <t>大和市</t>
        </is>
      </c>
      <c r="D565" s="5" t="inlineStr">
        <is>
          <t>柏木学園高等学校</t>
        </is>
      </c>
      <c r="E565" s="6" t="inlineStr">
        <is>
          <t>046-260-9011</t>
        </is>
      </c>
      <c r="F565" s="13" t="inlineStr">
        <is>
          <t>中</t>
        </is>
      </c>
      <c r="G565" s="5" t="inlineStr">
        <is>
          <t>普通科</t>
        </is>
      </c>
      <c r="H565" s="8" t="n"/>
      <c r="I565" s="9" t="n"/>
      <c r="J565" s="9" t="inlineStr">
        <is>
          <t>未架電</t>
        </is>
      </c>
      <c r="K565" s="8" t="n"/>
      <c r="L565" s="9" t="n"/>
      <c r="M565" s="10" t="inlineStr">
        <is>
          <t>学校情報サイト1件のみで確認。同じ法人の専門学校とは別番号</t>
        </is>
      </c>
      <c r="N565" s="11" t="inlineStr">
        <is>
          <t>https://school.js88.com/scl_h/22108010</t>
        </is>
      </c>
      <c r="O565" s="12" t="inlineStr">
        <is>
          <t>開く</t>
        </is>
      </c>
    </row>
    <row r="566">
      <c r="A566" s="4" t="n">
        <v>562</v>
      </c>
      <c r="B566" s="5" t="inlineStr">
        <is>
          <t>神奈川県</t>
        </is>
      </c>
      <c r="C566" s="5" t="inlineStr">
        <is>
          <t>横浜市神奈川区</t>
        </is>
      </c>
      <c r="D566" s="5" t="inlineStr">
        <is>
          <t>神奈川学園高等学校</t>
        </is>
      </c>
      <c r="E566" s="6" t="inlineStr">
        <is>
          <t>045-311-2961</t>
        </is>
      </c>
      <c r="F566" s="13" t="inlineStr">
        <is>
          <t>中</t>
        </is>
      </c>
      <c r="G566" s="5" t="inlineStr">
        <is>
          <t>普通科</t>
        </is>
      </c>
      <c r="H566" s="8" t="n"/>
      <c r="I566" s="9" t="n"/>
      <c r="J566" s="9" t="inlineStr">
        <is>
          <t>未架電</t>
        </is>
      </c>
      <c r="K566" s="8" t="n"/>
      <c r="L566" s="9" t="n"/>
      <c r="M566" s="10" t="inlineStr">
        <is>
          <t>中高共通。学校情報サイト1件のみで確認</t>
        </is>
      </c>
      <c r="N566" s="11" t="inlineStr">
        <is>
          <t>https://www.inter-edu.com/schools/school/242</t>
        </is>
      </c>
      <c r="O566" s="12" t="inlineStr">
        <is>
          <t>開く</t>
        </is>
      </c>
    </row>
    <row r="567">
      <c r="A567" s="4" t="n">
        <v>563</v>
      </c>
      <c r="B567" s="5" t="inlineStr">
        <is>
          <t>神奈川県</t>
        </is>
      </c>
      <c r="C567" s="5" t="inlineStr">
        <is>
          <t>横浜市緑区</t>
        </is>
      </c>
      <c r="D567" s="5" t="inlineStr">
        <is>
          <t>神奈川大学附属高等学校</t>
        </is>
      </c>
      <c r="E567" s="6" t="inlineStr">
        <is>
          <t>045-934-6211</t>
        </is>
      </c>
      <c r="F567" s="7" t="inlineStr">
        <is>
          <t>高</t>
        </is>
      </c>
      <c r="G567" s="5" t="inlineStr">
        <is>
          <t>普通科</t>
        </is>
      </c>
      <c r="H567" s="8" t="n"/>
      <c r="I567" s="9" t="n"/>
      <c r="J567" s="9" t="inlineStr">
        <is>
          <t>未架電</t>
        </is>
      </c>
      <c r="K567" s="8" t="n"/>
      <c r="L567" s="9" t="n"/>
      <c r="M567" s="10" t="inlineStr">
        <is>
          <t>中高共通。公式資料（2014年）とも一致</t>
        </is>
      </c>
      <c r="N567" s="11" t="inlineStr">
        <is>
          <t>https://www.inter-edu.com/schools/school/150 ; https://www.fhs.kanagawa-u.ac.jp/images/topics/1407458985/1407458985_20.pdf</t>
        </is>
      </c>
      <c r="O567" s="12" t="inlineStr">
        <is>
          <t>開く</t>
        </is>
      </c>
    </row>
    <row r="568">
      <c r="A568" s="4" t="n">
        <v>564</v>
      </c>
      <c r="B568" s="5" t="inlineStr">
        <is>
          <t>神奈川県</t>
        </is>
      </c>
      <c r="C568" s="5" t="inlineStr">
        <is>
          <t>鎌倉市</t>
        </is>
      </c>
      <c r="D568" s="5" t="inlineStr">
        <is>
          <t>鎌倉学園高等学校</t>
        </is>
      </c>
      <c r="E568" s="6" t="inlineStr">
        <is>
          <t>0467-22-0994</t>
        </is>
      </c>
      <c r="F568" s="7" t="inlineStr">
        <is>
          <t>高</t>
        </is>
      </c>
      <c r="G568" s="5" t="inlineStr">
        <is>
          <t>普通科</t>
        </is>
      </c>
      <c r="H568" s="8" t="n"/>
      <c r="I568" s="9" t="n"/>
      <c r="J568" s="9" t="inlineStr">
        <is>
          <t>未架電</t>
        </is>
      </c>
      <c r="K568" s="8" t="n"/>
      <c r="L568" s="9" t="n"/>
      <c r="M568" s="10" t="inlineStr">
        <is>
          <t>中高共通</t>
        </is>
      </c>
      <c r="N568" s="11" t="inlineStr">
        <is>
          <t>https://www.inter-edu.com/schools/school/1984 ; https://school.js88.com/scl_h/22042510</t>
        </is>
      </c>
      <c r="O568" s="12" t="inlineStr">
        <is>
          <t>開く</t>
        </is>
      </c>
    </row>
    <row r="569">
      <c r="A569" s="4" t="n">
        <v>565</v>
      </c>
      <c r="B569" s="5" t="inlineStr">
        <is>
          <t>神奈川県</t>
        </is>
      </c>
      <c r="C569" s="5" t="inlineStr">
        <is>
          <t>鎌倉市</t>
        </is>
      </c>
      <c r="D569" s="5" t="inlineStr">
        <is>
          <t>鎌倉国際文理高等学校</t>
        </is>
      </c>
      <c r="E569" s="6" t="inlineStr">
        <is>
          <t>0467-44-2113</t>
        </is>
      </c>
      <c r="F569" s="7" t="inlineStr">
        <is>
          <t>高</t>
        </is>
      </c>
      <c r="G569" s="5" t="inlineStr">
        <is>
          <t>普通科</t>
        </is>
      </c>
      <c r="H569" s="8" t="n"/>
      <c r="I569" s="9" t="n"/>
      <c r="J569" s="9" t="inlineStr">
        <is>
          <t>未架電</t>
        </is>
      </c>
      <c r="K569" s="8" t="n"/>
      <c r="L569" s="9" t="n"/>
      <c r="M569" s="10" t="inlineStr">
        <is>
          <t>【校名変更】2026年4月に鎌倉女子大学高等部から改称。中高共通</t>
        </is>
      </c>
      <c r="N569" s="11" t="inlineStr">
        <is>
          <t>https://www.inter-edu.com/schools/school/2071 ; https://school.js88.com/scl_h/22042540</t>
        </is>
      </c>
      <c r="O569" s="12" t="inlineStr">
        <is>
          <t>開く</t>
        </is>
      </c>
    </row>
    <row r="570">
      <c r="A570" s="4" t="n">
        <v>566</v>
      </c>
      <c r="B570" s="5" t="inlineStr">
        <is>
          <t>神奈川県</t>
        </is>
      </c>
      <c r="C570" s="5" t="inlineStr">
        <is>
          <t>鎌倉市</t>
        </is>
      </c>
      <c r="D570" s="5" t="inlineStr">
        <is>
          <t>鎌倉女学院高等学校</t>
        </is>
      </c>
      <c r="E570" s="6" t="inlineStr">
        <is>
          <t>0467-25-2100</t>
        </is>
      </c>
      <c r="F570" s="13" t="inlineStr">
        <is>
          <t>中</t>
        </is>
      </c>
      <c r="G570" s="5" t="inlineStr">
        <is>
          <t>普通科</t>
        </is>
      </c>
      <c r="H570" s="8" t="n"/>
      <c r="I570" s="9" t="n"/>
      <c r="J570" s="9" t="inlineStr">
        <is>
          <t>未架電</t>
        </is>
      </c>
      <c r="K570" s="8" t="n"/>
      <c r="L570" s="9" t="n"/>
      <c r="M570" s="10" t="inlineStr">
        <is>
          <t>中高共通。学校情報サイト1件のみで確認</t>
        </is>
      </c>
      <c r="N570" s="11" t="inlineStr">
        <is>
          <t>https://www.inter-edu.com/schools/school/241</t>
        </is>
      </c>
      <c r="O570" s="12" t="inlineStr">
        <is>
          <t>開く</t>
        </is>
      </c>
    </row>
    <row r="571">
      <c r="A571" s="4" t="n">
        <v>567</v>
      </c>
      <c r="B571" s="5" t="inlineStr">
        <is>
          <t>神奈川県</t>
        </is>
      </c>
      <c r="C571" s="5" t="inlineStr">
        <is>
          <t>川崎市多摩区</t>
        </is>
      </c>
      <c r="D571" s="5" t="inlineStr">
        <is>
          <t>カリタス女子高等学校</t>
        </is>
      </c>
      <c r="E571" s="6" t="inlineStr">
        <is>
          <t>044-911-4656</t>
        </is>
      </c>
      <c r="F571" s="7" t="inlineStr">
        <is>
          <t>高</t>
        </is>
      </c>
      <c r="G571" s="5" t="inlineStr">
        <is>
          <t>普通科</t>
        </is>
      </c>
      <c r="H571" s="8" t="n"/>
      <c r="I571" s="9" t="n"/>
      <c r="J571" s="9" t="inlineStr">
        <is>
          <t>未架電</t>
        </is>
      </c>
      <c r="K571" s="8" t="n"/>
      <c r="L571" s="9" t="n"/>
      <c r="M571" s="10" t="inlineStr">
        <is>
          <t>高校募集なし（完全中高一貫）</t>
        </is>
      </c>
      <c r="N571" s="11" t="inlineStr">
        <is>
          <t>https://school.js88.com/scl_h/22042440 ; https://www.inter-edu.com/schools/school/91</t>
        </is>
      </c>
      <c r="O571" s="12" t="inlineStr">
        <is>
          <t>開く</t>
        </is>
      </c>
    </row>
    <row r="572">
      <c r="A572" s="4" t="n">
        <v>568</v>
      </c>
      <c r="B572" s="5" t="inlineStr">
        <is>
          <t>神奈川県</t>
        </is>
      </c>
      <c r="C572" s="5" t="inlineStr">
        <is>
          <t>横浜市南区</t>
        </is>
      </c>
      <c r="D572" s="5" t="inlineStr">
        <is>
          <t>関東学院高等学校</t>
        </is>
      </c>
      <c r="E572" s="6" t="inlineStr">
        <is>
          <t>045-231-1001</t>
        </is>
      </c>
      <c r="F572" s="13" t="inlineStr">
        <is>
          <t>中</t>
        </is>
      </c>
      <c r="G572" s="5" t="inlineStr">
        <is>
          <t>普通科</t>
        </is>
      </c>
      <c r="H572" s="8" t="n"/>
      <c r="I572" s="9" t="n"/>
      <c r="J572" s="9" t="inlineStr">
        <is>
          <t>未架電</t>
        </is>
      </c>
      <c r="K572" s="8" t="n"/>
      <c r="L572" s="9" t="n"/>
      <c r="M572" s="10" t="inlineStr">
        <is>
          <t>中高共通。学校情報サイト1件のみで確認。関東学院六浦（金沢区）とは別の学校</t>
        </is>
      </c>
      <c r="N572" s="11" t="inlineStr">
        <is>
          <t>https://www.inter-edu.com/schools/school/151</t>
        </is>
      </c>
      <c r="O572" s="12" t="inlineStr">
        <is>
          <t>開く</t>
        </is>
      </c>
    </row>
    <row r="573">
      <c r="A573" s="4" t="n">
        <v>569</v>
      </c>
      <c r="B573" s="5" t="inlineStr">
        <is>
          <t>神奈川県</t>
        </is>
      </c>
      <c r="C573" s="5" t="inlineStr">
        <is>
          <t>横浜市金沢区</t>
        </is>
      </c>
      <c r="D573" s="5" t="inlineStr">
        <is>
          <t>関東学院六浦高等学校</t>
        </is>
      </c>
      <c r="E573" s="6" t="inlineStr">
        <is>
          <t>045-781-2525</t>
        </is>
      </c>
      <c r="F573" s="13" t="inlineStr">
        <is>
          <t>中</t>
        </is>
      </c>
      <c r="G573" s="5" t="inlineStr">
        <is>
          <t>普通科</t>
        </is>
      </c>
      <c r="H573" s="8" t="n"/>
      <c r="I573" s="9" t="n"/>
      <c r="J573" s="9" t="inlineStr">
        <is>
          <t>未架電</t>
        </is>
      </c>
      <c r="K573" s="8" t="n"/>
      <c r="L573" s="9" t="n"/>
      <c r="M573" s="10" t="inlineStr">
        <is>
          <t>中高共通。学校情報サイトのみで確認</t>
        </is>
      </c>
      <c r="N573" s="11" t="inlineStr">
        <is>
          <t>https://www.inter-edu.com/schools/school/2013</t>
        </is>
      </c>
      <c r="O573" s="12" t="inlineStr">
        <is>
          <t>開く</t>
        </is>
      </c>
    </row>
    <row r="574">
      <c r="A574" s="4" t="n">
        <v>570</v>
      </c>
      <c r="B574" s="5" t="inlineStr">
        <is>
          <t>神奈川県</t>
        </is>
      </c>
      <c r="C574" s="5" t="inlineStr">
        <is>
          <t>箱根町</t>
        </is>
      </c>
      <c r="D574" s="5" t="inlineStr">
        <is>
          <t>函嶺白百合学園高等学校</t>
        </is>
      </c>
      <c r="E574" s="6" t="inlineStr">
        <is>
          <t>0460-87-6611</t>
        </is>
      </c>
      <c r="F574" s="7" t="inlineStr">
        <is>
          <t>高</t>
        </is>
      </c>
      <c r="G574" s="5" t="inlineStr">
        <is>
          <t>普通科</t>
        </is>
      </c>
      <c r="H574" s="8" t="n"/>
      <c r="I574" s="9" t="n"/>
      <c r="J574" s="9" t="inlineStr">
        <is>
          <t>未架電</t>
        </is>
      </c>
      <c r="K574" s="8" t="n"/>
      <c r="L574" s="9" t="n"/>
      <c r="M574" s="10" t="inlineStr">
        <is>
          <t>公式の募集要項に「代表」と記載</t>
        </is>
      </c>
      <c r="N574" s="11" t="inlineStr">
        <is>
          <t>https://kanrei-shirayuri.ed.jp/mh/_src/49746279/2026_H_yoko.pdf</t>
        </is>
      </c>
      <c r="O574" s="12" t="inlineStr">
        <is>
          <t>開く</t>
        </is>
      </c>
    </row>
    <row r="575">
      <c r="A575" s="4" t="n">
        <v>571</v>
      </c>
      <c r="B575" s="5" t="inlineStr">
        <is>
          <t>神奈川県</t>
        </is>
      </c>
      <c r="C575" s="5" t="inlineStr">
        <is>
          <t>鎌倉市</t>
        </is>
      </c>
      <c r="D575" s="5" t="inlineStr">
        <is>
          <t>北鎌倉女子学園高等学校</t>
        </is>
      </c>
      <c r="E575" s="6" t="inlineStr">
        <is>
          <t>0467-22-6900</t>
        </is>
      </c>
      <c r="F575" s="7" t="inlineStr">
        <is>
          <t>高</t>
        </is>
      </c>
      <c r="G575" s="5" t="inlineStr">
        <is>
          <t>普通科・専門学科</t>
        </is>
      </c>
      <c r="H575" s="8" t="n"/>
      <c r="I575" s="9" t="n"/>
      <c r="J575" s="9" t="inlineStr">
        <is>
          <t>未架電</t>
        </is>
      </c>
      <c r="K575" s="8" t="n"/>
      <c r="L575" s="9" t="n"/>
      <c r="M575" s="10" t="inlineStr">
        <is>
          <t>2つのサイトで一致</t>
        </is>
      </c>
      <c r="N575" s="11" t="inlineStr">
        <is>
          <t>https://www.inter-edu.com/schools/school/2069 ; https://school.js88.com/scl_h/22042530</t>
        </is>
      </c>
      <c r="O575" s="12" t="inlineStr">
        <is>
          <t>開く</t>
        </is>
      </c>
    </row>
    <row r="576">
      <c r="A576" s="4" t="n">
        <v>572</v>
      </c>
      <c r="B576" s="5" t="inlineStr">
        <is>
          <t>神奈川県</t>
        </is>
      </c>
      <c r="C576" s="5" t="inlineStr">
        <is>
          <t>藤沢市</t>
        </is>
      </c>
      <c r="D576" s="5" t="inlineStr">
        <is>
          <t>鵠沼高等学校</t>
        </is>
      </c>
      <c r="E576" s="6" t="inlineStr">
        <is>
          <t>0466-22-4783</t>
        </is>
      </c>
      <c r="F576" s="13" t="inlineStr">
        <is>
          <t>中</t>
        </is>
      </c>
      <c r="G576" s="5" t="inlineStr">
        <is>
          <t>普通科</t>
        </is>
      </c>
      <c r="H576" s="8" t="n"/>
      <c r="I576" s="9" t="n"/>
      <c r="J576" s="9" t="inlineStr">
        <is>
          <t>未架電</t>
        </is>
      </c>
      <c r="K576" s="8" t="n"/>
      <c r="L576" s="9" t="n"/>
      <c r="M576" s="10" t="inlineStr">
        <is>
          <t>学校情報サイト1件のみで確認</t>
        </is>
      </c>
      <c r="N576" s="11" t="inlineStr">
        <is>
          <t>https://www.inter-edu.com/schools/school/580</t>
        </is>
      </c>
      <c r="O576" s="12" t="inlineStr">
        <is>
          <t>開く</t>
        </is>
      </c>
    </row>
    <row r="577">
      <c r="A577" s="4" t="n">
        <v>573</v>
      </c>
      <c r="B577" s="5" t="inlineStr">
        <is>
          <t>神奈川県</t>
        </is>
      </c>
      <c r="C577" s="5" t="inlineStr">
        <is>
          <t>横浜市戸塚区</t>
        </is>
      </c>
      <c r="D577" s="5" t="inlineStr">
        <is>
          <t>公文国際学園高等部</t>
        </is>
      </c>
      <c r="E577" s="6" t="inlineStr">
        <is>
          <t>045-853-8200</t>
        </is>
      </c>
      <c r="F577" s="13" t="inlineStr">
        <is>
          <t>中</t>
        </is>
      </c>
      <c r="G577" s="5" t="inlineStr">
        <is>
          <t>普通科</t>
        </is>
      </c>
      <c r="H577" s="8" t="n"/>
      <c r="I577" s="9" t="n"/>
      <c r="J577" s="9" t="inlineStr">
        <is>
          <t>未架電</t>
        </is>
      </c>
      <c r="K577" s="8" t="n"/>
      <c r="L577" s="9" t="n"/>
      <c r="M577" s="10" t="inlineStr">
        <is>
          <t>中高共通。高校募集は原則なしとの情報あり</t>
        </is>
      </c>
      <c r="N577" s="11" t="inlineStr">
        <is>
          <t>https://www.inter-edu.com/schools/school/278</t>
        </is>
      </c>
      <c r="O577" s="12" t="inlineStr">
        <is>
          <t>開く</t>
        </is>
      </c>
    </row>
    <row r="578">
      <c r="A578" s="4" t="n">
        <v>574</v>
      </c>
      <c r="B578" s="5" t="inlineStr">
        <is>
          <t>神奈川県</t>
        </is>
      </c>
      <c r="C578" s="5" t="inlineStr">
        <is>
          <t>横浜市港北区</t>
        </is>
      </c>
      <c r="D578" s="5" t="inlineStr">
        <is>
          <t>慶應義塾高等学校</t>
        </is>
      </c>
      <c r="E578" s="14" t="n"/>
      <c r="F578" s="15" t="inlineStr">
        <is>
          <t>要調査</t>
        </is>
      </c>
      <c r="G578" s="5" t="inlineStr">
        <is>
          <t>普通科</t>
        </is>
      </c>
      <c r="H578" s="8" t="n"/>
      <c r="I578" s="9" t="n"/>
      <c r="J578" s="9" t="inlineStr">
        <is>
          <t>未架電</t>
        </is>
      </c>
      <c r="K578" s="8" t="n"/>
      <c r="L578" s="9" t="n"/>
      <c r="M578" s="10" t="inlineStr">
        <is>
          <t>代表番号が見つからず。候補：主事室直通045-566-1375（公式資料）。045-566-1000は大学側の番号なので注意</t>
        </is>
      </c>
      <c r="N578" s="11" t="inlineStr">
        <is>
          <t>https://www.hs.keio.ac.jp/files/2025/4/22/20250422_japanese.pdf</t>
        </is>
      </c>
      <c r="O578" s="12" t="inlineStr">
        <is>
          <t>開く</t>
        </is>
      </c>
    </row>
    <row r="579">
      <c r="A579" s="4" t="n">
        <v>575</v>
      </c>
      <c r="B579" s="5" t="inlineStr">
        <is>
          <t>神奈川県</t>
        </is>
      </c>
      <c r="C579" s="5" t="inlineStr">
        <is>
          <t>藤沢市</t>
        </is>
      </c>
      <c r="D579" s="5" t="inlineStr">
        <is>
          <t>慶應義塾湘南藤沢高等部</t>
        </is>
      </c>
      <c r="E579" s="6" t="inlineStr">
        <is>
          <t>0466-49-3585</t>
        </is>
      </c>
      <c r="F579" s="13" t="inlineStr">
        <is>
          <t>中</t>
        </is>
      </c>
      <c r="G579" s="5" t="inlineStr">
        <is>
          <t>普通科</t>
        </is>
      </c>
      <c r="H579" s="8" t="n"/>
      <c r="I579" s="9" t="n"/>
      <c r="J579" s="9" t="inlineStr">
        <is>
          <t>未架電</t>
        </is>
      </c>
      <c r="K579" s="8" t="n"/>
      <c r="L579" s="9" t="n"/>
      <c r="M579" s="10" t="inlineStr">
        <is>
          <t>中高共通。事務室は0466-49-3586（公式資料）</t>
        </is>
      </c>
      <c r="N579" s="11" t="inlineStr">
        <is>
          <t>https://www.inter-edu.com/schools/school/28</t>
        </is>
      </c>
      <c r="O579" s="12" t="inlineStr">
        <is>
          <t>開く</t>
        </is>
      </c>
    </row>
    <row r="580">
      <c r="A580" s="4" t="n">
        <v>576</v>
      </c>
      <c r="B580" s="5" t="inlineStr">
        <is>
          <t>神奈川県</t>
        </is>
      </c>
      <c r="C580" s="5" t="inlineStr">
        <is>
          <t>伊勢原市</t>
        </is>
      </c>
      <c r="D580" s="5" t="inlineStr">
        <is>
          <t>向上高等学校</t>
        </is>
      </c>
      <c r="E580" s="6" t="inlineStr">
        <is>
          <t>0463-96-0411</t>
        </is>
      </c>
      <c r="F580" s="7" t="inlineStr">
        <is>
          <t>高</t>
        </is>
      </c>
      <c r="G580" s="5" t="inlineStr">
        <is>
          <t>普通科</t>
        </is>
      </c>
      <c r="H580" s="8" t="n"/>
      <c r="I580" s="9" t="n"/>
      <c r="J580" s="9" t="inlineStr">
        <is>
          <t>未架電</t>
        </is>
      </c>
      <c r="K580" s="8" t="n"/>
      <c r="L580" s="9" t="n"/>
      <c r="M580" s="10" t="inlineStr">
        <is>
          <t>2つの情報源で一致</t>
        </is>
      </c>
      <c r="N580" s="11" t="inlineStr">
        <is>
          <t>https://www.inter-edu.com/schools/school/1024 ; https://map.yahoo.co.jp/v3/place/21qUFjHT1e6</t>
        </is>
      </c>
      <c r="O580" s="12" t="inlineStr">
        <is>
          <t>開く</t>
        </is>
      </c>
    </row>
    <row r="581">
      <c r="A581" s="4" t="n">
        <v>577</v>
      </c>
      <c r="B581" s="5" t="inlineStr">
        <is>
          <t>神奈川県</t>
        </is>
      </c>
      <c r="C581" s="5" t="inlineStr">
        <is>
          <t>相模原市南区</t>
        </is>
      </c>
      <c r="D581" s="5" t="inlineStr">
        <is>
          <t>光明学園相模原高等学校</t>
        </is>
      </c>
      <c r="E581" s="6" t="inlineStr">
        <is>
          <t>042-778-3333</t>
        </is>
      </c>
      <c r="F581" s="13" t="inlineStr">
        <is>
          <t>中</t>
        </is>
      </c>
      <c r="G581" s="5" t="inlineStr">
        <is>
          <t>普通科</t>
        </is>
      </c>
      <c r="H581" s="8" t="n"/>
      <c r="I581" s="9" t="n"/>
      <c r="J581" s="9" t="inlineStr">
        <is>
          <t>未架電</t>
        </is>
      </c>
      <c r="K581" s="8" t="n"/>
      <c r="L581" s="9" t="n"/>
      <c r="M581" s="10" t="inlineStr">
        <is>
          <t>学校情報サイト1件のみで確認</t>
        </is>
      </c>
      <c r="N581" s="11" t="inlineStr">
        <is>
          <t>https://www.inter-edu.com/schools/school/1025</t>
        </is>
      </c>
      <c r="O581" s="12" t="inlineStr">
        <is>
          <t>開く</t>
        </is>
      </c>
    </row>
    <row r="582">
      <c r="A582" s="4" t="n">
        <v>578</v>
      </c>
      <c r="B582" s="5" t="inlineStr">
        <is>
          <t>神奈川県</t>
        </is>
      </c>
      <c r="C582" s="5" t="inlineStr">
        <is>
          <t>相模原市南区</t>
        </is>
      </c>
      <c r="D582" s="5" t="inlineStr">
        <is>
          <t>相模女子大学高等部</t>
        </is>
      </c>
      <c r="E582" s="6" t="inlineStr">
        <is>
          <t>042-742-1442</t>
        </is>
      </c>
      <c r="F582" s="13" t="inlineStr">
        <is>
          <t>中</t>
        </is>
      </c>
      <c r="G582" s="5" t="inlineStr">
        <is>
          <t>普通科</t>
        </is>
      </c>
      <c r="H582" s="8" t="n"/>
      <c r="I582" s="9" t="n"/>
      <c r="J582" s="9" t="inlineStr">
        <is>
          <t>未架電</t>
        </is>
      </c>
      <c r="K582" s="8" t="n"/>
      <c r="L582" s="9" t="n"/>
      <c r="M582" s="10" t="inlineStr">
        <is>
          <t>中学部と共通。学校情報サイトのみで確認</t>
        </is>
      </c>
      <c r="N582" s="11" t="inlineStr">
        <is>
          <t>https://www.inter-edu.com/schools/school/2067</t>
        </is>
      </c>
      <c r="O582" s="12" t="inlineStr">
        <is>
          <t>開く</t>
        </is>
      </c>
    </row>
    <row r="583">
      <c r="A583" s="4" t="n">
        <v>579</v>
      </c>
      <c r="B583" s="5" t="inlineStr">
        <is>
          <t>神奈川県</t>
        </is>
      </c>
      <c r="C583" s="5" t="inlineStr">
        <is>
          <t>横浜市都筑区</t>
        </is>
      </c>
      <c r="D583" s="5" t="inlineStr">
        <is>
          <t>サレジオ学院高等学校</t>
        </is>
      </c>
      <c r="E583" s="6" t="inlineStr">
        <is>
          <t>045-591-8222</t>
        </is>
      </c>
      <c r="F583" s="13" t="inlineStr">
        <is>
          <t>中</t>
        </is>
      </c>
      <c r="G583" s="5" t="inlineStr">
        <is>
          <t>普通科</t>
        </is>
      </c>
      <c r="H583" s="8" t="n"/>
      <c r="I583" s="9" t="n"/>
      <c r="J583" s="9" t="inlineStr">
        <is>
          <t>未架電</t>
        </is>
      </c>
      <c r="K583" s="8" t="n"/>
      <c r="L583" s="9" t="n"/>
      <c r="M583" s="10" t="inlineStr">
        <is>
          <t>中高共通。学校情報サイト1件のみで確認</t>
        </is>
      </c>
      <c r="N583" s="11" t="inlineStr">
        <is>
          <t>https://www.inter-edu.com/schools/school/11</t>
        </is>
      </c>
      <c r="O583" s="12" t="inlineStr">
        <is>
          <t>開く</t>
        </is>
      </c>
    </row>
    <row r="584">
      <c r="A584" s="4" t="n">
        <v>580</v>
      </c>
      <c r="B584" s="5" t="inlineStr">
        <is>
          <t>神奈川県</t>
        </is>
      </c>
      <c r="C584" s="5" t="inlineStr">
        <is>
          <t>横浜市泉区</t>
        </is>
      </c>
      <c r="D584" s="5" t="inlineStr">
        <is>
          <t>秀英高等学校</t>
        </is>
      </c>
      <c r="E584" s="6" t="inlineStr">
        <is>
          <t>045-806-2100</t>
        </is>
      </c>
      <c r="F584" s="13" t="inlineStr">
        <is>
          <t>中</t>
        </is>
      </c>
      <c r="G584" s="5" t="inlineStr">
        <is>
          <t>普通科</t>
        </is>
      </c>
      <c r="H584" s="8" t="n"/>
      <c r="I584" s="9" t="n"/>
      <c r="J584" s="9" t="inlineStr">
        <is>
          <t>未架電</t>
        </is>
      </c>
      <c r="K584" s="8" t="n"/>
      <c r="L584" s="9" t="n"/>
      <c r="M584" s="10" t="inlineStr">
        <is>
          <t>学校情報サイト1件のみで確認</t>
        </is>
      </c>
      <c r="N584" s="11" t="inlineStr">
        <is>
          <t>https://studychain.jp/media/guide-158-2/</t>
        </is>
      </c>
      <c r="O584" s="12" t="inlineStr">
        <is>
          <t>開く</t>
        </is>
      </c>
    </row>
    <row r="585">
      <c r="A585" s="4" t="n">
        <v>581</v>
      </c>
      <c r="B585" s="5" t="inlineStr">
        <is>
          <t>神奈川県</t>
        </is>
      </c>
      <c r="C585" s="5" t="inlineStr">
        <is>
          <t>横須賀市</t>
        </is>
      </c>
      <c r="D585" s="5" t="inlineStr">
        <is>
          <t>湘南学院高等学校</t>
        </is>
      </c>
      <c r="E585" s="6" t="inlineStr">
        <is>
          <t>046-833-3433</t>
        </is>
      </c>
      <c r="F585" s="7" t="inlineStr">
        <is>
          <t>高</t>
        </is>
      </c>
      <c r="G585" s="5" t="inlineStr">
        <is>
          <t>普通科</t>
        </is>
      </c>
      <c r="H585" s="8" t="n"/>
      <c r="I585" s="9" t="n"/>
      <c r="J585" s="9" t="inlineStr">
        <is>
          <t>未架電</t>
        </is>
      </c>
      <c r="K585" s="8" t="n"/>
      <c r="L585" s="9" t="n"/>
      <c r="M585" s="10" t="inlineStr">
        <is>
          <t>学校情報サイトと公式LINEで一致。湘南学園（藤沢市）とは別の学校</t>
        </is>
      </c>
      <c r="N585" s="11" t="inlineStr">
        <is>
          <t>https://www.inter-edu.com/schools/school/615 ; https://page.line.me/374yawot</t>
        </is>
      </c>
      <c r="O585" s="12" t="inlineStr">
        <is>
          <t>開く</t>
        </is>
      </c>
    </row>
    <row r="586">
      <c r="A586" s="4" t="n">
        <v>582</v>
      </c>
      <c r="B586" s="5" t="inlineStr">
        <is>
          <t>神奈川県</t>
        </is>
      </c>
      <c r="C586" s="5" t="inlineStr">
        <is>
          <t>藤沢市</t>
        </is>
      </c>
      <c r="D586" s="5" t="inlineStr">
        <is>
          <t>湘南学園高等学校</t>
        </is>
      </c>
      <c r="E586" s="6" t="inlineStr">
        <is>
          <t>0466-23-6611</t>
        </is>
      </c>
      <c r="F586" s="13" t="inlineStr">
        <is>
          <t>中</t>
        </is>
      </c>
      <c r="G586" s="5" t="inlineStr">
        <is>
          <t>普通科</t>
        </is>
      </c>
      <c r="H586" s="8" t="n"/>
      <c r="I586" s="9" t="n"/>
      <c r="J586" s="9" t="inlineStr">
        <is>
          <t>未架電</t>
        </is>
      </c>
      <c r="K586" s="8" t="n"/>
      <c r="L586" s="9" t="n"/>
      <c r="M586" s="10" t="inlineStr">
        <is>
          <t>中高共通。学校情報サイト1件のみで確認。湘南学院（横須賀市）とは別の学校</t>
        </is>
      </c>
      <c r="N586" s="11" t="inlineStr">
        <is>
          <t>https://www.inter-edu.com/schools/school/153</t>
        </is>
      </c>
      <c r="O586" s="12" t="inlineStr">
        <is>
          <t>開く</t>
        </is>
      </c>
    </row>
    <row r="587">
      <c r="A587" s="4" t="n">
        <v>583</v>
      </c>
      <c r="B587" s="5" t="inlineStr">
        <is>
          <t>神奈川県</t>
        </is>
      </c>
      <c r="C587" s="5" t="inlineStr">
        <is>
          <t>藤沢市</t>
        </is>
      </c>
      <c r="D587" s="5" t="inlineStr">
        <is>
          <t>湘南工科大学附属高等学校</t>
        </is>
      </c>
      <c r="E587" s="6" t="inlineStr">
        <is>
          <t>0466-34-4114</t>
        </is>
      </c>
      <c r="F587" s="13" t="inlineStr">
        <is>
          <t>中</t>
        </is>
      </c>
      <c r="G587" s="5" t="inlineStr">
        <is>
          <t>普通科</t>
        </is>
      </c>
      <c r="H587" s="8" t="n"/>
      <c r="I587" s="9" t="n"/>
      <c r="J587" s="9" t="inlineStr">
        <is>
          <t>未架電</t>
        </is>
      </c>
      <c r="K587" s="8" t="n"/>
      <c r="L587" s="9" t="n"/>
      <c r="M587" s="10" t="inlineStr">
        <is>
          <t>学校情報サイト1件のみで確認。大学の番号とは別</t>
        </is>
      </c>
      <c r="N587" s="11" t="inlineStr">
        <is>
          <t>https://www.inter-edu.com/schools/school/616</t>
        </is>
      </c>
      <c r="O587" s="12" t="inlineStr">
        <is>
          <t>開く</t>
        </is>
      </c>
    </row>
    <row r="588">
      <c r="A588" s="4" t="n">
        <v>584</v>
      </c>
      <c r="B588" s="5" t="inlineStr">
        <is>
          <t>神奈川県</t>
        </is>
      </c>
      <c r="C588" s="5" t="inlineStr">
        <is>
          <t>藤沢市</t>
        </is>
      </c>
      <c r="D588" s="5" t="inlineStr">
        <is>
          <t>湘南白百合学園高等学校</t>
        </is>
      </c>
      <c r="E588" s="6" t="inlineStr">
        <is>
          <t>0466-27-6211</t>
        </is>
      </c>
      <c r="F588" s="13" t="inlineStr">
        <is>
          <t>中</t>
        </is>
      </c>
      <c r="G588" s="5" t="inlineStr">
        <is>
          <t>普通科</t>
        </is>
      </c>
      <c r="H588" s="8" t="n"/>
      <c r="I588" s="9" t="n"/>
      <c r="J588" s="9" t="inlineStr">
        <is>
          <t>未架電</t>
        </is>
      </c>
      <c r="K588" s="8" t="n"/>
      <c r="L588" s="9" t="n"/>
      <c r="M588" s="10" t="inlineStr">
        <is>
          <t>中高共通。学校情報サイト1件のみで確認</t>
        </is>
      </c>
      <c r="N588" s="11" t="inlineStr">
        <is>
          <t>https://www.inter-edu.com/schools/school/233</t>
        </is>
      </c>
      <c r="O588" s="12" t="inlineStr">
        <is>
          <t>開く</t>
        </is>
      </c>
    </row>
    <row r="589">
      <c r="A589" s="4" t="n">
        <v>585</v>
      </c>
      <c r="B589" s="5" t="inlineStr">
        <is>
          <t>神奈川県</t>
        </is>
      </c>
      <c r="C589" s="5" t="inlineStr">
        <is>
          <t>逗子市</t>
        </is>
      </c>
      <c r="D589" s="5" t="inlineStr">
        <is>
          <t>逗子開成高等学校</t>
        </is>
      </c>
      <c r="E589" s="6" t="inlineStr">
        <is>
          <t>046-871-2062</t>
        </is>
      </c>
      <c r="F589" s="7" t="inlineStr">
        <is>
          <t>高</t>
        </is>
      </c>
      <c r="G589" s="5" t="inlineStr">
        <is>
          <t>普通科</t>
        </is>
      </c>
      <c r="H589" s="8" t="n"/>
      <c r="I589" s="9" t="n"/>
      <c r="J589" s="9" t="inlineStr">
        <is>
          <t>未架電</t>
        </is>
      </c>
      <c r="K589" s="8" t="n"/>
      <c r="L589" s="9" t="n"/>
      <c r="M589" s="10" t="inlineStr">
        <is>
          <t>中高共通。2つの情報源で一致</t>
        </is>
      </c>
      <c r="N589" s="11" t="inlineStr">
        <is>
          <t>https://univpress.co.jp/gk_pdf/14562.pdf ; https://www.inter-edu.com/schools/school/81</t>
        </is>
      </c>
      <c r="O589" s="12" t="inlineStr">
        <is>
          <t>開く</t>
        </is>
      </c>
    </row>
    <row r="590">
      <c r="A590" s="4" t="n">
        <v>586</v>
      </c>
      <c r="B590" s="5" t="inlineStr">
        <is>
          <t>神奈川県</t>
        </is>
      </c>
      <c r="C590" s="5" t="inlineStr">
        <is>
          <t>横浜市中区</t>
        </is>
      </c>
      <c r="D590" s="5" t="inlineStr">
        <is>
          <t>聖光学院高等学校（神奈川県）</t>
        </is>
      </c>
      <c r="E590" s="6" t="inlineStr">
        <is>
          <t>045-621-2051</t>
        </is>
      </c>
      <c r="F590" s="13" t="inlineStr">
        <is>
          <t>中</t>
        </is>
      </c>
      <c r="G590" s="5" t="inlineStr">
        <is>
          <t>普通科</t>
        </is>
      </c>
      <c r="H590" s="8" t="n"/>
      <c r="I590" s="9" t="n"/>
      <c r="J590" s="9" t="inlineStr">
        <is>
          <t>未架電</t>
        </is>
      </c>
      <c r="K590" s="8" t="n"/>
      <c r="L590" s="9" t="n"/>
      <c r="M590" s="10" t="inlineStr">
        <is>
          <t>中高共通。学校情報サイト1件のみで確認。福島県の聖光学院とは別の学校</t>
        </is>
      </c>
      <c r="N590" s="11" t="inlineStr">
        <is>
          <t>https://www.inter-edu.com/schools/school/79</t>
        </is>
      </c>
      <c r="O590" s="12" t="inlineStr">
        <is>
          <t>開く</t>
        </is>
      </c>
    </row>
    <row r="591">
      <c r="A591" s="4" t="n">
        <v>587</v>
      </c>
      <c r="B591" s="5" t="inlineStr">
        <is>
          <t>神奈川県</t>
        </is>
      </c>
      <c r="C591" s="5" t="inlineStr">
        <is>
          <t>横浜市旭区</t>
        </is>
      </c>
      <c r="D591" s="5" t="inlineStr">
        <is>
          <t>星槎高等学校</t>
        </is>
      </c>
      <c r="E591" s="6" t="inlineStr">
        <is>
          <t>045-442-8686</t>
        </is>
      </c>
      <c r="F591" s="7" t="inlineStr">
        <is>
          <t>高</t>
        </is>
      </c>
      <c r="G591" s="5" t="inlineStr">
        <is>
          <t>普通科</t>
        </is>
      </c>
      <c r="H591" s="8" t="n"/>
      <c r="I591" s="9" t="n"/>
      <c r="J591" s="9" t="inlineStr">
        <is>
          <t>未架電</t>
        </is>
      </c>
      <c r="K591" s="8" t="n"/>
      <c r="L591" s="9" t="n"/>
      <c r="M591" s="10" t="inlineStr">
        <is>
          <t>複数サイトで一致。045-442-8687は星槎中学校の番号</t>
        </is>
      </c>
      <c r="N591" s="11" t="inlineStr">
        <is>
          <t>https://school.js88.com/scl_h/34029509?page=5 ; https://www.inter-edu.com/schools/school/1851</t>
        </is>
      </c>
      <c r="O591" s="12" t="inlineStr">
        <is>
          <t>開く</t>
        </is>
      </c>
    </row>
    <row r="592">
      <c r="A592" s="4" t="n">
        <v>588</v>
      </c>
      <c r="B592" s="5" t="inlineStr">
        <is>
          <t>神奈川県</t>
        </is>
      </c>
      <c r="C592" s="5" t="inlineStr">
        <is>
          <t>横浜市港北区</t>
        </is>
      </c>
      <c r="D592" s="5" t="inlineStr">
        <is>
          <t>清心女子高等学校（神奈川県）</t>
        </is>
      </c>
      <c r="E592" s="6" t="inlineStr">
        <is>
          <t>045-421-8864</t>
        </is>
      </c>
      <c r="F592" s="13" t="inlineStr">
        <is>
          <t>中</t>
        </is>
      </c>
      <c r="G592" s="5" t="inlineStr">
        <is>
          <t>普通科</t>
        </is>
      </c>
      <c r="H592" s="8" t="n"/>
      <c r="I592" s="9" t="n"/>
      <c r="J592" s="9" t="inlineStr">
        <is>
          <t>未架電</t>
        </is>
      </c>
      <c r="K592" s="8" t="n"/>
      <c r="L592" s="9" t="n"/>
      <c r="M592" s="10" t="inlineStr">
        <is>
          <t>通信制。学校情報サイト1件のみで確認</t>
        </is>
      </c>
      <c r="N592" s="11" t="inlineStr">
        <is>
          <t>https://www.minkou.jp/hischool/school/93248/</t>
        </is>
      </c>
      <c r="O592" s="12" t="inlineStr">
        <is>
          <t>開く</t>
        </is>
      </c>
    </row>
    <row r="593">
      <c r="A593" s="4" t="n">
        <v>589</v>
      </c>
      <c r="B593" s="5" t="inlineStr">
        <is>
          <t>神奈川県</t>
        </is>
      </c>
      <c r="C593" s="5" t="inlineStr">
        <is>
          <t>大和市</t>
        </is>
      </c>
      <c r="D593" s="5" t="inlineStr">
        <is>
          <t>聖セシリア女子高等学校</t>
        </is>
      </c>
      <c r="E593" s="6" t="inlineStr">
        <is>
          <t>046-275-3727</t>
        </is>
      </c>
      <c r="F593" s="7" t="inlineStr">
        <is>
          <t>高</t>
        </is>
      </c>
      <c r="G593" s="5" t="inlineStr">
        <is>
          <t>普通科</t>
        </is>
      </c>
      <c r="H593" s="8" t="n"/>
      <c r="I593" s="9" t="n"/>
      <c r="J593" s="9" t="inlineStr">
        <is>
          <t>未架電</t>
        </is>
      </c>
      <c r="K593" s="8" t="n"/>
      <c r="L593" s="9" t="n"/>
      <c r="M593" s="10" t="inlineStr">
        <is>
          <t>高校の番号。中学校は046-274-7405</t>
        </is>
      </c>
      <c r="N593" s="11" t="inlineStr">
        <is>
          <t>https://school.js88.com/scl_h/22042740 ; https://univpress.co.jp/gk_pdf/14567.pdf</t>
        </is>
      </c>
      <c r="O593" s="12" t="inlineStr">
        <is>
          <t>開く</t>
        </is>
      </c>
    </row>
    <row r="594">
      <c r="A594" s="4" t="n">
        <v>590</v>
      </c>
      <c r="B594" s="5" t="inlineStr">
        <is>
          <t>神奈川県</t>
        </is>
      </c>
      <c r="C594" s="5" t="inlineStr">
        <is>
          <t>鎌倉市</t>
        </is>
      </c>
      <c r="D594" s="5" t="inlineStr">
        <is>
          <t>清泉女学院高等学校</t>
        </is>
      </c>
      <c r="E594" s="6" t="inlineStr">
        <is>
          <t>0467-46-3171</t>
        </is>
      </c>
      <c r="F594" s="13" t="inlineStr">
        <is>
          <t>中</t>
        </is>
      </c>
      <c r="G594" s="5" t="inlineStr">
        <is>
          <t>普通科</t>
        </is>
      </c>
      <c r="H594" s="8" t="n"/>
      <c r="I594" s="9" t="n"/>
      <c r="J594" s="9" t="inlineStr">
        <is>
          <t>未架電</t>
        </is>
      </c>
      <c r="K594" s="8" t="n"/>
      <c r="L594" s="9" t="n"/>
      <c r="M594" s="10" t="inlineStr">
        <is>
          <t>中高共通。学校情報サイト1件のみで確認</t>
        </is>
      </c>
      <c r="N594" s="11" t="inlineStr">
        <is>
          <t>https://www.inter-edu.com/schools/school/228</t>
        </is>
      </c>
      <c r="O594" s="12" t="inlineStr">
        <is>
          <t>開く</t>
        </is>
      </c>
    </row>
    <row r="595">
      <c r="A595" s="4" t="n">
        <v>591</v>
      </c>
      <c r="B595" s="5" t="inlineStr">
        <is>
          <t>神奈川県</t>
        </is>
      </c>
      <c r="C595" s="5" t="inlineStr">
        <is>
          <t>横浜市鶴見区</t>
        </is>
      </c>
      <c r="D595" s="5" t="inlineStr">
        <is>
          <t>聖ヨゼフ学園高等学校</t>
        </is>
      </c>
      <c r="E595" s="6" t="inlineStr">
        <is>
          <t>045-581-8808</t>
        </is>
      </c>
      <c r="F595" s="7" t="inlineStr">
        <is>
          <t>高</t>
        </is>
      </c>
      <c r="G595" s="5" t="inlineStr">
        <is>
          <t>普通科</t>
        </is>
      </c>
      <c r="H595" s="8" t="n"/>
      <c r="I595" s="9" t="n"/>
      <c r="J595" s="9" t="inlineStr">
        <is>
          <t>未架電</t>
        </is>
      </c>
      <c r="K595" s="8" t="n"/>
      <c r="L595" s="9" t="n"/>
      <c r="M595" s="10" t="inlineStr">
        <is>
          <t>中高共通。複数の情報源で一致</t>
        </is>
      </c>
      <c r="N595" s="11" t="inlineStr">
        <is>
          <t>https://www.inter-edu.com/schools/school/230 ; https://school.js88.com/scl_h/22042250</t>
        </is>
      </c>
      <c r="O595" s="12" t="inlineStr">
        <is>
          <t>開く</t>
        </is>
      </c>
    </row>
    <row r="596">
      <c r="A596" s="4" t="n">
        <v>592</v>
      </c>
      <c r="B596" s="5" t="inlineStr">
        <is>
          <t>神奈川県</t>
        </is>
      </c>
      <c r="C596" s="5" t="inlineStr">
        <is>
          <t>逗子市</t>
        </is>
      </c>
      <c r="D596" s="5" t="inlineStr">
        <is>
          <t>聖和学院高等学校</t>
        </is>
      </c>
      <c r="E596" s="6" t="inlineStr">
        <is>
          <t>046-871-2670</t>
        </is>
      </c>
      <c r="F596" s="7" t="inlineStr">
        <is>
          <t>高</t>
        </is>
      </c>
      <c r="G596" s="5" t="inlineStr">
        <is>
          <t>普通科・専門学科</t>
        </is>
      </c>
      <c r="H596" s="8" t="n"/>
      <c r="I596" s="9" t="n"/>
      <c r="J596" s="9" t="inlineStr">
        <is>
          <t>未架電</t>
        </is>
      </c>
      <c r="K596" s="8" t="n"/>
      <c r="L596" s="9" t="n"/>
      <c r="M596" s="10" t="inlineStr">
        <is>
          <t>中高共通</t>
        </is>
      </c>
      <c r="N596" s="11" t="inlineStr">
        <is>
          <t>https://school.js88.com/scl_h/22042680 ; https://www.inter-edu.com/schools/school/1804</t>
        </is>
      </c>
      <c r="O596" s="12" t="inlineStr">
        <is>
          <t>開く</t>
        </is>
      </c>
    </row>
    <row r="597">
      <c r="A597" s="4" t="n">
        <v>593</v>
      </c>
      <c r="B597" s="5" t="inlineStr">
        <is>
          <t>神奈川県</t>
        </is>
      </c>
      <c r="C597" s="5" t="inlineStr">
        <is>
          <t>川崎市高津区</t>
        </is>
      </c>
      <c r="D597" s="5" t="inlineStr">
        <is>
          <t>洗足学園高等学校</t>
        </is>
      </c>
      <c r="E597" s="6" t="inlineStr">
        <is>
          <t>044-856-2777</t>
        </is>
      </c>
      <c r="F597" s="13" t="inlineStr">
        <is>
          <t>中</t>
        </is>
      </c>
      <c r="G597" s="5" t="inlineStr">
        <is>
          <t>普通科</t>
        </is>
      </c>
      <c r="H597" s="8" t="n"/>
      <c r="I597" s="9" t="n"/>
      <c r="J597" s="9" t="inlineStr">
        <is>
          <t>未架電</t>
        </is>
      </c>
      <c r="K597" s="8" t="n"/>
      <c r="L597" s="9" t="n"/>
      <c r="M597" s="10" t="inlineStr">
        <is>
          <t>中高共通。学校情報サイト1件のみで確認</t>
        </is>
      </c>
      <c r="N597" s="11" t="inlineStr">
        <is>
          <t>https://www.inter-edu.com/schools/school/87</t>
        </is>
      </c>
      <c r="O597" s="12" t="inlineStr">
        <is>
          <t>開く</t>
        </is>
      </c>
    </row>
    <row r="598">
      <c r="A598" s="4" t="n">
        <v>594</v>
      </c>
      <c r="B598" s="5" t="inlineStr">
        <is>
          <t>神奈川県</t>
        </is>
      </c>
      <c r="C598" s="5" t="inlineStr">
        <is>
          <t>横浜市神奈川区</t>
        </is>
      </c>
      <c r="D598" s="5" t="inlineStr">
        <is>
          <t>捜真女学校高等学部</t>
        </is>
      </c>
      <c r="E598" s="6" t="inlineStr">
        <is>
          <t>045-491-3686</t>
        </is>
      </c>
      <c r="F598" s="7" t="inlineStr">
        <is>
          <t>高</t>
        </is>
      </c>
      <c r="G598" s="5" t="inlineStr">
        <is>
          <t>普通科</t>
        </is>
      </c>
      <c r="H598" s="8" t="n"/>
      <c r="I598" s="9" t="n"/>
      <c r="J598" s="9" t="inlineStr">
        <is>
          <t>未架電</t>
        </is>
      </c>
      <c r="K598" s="8" t="n"/>
      <c r="L598" s="9" t="n"/>
      <c r="M598" s="10" t="inlineStr">
        <is>
          <t>中高共通。複数の情報源で一致</t>
        </is>
      </c>
      <c r="N598" s="11" t="inlineStr">
        <is>
          <t>https://www.inter-edu.com/schools/school/2062</t>
        </is>
      </c>
      <c r="O598" s="12" t="inlineStr">
        <is>
          <t>開く</t>
        </is>
      </c>
    </row>
    <row r="599">
      <c r="A599" s="4" t="n">
        <v>595</v>
      </c>
      <c r="B599" s="5" t="inlineStr">
        <is>
          <t>神奈川県</t>
        </is>
      </c>
      <c r="C599" s="5" t="inlineStr">
        <is>
          <t>小田原市</t>
        </is>
      </c>
      <c r="D599" s="5" t="inlineStr">
        <is>
          <t>相洋高等学校</t>
        </is>
      </c>
      <c r="E599" s="14" t="n"/>
      <c r="F599" s="15" t="inlineStr">
        <is>
          <t>要調査</t>
        </is>
      </c>
      <c r="G599" s="5" t="inlineStr">
        <is>
          <t>普通科・専門学科</t>
        </is>
      </c>
      <c r="H599" s="8" t="n"/>
      <c r="I599" s="9" t="n"/>
      <c r="J599" s="9" t="inlineStr">
        <is>
          <t>未架電</t>
        </is>
      </c>
      <c r="K599" s="8" t="n"/>
      <c r="L599" s="9" t="n"/>
      <c r="M599" s="10" t="inlineStr">
        <is>
          <t>情報源で番号が食い違い。候補：0465-22-0211（有力）／0465-23-0211。中学直通は0465-23-0214</t>
        </is>
      </c>
      <c r="N599" s="11" t="inlineStr">
        <is>
          <t>https://school.js88.com/scl_h/22042650/ ; https://www.inter-edu.com/schools/school/2524</t>
        </is>
      </c>
      <c r="O599" s="12" t="inlineStr">
        <is>
          <t>開く</t>
        </is>
      </c>
    </row>
    <row r="600">
      <c r="A600" s="4" t="n">
        <v>596</v>
      </c>
      <c r="B600" s="5" t="inlineStr">
        <is>
          <t>神奈川県</t>
        </is>
      </c>
      <c r="C600" s="5" t="inlineStr">
        <is>
          <t>横浜市鶴見区</t>
        </is>
      </c>
      <c r="D600" s="5" t="inlineStr">
        <is>
          <t>橘学苑高等学校</t>
        </is>
      </c>
      <c r="E600" s="6" t="inlineStr">
        <is>
          <t>045-581-0063</t>
        </is>
      </c>
      <c r="F600" s="7" t="inlineStr">
        <is>
          <t>高</t>
        </is>
      </c>
      <c r="G600" s="5" t="inlineStr">
        <is>
          <t>普通科</t>
        </is>
      </c>
      <c r="H600" s="8" t="n"/>
      <c r="I600" s="9" t="n"/>
      <c r="J600" s="9" t="inlineStr">
        <is>
          <t>未架電</t>
        </is>
      </c>
      <c r="K600" s="8" t="n"/>
      <c r="L600" s="9" t="n"/>
      <c r="M600" s="10" t="inlineStr">
        <is>
          <t>中高共通。複数サイトで一致</t>
        </is>
      </c>
      <c r="N600" s="11" t="inlineStr">
        <is>
          <t>https://www.inter-edu.com/schools/school/1787</t>
        </is>
      </c>
      <c r="O600" s="12" t="inlineStr">
        <is>
          <t>開く</t>
        </is>
      </c>
    </row>
    <row r="601">
      <c r="A601" s="4" t="n">
        <v>597</v>
      </c>
      <c r="B601" s="5" t="inlineStr">
        <is>
          <t>神奈川県</t>
        </is>
      </c>
      <c r="C601" s="5" t="inlineStr">
        <is>
          <t>松田町</t>
        </is>
      </c>
      <c r="D601" s="5" t="inlineStr">
        <is>
          <t>立花学園高等学校</t>
        </is>
      </c>
      <c r="E601" s="6" t="inlineStr">
        <is>
          <t>0465-83-1081</t>
        </is>
      </c>
      <c r="F601" s="13" t="inlineStr">
        <is>
          <t>中</t>
        </is>
      </c>
      <c r="G601" s="5" t="inlineStr">
        <is>
          <t>普通科</t>
        </is>
      </c>
      <c r="H601" s="8" t="n"/>
      <c r="I601" s="9" t="n"/>
      <c r="J601" s="9" t="inlineStr">
        <is>
          <t>未架電</t>
        </is>
      </c>
      <c r="K601" s="8" t="n"/>
      <c r="L601" s="9" t="n"/>
      <c r="M601" s="10" t="inlineStr">
        <is>
          <t>学校情報サイト1件のみで確認</t>
        </is>
      </c>
      <c r="N601" s="11" t="inlineStr">
        <is>
          <t>https://school.js88.com/scl_h/22042750?page=9</t>
        </is>
      </c>
      <c r="O601" s="12" t="inlineStr">
        <is>
          <t>開く</t>
        </is>
      </c>
    </row>
    <row r="602">
      <c r="A602" s="4" t="n">
        <v>598</v>
      </c>
      <c r="B602" s="5" t="inlineStr">
        <is>
          <t>神奈川県</t>
        </is>
      </c>
      <c r="C602" s="5" t="inlineStr">
        <is>
          <t>横浜市都筑区</t>
        </is>
      </c>
      <c r="D602" s="5" t="inlineStr">
        <is>
          <t>中央大学附属横浜高等学校</t>
        </is>
      </c>
      <c r="E602" s="6" t="inlineStr">
        <is>
          <t>045-592-0801</t>
        </is>
      </c>
      <c r="F602" s="7" t="inlineStr">
        <is>
          <t>高</t>
        </is>
      </c>
      <c r="G602" s="5" t="inlineStr">
        <is>
          <t>普通科</t>
        </is>
      </c>
      <c r="H602" s="8" t="n"/>
      <c r="I602" s="9" t="n"/>
      <c r="J602" s="9" t="inlineStr">
        <is>
          <t>未架電</t>
        </is>
      </c>
      <c r="K602" s="8" t="n"/>
      <c r="L602" s="9" t="n"/>
      <c r="M602" s="10" t="inlineStr">
        <is>
          <t>中高共通</t>
        </is>
      </c>
      <c r="N602" s="11" t="inlineStr">
        <is>
          <t>https://www.inter-edu.com/schools/school/2092</t>
        </is>
      </c>
      <c r="O602" s="12" t="inlineStr">
        <is>
          <t>開く</t>
        </is>
      </c>
    </row>
    <row r="603">
      <c r="A603" s="4" t="n">
        <v>599</v>
      </c>
      <c r="B603" s="5" t="inlineStr">
        <is>
          <t>神奈川県</t>
        </is>
      </c>
      <c r="C603" s="5" t="inlineStr">
        <is>
          <t>横浜市鶴見区</t>
        </is>
      </c>
      <c r="D603" s="5" t="inlineStr">
        <is>
          <t>鶴見大学附属高等学校</t>
        </is>
      </c>
      <c r="E603" s="6" t="inlineStr">
        <is>
          <t>045-581-6325</t>
        </is>
      </c>
      <c r="F603" s="7" t="inlineStr">
        <is>
          <t>高</t>
        </is>
      </c>
      <c r="G603" s="5" t="inlineStr">
        <is>
          <t>普通科</t>
        </is>
      </c>
      <c r="H603" s="8" t="n"/>
      <c r="I603" s="9" t="n"/>
      <c r="J603" s="9" t="inlineStr">
        <is>
          <t>未架電</t>
        </is>
      </c>
      <c r="K603" s="8" t="n"/>
      <c r="L603" s="9" t="n"/>
      <c r="M603" s="10" t="inlineStr">
        <is>
          <t>中高共通</t>
        </is>
      </c>
      <c r="N603" s="11" t="inlineStr">
        <is>
          <t>https://www.inter-edu.com/schools/school/2014 ; https://www.minkou.jp/junior/school/8301/</t>
        </is>
      </c>
      <c r="O603" s="12" t="inlineStr">
        <is>
          <t>開く</t>
        </is>
      </c>
    </row>
    <row r="604">
      <c r="A604" s="4" t="n">
        <v>600</v>
      </c>
      <c r="B604" s="5" t="inlineStr">
        <is>
          <t>神奈川県</t>
        </is>
      </c>
      <c r="C604" s="5" t="inlineStr">
        <is>
          <t>横浜市青葉区</t>
        </is>
      </c>
      <c r="D604" s="5" t="inlineStr">
        <is>
          <t>桐蔭学園高等学校</t>
        </is>
      </c>
      <c r="E604" s="6" t="inlineStr">
        <is>
          <t>045-971-1411</t>
        </is>
      </c>
      <c r="F604" s="7" t="inlineStr">
        <is>
          <t>高</t>
        </is>
      </c>
      <c r="G604" s="5" t="inlineStr">
        <is>
          <t>普通科・専門学科</t>
        </is>
      </c>
      <c r="H604" s="8" t="n"/>
      <c r="I604" s="9" t="n"/>
      <c r="J604" s="9" t="inlineStr">
        <is>
          <t>未架電</t>
        </is>
      </c>
      <c r="K604" s="8" t="n"/>
      <c r="L604" s="9" t="n"/>
      <c r="M604" s="10" t="inlineStr">
        <is>
          <t>複数サイトで一致。入試当日の連絡先は045-971-1413</t>
        </is>
      </c>
      <c r="N604" s="11" t="inlineStr">
        <is>
          <t>https://www.inter-edu.com/schools/school/94</t>
        </is>
      </c>
      <c r="O604" s="12" t="inlineStr">
        <is>
          <t>開く</t>
        </is>
      </c>
    </row>
    <row r="605">
      <c r="A605" s="4" t="n">
        <v>601</v>
      </c>
      <c r="B605" s="5" t="inlineStr">
        <is>
          <t>神奈川県</t>
        </is>
      </c>
      <c r="C605" s="5" t="inlineStr">
        <is>
          <t>相模原市南区</t>
        </is>
      </c>
      <c r="D605" s="5" t="inlineStr">
        <is>
          <t>東海大学付属相模高等学校</t>
        </is>
      </c>
      <c r="E605" s="6" t="inlineStr">
        <is>
          <t>042-742-1251</t>
        </is>
      </c>
      <c r="F605" s="7" t="inlineStr">
        <is>
          <t>高</t>
        </is>
      </c>
      <c r="G605" s="5" t="inlineStr">
        <is>
          <t>普通科</t>
        </is>
      </c>
      <c r="H605" s="8" t="n"/>
      <c r="I605" s="9" t="n"/>
      <c r="J605" s="9" t="inlineStr">
        <is>
          <t>未架電</t>
        </is>
      </c>
      <c r="K605" s="8" t="n"/>
      <c r="L605" s="9" t="n"/>
      <c r="M605" s="10" t="inlineStr">
        <is>
          <t>中等部と共通</t>
        </is>
      </c>
      <c r="N605" s="11" t="inlineStr">
        <is>
          <t>https://www.inter-edu.com/schools/school/2015</t>
        </is>
      </c>
      <c r="O605" s="12" t="inlineStr">
        <is>
          <t>開く</t>
        </is>
      </c>
    </row>
    <row r="606">
      <c r="A606" s="4" t="n">
        <v>602</v>
      </c>
      <c r="B606" s="5" t="inlineStr">
        <is>
          <t>神奈川県</t>
        </is>
      </c>
      <c r="C606" s="5" t="inlineStr">
        <is>
          <t>川崎市麻生区</t>
        </is>
      </c>
      <c r="D606" s="5" t="inlineStr">
        <is>
          <t>桐光学園高等学校</t>
        </is>
      </c>
      <c r="E606" s="6" t="inlineStr">
        <is>
          <t>044-987-0519</t>
        </is>
      </c>
      <c r="F606" s="13" t="inlineStr">
        <is>
          <t>中</t>
        </is>
      </c>
      <c r="G606" s="5" t="inlineStr">
        <is>
          <t>普通科</t>
        </is>
      </c>
      <c r="H606" s="8" t="n"/>
      <c r="I606" s="9" t="n"/>
      <c r="J606" s="9" t="inlineStr">
        <is>
          <t>未架電</t>
        </is>
      </c>
      <c r="K606" s="8" t="n"/>
      <c r="L606" s="9" t="n"/>
      <c r="M606" s="10" t="inlineStr">
        <is>
          <t>学校情報サイト1件のみで確認</t>
        </is>
      </c>
      <c r="N606" s="11" t="inlineStr">
        <is>
          <t>https://www.inter-edu.com/schools/school/107</t>
        </is>
      </c>
      <c r="O606" s="12" t="inlineStr">
        <is>
          <t>開く</t>
        </is>
      </c>
    </row>
    <row r="607">
      <c r="A607" s="4" t="n">
        <v>603</v>
      </c>
      <c r="B607" s="5" t="inlineStr">
        <is>
          <t>神奈川県</t>
        </is>
      </c>
      <c r="C607" s="5" t="inlineStr">
        <is>
          <t>藤沢市</t>
        </is>
      </c>
      <c r="D607" s="5" t="inlineStr">
        <is>
          <t>藤嶺学園藤沢高等学校</t>
        </is>
      </c>
      <c r="E607" s="6" t="inlineStr">
        <is>
          <t>0466-23-3150</t>
        </is>
      </c>
      <c r="F607" s="7" t="inlineStr">
        <is>
          <t>高</t>
        </is>
      </c>
      <c r="G607" s="5" t="inlineStr">
        <is>
          <t>普通科</t>
        </is>
      </c>
      <c r="H607" s="8" t="n"/>
      <c r="I607" s="9" t="n"/>
      <c r="J607" s="9" t="inlineStr">
        <is>
          <t>未架電</t>
        </is>
      </c>
      <c r="K607" s="8" t="n"/>
      <c r="L607" s="9" t="n"/>
      <c r="M607" s="10" t="inlineStr">
        <is>
          <t>2つのサイトで一致</t>
        </is>
      </c>
      <c r="N607" s="11" t="inlineStr">
        <is>
          <t>https://www.inter-edu.com/schools/school/2045 ; https://school.js88.com/scl_h/22042610/</t>
        </is>
      </c>
      <c r="O607" s="12" t="inlineStr">
        <is>
          <t>開く</t>
        </is>
      </c>
    </row>
    <row r="608">
      <c r="A608" s="4" t="n">
        <v>604</v>
      </c>
      <c r="B608" s="5" t="inlineStr">
        <is>
          <t>神奈川県</t>
        </is>
      </c>
      <c r="C608" s="5" t="inlineStr">
        <is>
          <t>川崎市多摩区</t>
        </is>
      </c>
      <c r="D608" s="5" t="inlineStr">
        <is>
          <t>日本女子大学附属高等学校</t>
        </is>
      </c>
      <c r="E608" s="6" t="inlineStr">
        <is>
          <t>044-952-6705</t>
        </is>
      </c>
      <c r="F608" s="13" t="inlineStr">
        <is>
          <t>中</t>
        </is>
      </c>
      <c r="G608" s="5" t="inlineStr">
        <is>
          <t>普通科</t>
        </is>
      </c>
      <c r="H608" s="8" t="n"/>
      <c r="I608" s="9" t="n"/>
      <c r="J608" s="9" t="inlineStr">
        <is>
          <t>未架電</t>
        </is>
      </c>
      <c r="K608" s="8" t="n"/>
      <c r="L608" s="9" t="n"/>
      <c r="M608" s="10" t="inlineStr">
        <is>
          <t>学校情報サイト1件のみで確認</t>
        </is>
      </c>
      <c r="N608" s="11" t="inlineStr">
        <is>
          <t>https://www.inter-edu.com/schools/school/2059</t>
        </is>
      </c>
      <c r="O608" s="12" t="inlineStr">
        <is>
          <t>開く</t>
        </is>
      </c>
    </row>
    <row r="609">
      <c r="A609" s="4" t="n">
        <v>605</v>
      </c>
      <c r="B609" s="5" t="inlineStr">
        <is>
          <t>神奈川県</t>
        </is>
      </c>
      <c r="C609" s="5" t="inlineStr">
        <is>
          <t>横浜市港北区</t>
        </is>
      </c>
      <c r="D609" s="5" t="inlineStr">
        <is>
          <t>日本大学高等学校</t>
        </is>
      </c>
      <c r="E609" s="6" t="inlineStr">
        <is>
          <t>045-560-2600</t>
        </is>
      </c>
      <c r="F609" s="7" t="inlineStr">
        <is>
          <t>高</t>
        </is>
      </c>
      <c r="G609" s="5" t="inlineStr">
        <is>
          <t>普通科</t>
        </is>
      </c>
      <c r="H609" s="8" t="n"/>
      <c r="I609" s="9" t="n"/>
      <c r="J609" s="9" t="inlineStr">
        <is>
          <t>未架電</t>
        </is>
      </c>
      <c r="K609" s="8" t="n"/>
      <c r="L609" s="9" t="n"/>
      <c r="M609" s="10" t="inlineStr">
        <is>
          <t>公式の入試要項で確認</t>
        </is>
      </c>
      <c r="N609" s="11" t="inlineStr">
        <is>
          <t>https://www.yokohama.hs.nihon-u.ac.jp/senior/pdf/exam/2025_examination.pdf</t>
        </is>
      </c>
      <c r="O609" s="12" t="inlineStr">
        <is>
          <t>開く</t>
        </is>
      </c>
    </row>
    <row r="610">
      <c r="A610" s="4" t="n">
        <v>606</v>
      </c>
      <c r="B610" s="5" t="inlineStr">
        <is>
          <t>神奈川県</t>
        </is>
      </c>
      <c r="C610" s="5" t="inlineStr">
        <is>
          <t>藤沢市</t>
        </is>
      </c>
      <c r="D610" s="5" t="inlineStr">
        <is>
          <t>日本大学藤沢高等学校</t>
        </is>
      </c>
      <c r="E610" s="6" t="inlineStr">
        <is>
          <t>0466-81-0123</t>
        </is>
      </c>
      <c r="F610" s="7" t="inlineStr">
        <is>
          <t>高</t>
        </is>
      </c>
      <c r="G610" s="5" t="inlineStr">
        <is>
          <t>普通科</t>
        </is>
      </c>
      <c r="H610" s="8" t="n"/>
      <c r="I610" s="9" t="n"/>
      <c r="J610" s="9" t="inlineStr">
        <is>
          <t>未架電</t>
        </is>
      </c>
      <c r="K610" s="8" t="n"/>
      <c r="L610" s="9" t="n"/>
      <c r="M610" s="10" t="inlineStr">
        <is>
          <t>公式サイトで高校の番号を確認。中学校は0466-81-0125</t>
        </is>
      </c>
      <c r="N610" s="11" t="inlineStr">
        <is>
          <t>https://www.fujisawa.hs.nihon-u.ac.jp/news/21344</t>
        </is>
      </c>
      <c r="O610" s="12" t="inlineStr">
        <is>
          <t>開く</t>
        </is>
      </c>
    </row>
    <row r="611">
      <c r="A611" s="4" t="n">
        <v>607</v>
      </c>
      <c r="B611" s="5" t="inlineStr">
        <is>
          <t>神奈川県</t>
        </is>
      </c>
      <c r="C611" s="5" t="inlineStr">
        <is>
          <t>横浜市鶴見区</t>
        </is>
      </c>
      <c r="D611" s="5" t="inlineStr">
        <is>
          <t>白鵬女子高等学校</t>
        </is>
      </c>
      <c r="E611" s="6" t="inlineStr">
        <is>
          <t>045-581-6721</t>
        </is>
      </c>
      <c r="F611" s="13" t="inlineStr">
        <is>
          <t>中</t>
        </is>
      </c>
      <c r="G611" s="5" t="inlineStr">
        <is>
          <t>普通科</t>
        </is>
      </c>
      <c r="H611" s="8" t="n"/>
      <c r="I611" s="9" t="n"/>
      <c r="J611" s="9" t="inlineStr">
        <is>
          <t>未架電</t>
        </is>
      </c>
      <c r="K611" s="8" t="n"/>
      <c r="L611" s="9" t="n"/>
      <c r="M611" s="10" t="inlineStr">
        <is>
          <t>学校情報サイト1件のみで確認</t>
        </is>
      </c>
      <c r="N611" s="11" t="inlineStr">
        <is>
          <t>https://www.inter-edu.com/schools/school/1825</t>
        </is>
      </c>
      <c r="O611" s="12" t="inlineStr">
        <is>
          <t>開く</t>
        </is>
      </c>
    </row>
    <row r="612">
      <c r="A612" s="4" t="n">
        <v>608</v>
      </c>
      <c r="B612" s="5" t="inlineStr">
        <is>
          <t>神奈川県</t>
        </is>
      </c>
      <c r="C612" s="5" t="inlineStr">
        <is>
          <t>平塚市</t>
        </is>
      </c>
      <c r="D612" s="5" t="inlineStr">
        <is>
          <t>平塚学園高等学校</t>
        </is>
      </c>
      <c r="E612" s="6" t="inlineStr">
        <is>
          <t>0463-22-0137</t>
        </is>
      </c>
      <c r="F612" s="7" t="inlineStr">
        <is>
          <t>高</t>
        </is>
      </c>
      <c r="G612" s="5" t="inlineStr">
        <is>
          <t>普通科</t>
        </is>
      </c>
      <c r="H612" s="8" t="n"/>
      <c r="I612" s="9" t="n"/>
      <c r="J612" s="9" t="inlineStr">
        <is>
          <t>未架電</t>
        </is>
      </c>
      <c r="K612" s="8" t="n"/>
      <c r="L612" s="9" t="n"/>
      <c r="M612" s="10" t="inlineStr">
        <is>
          <t>2つのサイトで一致</t>
        </is>
      </c>
      <c r="N612" s="11" t="inlineStr">
        <is>
          <t>https://www.inter-edu.com/schools/school/673 ; https://school.js88.com/scl_h/22042490?page=9</t>
        </is>
      </c>
      <c r="O612" s="12" t="inlineStr">
        <is>
          <t>開く</t>
        </is>
      </c>
    </row>
    <row r="613">
      <c r="A613" s="4" t="n">
        <v>609</v>
      </c>
      <c r="B613" s="5" t="inlineStr">
        <is>
          <t>神奈川県</t>
        </is>
      </c>
      <c r="C613" s="5" t="inlineStr">
        <is>
          <t>横浜市中区</t>
        </is>
      </c>
      <c r="D613" s="5" t="inlineStr">
        <is>
          <t>フェリス女学院高等学校</t>
        </is>
      </c>
      <c r="E613" s="6" t="inlineStr">
        <is>
          <t>045-641-0242</t>
        </is>
      </c>
      <c r="F613" s="7" t="inlineStr">
        <is>
          <t>高</t>
        </is>
      </c>
      <c r="G613" s="5" t="inlineStr">
        <is>
          <t>普通科</t>
        </is>
      </c>
      <c r="H613" s="8" t="n"/>
      <c r="I613" s="9" t="n"/>
      <c r="J613" s="9" t="inlineStr">
        <is>
          <t>未架電</t>
        </is>
      </c>
      <c r="K613" s="8" t="n"/>
      <c r="L613" s="9" t="n"/>
      <c r="M613" s="10" t="inlineStr">
        <is>
          <t>中高共通。高校募集なし（完全中高一貫）の可能性</t>
        </is>
      </c>
      <c r="N613" s="11" t="inlineStr">
        <is>
          <t>https://www.inter-edu.com/schools/school/67 ; https://school.js88.com/scl_h/22042080</t>
        </is>
      </c>
      <c r="O613" s="12" t="inlineStr">
        <is>
          <t>開く</t>
        </is>
      </c>
    </row>
    <row r="614">
      <c r="A614" s="4" t="n">
        <v>610</v>
      </c>
      <c r="B614" s="5" t="inlineStr">
        <is>
          <t>神奈川県</t>
        </is>
      </c>
      <c r="C614" s="5" t="inlineStr">
        <is>
          <t>藤沢市</t>
        </is>
      </c>
      <c r="D614" s="5" t="inlineStr">
        <is>
          <t>藤沢翔陵高等学校</t>
        </is>
      </c>
      <c r="E614" s="6" t="inlineStr">
        <is>
          <t>0466-81-3456</t>
        </is>
      </c>
      <c r="F614" s="13" t="inlineStr">
        <is>
          <t>中</t>
        </is>
      </c>
      <c r="G614" s="5" t="inlineStr">
        <is>
          <t>普通科・専門学科</t>
        </is>
      </c>
      <c r="H614" s="8" t="n"/>
      <c r="I614" s="9" t="n"/>
      <c r="J614" s="9" t="inlineStr">
        <is>
          <t>未架電</t>
        </is>
      </c>
      <c r="K614" s="8" t="n"/>
      <c r="L614" s="9" t="n"/>
      <c r="M614" s="10" t="inlineStr">
        <is>
          <t>学校情報サイト1件のみで確認</t>
        </is>
      </c>
      <c r="N614" s="11" t="inlineStr">
        <is>
          <t>https://www.inter-edu.com/schools/school/997</t>
        </is>
      </c>
      <c r="O614" s="12" t="inlineStr">
        <is>
          <t>開く</t>
        </is>
      </c>
    </row>
    <row r="615">
      <c r="A615" s="4" t="n">
        <v>611</v>
      </c>
      <c r="B615" s="5" t="inlineStr">
        <is>
          <t>神奈川県</t>
        </is>
      </c>
      <c r="C615" s="5" t="inlineStr">
        <is>
          <t>横浜市港北区</t>
        </is>
      </c>
      <c r="D615" s="5" t="inlineStr">
        <is>
          <t>武相高等学校</t>
        </is>
      </c>
      <c r="E615" s="6" t="inlineStr">
        <is>
          <t>045-401-9042</t>
        </is>
      </c>
      <c r="F615" s="7" t="inlineStr">
        <is>
          <t>高</t>
        </is>
      </c>
      <c r="G615" s="5" t="inlineStr">
        <is>
          <t>普通科</t>
        </is>
      </c>
      <c r="H615" s="8" t="n"/>
      <c r="I615" s="9" t="n"/>
      <c r="J615" s="9" t="inlineStr">
        <is>
          <t>未架電</t>
        </is>
      </c>
      <c r="K615" s="8" t="n"/>
      <c r="L615" s="9" t="n"/>
      <c r="M615" s="10" t="inlineStr">
        <is>
          <t>中高共通</t>
        </is>
      </c>
      <c r="N615" s="11" t="inlineStr">
        <is>
          <t>https://www.inter-edu.com/schools/school/2047</t>
        </is>
      </c>
      <c r="O615" s="12" t="inlineStr">
        <is>
          <t>開く</t>
        </is>
      </c>
    </row>
    <row r="616">
      <c r="A616" s="4" t="n">
        <v>612</v>
      </c>
      <c r="B616" s="5" t="inlineStr">
        <is>
          <t>神奈川県</t>
        </is>
      </c>
      <c r="C616" s="5" t="inlineStr">
        <is>
          <t>横浜市鶴見区</t>
        </is>
      </c>
      <c r="D616" s="5" t="inlineStr">
        <is>
          <t>法政大学国際高等学校</t>
        </is>
      </c>
      <c r="E616" s="6" t="inlineStr">
        <is>
          <t>045-571-4482</t>
        </is>
      </c>
      <c r="F616" s="7" t="inlineStr">
        <is>
          <t>高</t>
        </is>
      </c>
      <c r="G616" s="5" t="inlineStr">
        <is>
          <t>普通科</t>
        </is>
      </c>
      <c r="H616" s="8" t="n"/>
      <c r="I616" s="9" t="n"/>
      <c r="J616" s="9" t="inlineStr">
        <is>
          <t>未架電</t>
        </is>
      </c>
      <c r="K616" s="8" t="n"/>
      <c r="L616" s="9" t="n"/>
      <c r="M616" s="10" t="inlineStr">
        <is>
          <t>公式資料と学校情報サイトで一致</t>
        </is>
      </c>
      <c r="N616" s="11" t="inlineStr">
        <is>
          <t>https://kokusai-high.ws.hosei.ac.jp/wpcu/1786078104_6ZQ.pdf ; https://www.inter-edu.com/schools/school/684</t>
        </is>
      </c>
      <c r="O616" s="12" t="inlineStr">
        <is>
          <t>開く</t>
        </is>
      </c>
    </row>
    <row r="617">
      <c r="A617" s="4" t="n">
        <v>613</v>
      </c>
      <c r="B617" s="5" t="inlineStr">
        <is>
          <t>神奈川県</t>
        </is>
      </c>
      <c r="C617" s="5" t="inlineStr">
        <is>
          <t>川崎市中原区</t>
        </is>
      </c>
      <c r="D617" s="5" t="inlineStr">
        <is>
          <t>法政大学第二高等学校</t>
        </is>
      </c>
      <c r="E617" s="6" t="inlineStr">
        <is>
          <t>044-711-4321</t>
        </is>
      </c>
      <c r="F617" s="7" t="inlineStr">
        <is>
          <t>高</t>
        </is>
      </c>
      <c r="G617" s="5" t="inlineStr">
        <is>
          <t>普通科</t>
        </is>
      </c>
      <c r="H617" s="8" t="n"/>
      <c r="I617" s="9" t="n"/>
      <c r="J617" s="9" t="inlineStr">
        <is>
          <t>未架電</t>
        </is>
      </c>
      <c r="K617" s="8" t="n"/>
      <c r="L617" s="9" t="n"/>
      <c r="M617" s="10" t="inlineStr">
        <is>
          <t>中高共通。複数サイトで一致</t>
        </is>
      </c>
      <c r="N617" s="11" t="inlineStr">
        <is>
          <t>https://www.inter-edu.com/schools/school/198</t>
        </is>
      </c>
      <c r="O617" s="12" t="inlineStr">
        <is>
          <t>開く</t>
        </is>
      </c>
    </row>
    <row r="618">
      <c r="A618" s="4" t="n">
        <v>614</v>
      </c>
      <c r="B618" s="5" t="inlineStr">
        <is>
          <t>神奈川県</t>
        </is>
      </c>
      <c r="C618" s="5" t="inlineStr">
        <is>
          <t>横須賀市</t>
        </is>
      </c>
      <c r="D618" s="5" t="inlineStr">
        <is>
          <t>三浦学苑高等学校</t>
        </is>
      </c>
      <c r="E618" s="6" t="inlineStr">
        <is>
          <t>046-852-0284</t>
        </is>
      </c>
      <c r="F618" s="13" t="inlineStr">
        <is>
          <t>中</t>
        </is>
      </c>
      <c r="G618" s="5" t="inlineStr">
        <is>
          <t>普通科・専門学科</t>
        </is>
      </c>
      <c r="H618" s="8" t="n"/>
      <c r="I618" s="9" t="n"/>
      <c r="J618" s="9" t="inlineStr">
        <is>
          <t>未架電</t>
        </is>
      </c>
      <c r="K618" s="8" t="n"/>
      <c r="L618" s="9" t="n"/>
      <c r="M618" s="10" t="inlineStr">
        <is>
          <t>学校情報サイト1件のみで確認</t>
        </is>
      </c>
      <c r="N618" s="11" t="inlineStr">
        <is>
          <t>https://www.inter-edu.com/schools/school/690</t>
        </is>
      </c>
      <c r="O618" s="12" t="inlineStr">
        <is>
          <t>開く</t>
        </is>
      </c>
    </row>
    <row r="619">
      <c r="A619" s="4" t="n">
        <v>615</v>
      </c>
      <c r="B619" s="5" t="inlineStr">
        <is>
          <t>神奈川県</t>
        </is>
      </c>
      <c r="C619" s="5" t="inlineStr">
        <is>
          <t>藤沢市</t>
        </is>
      </c>
      <c r="D619" s="5" t="inlineStr">
        <is>
          <t>聖園女学院高等学校</t>
        </is>
      </c>
      <c r="E619" s="6" t="inlineStr">
        <is>
          <t>0466-81-3333</t>
        </is>
      </c>
      <c r="F619" s="7" t="inlineStr">
        <is>
          <t>高</t>
        </is>
      </c>
      <c r="G619" s="5" t="inlineStr">
        <is>
          <t>普通科</t>
        </is>
      </c>
      <c r="H619" s="8" t="n"/>
      <c r="I619" s="9" t="n"/>
      <c r="J619" s="9" t="inlineStr">
        <is>
          <t>未架電</t>
        </is>
      </c>
      <c r="K619" s="8" t="n"/>
      <c r="L619" s="9" t="n"/>
      <c r="M619" s="10" t="inlineStr">
        <is>
          <t>中高共通</t>
        </is>
      </c>
      <c r="N619" s="11" t="inlineStr">
        <is>
          <t>https://www.inter-edu.com/schools/school/2057</t>
        </is>
      </c>
      <c r="O619" s="12" t="inlineStr">
        <is>
          <t>開く</t>
        </is>
      </c>
    </row>
    <row r="620">
      <c r="A620" s="4" t="n">
        <v>616</v>
      </c>
      <c r="B620" s="5" t="inlineStr">
        <is>
          <t>神奈川県</t>
        </is>
      </c>
      <c r="C620" s="5" t="inlineStr">
        <is>
          <t>横須賀市</t>
        </is>
      </c>
      <c r="D620" s="5" t="inlineStr">
        <is>
          <t>緑ヶ丘女子高等学校</t>
        </is>
      </c>
      <c r="E620" s="6" t="inlineStr">
        <is>
          <t>046-822-1651</t>
        </is>
      </c>
      <c r="F620" s="13" t="inlineStr">
        <is>
          <t>中</t>
        </is>
      </c>
      <c r="G620" s="5" t="inlineStr">
        <is>
          <t>普通科</t>
        </is>
      </c>
      <c r="H620" s="8" t="n"/>
      <c r="I620" s="9" t="n"/>
      <c r="J620" s="9" t="inlineStr">
        <is>
          <t>未架電</t>
        </is>
      </c>
      <c r="K620" s="8" t="n"/>
      <c r="L620" s="9" t="n"/>
      <c r="M620" s="10" t="inlineStr">
        <is>
          <t>【校名変更】2026年度から「神奈川歯科大学系属緑ヶ丘女子高校」に変更との情報あり。学校情報サイト1件のみで確認</t>
        </is>
      </c>
      <c r="N620" s="11" t="inlineStr">
        <is>
          <t>https://www.minkou.jp/hischool/school/4559/</t>
        </is>
      </c>
      <c r="O620" s="12" t="inlineStr">
        <is>
          <t>開く</t>
        </is>
      </c>
    </row>
    <row r="621">
      <c r="A621" s="4" t="n">
        <v>617</v>
      </c>
      <c r="B621" s="5" t="inlineStr">
        <is>
          <t>神奈川県</t>
        </is>
      </c>
      <c r="C621" s="5" t="inlineStr">
        <is>
          <t>横浜市緑区</t>
        </is>
      </c>
      <c r="D621" s="5" t="inlineStr">
        <is>
          <t>森村学園高等部</t>
        </is>
      </c>
      <c r="E621" s="6" t="inlineStr">
        <is>
          <t>045-984-2505</t>
        </is>
      </c>
      <c r="F621" s="13" t="inlineStr">
        <is>
          <t>中</t>
        </is>
      </c>
      <c r="G621" s="5" t="inlineStr">
        <is>
          <t>普通科</t>
        </is>
      </c>
      <c r="H621" s="8" t="n"/>
      <c r="I621" s="9" t="n"/>
      <c r="J621" s="9" t="inlineStr">
        <is>
          <t>未架電</t>
        </is>
      </c>
      <c r="K621" s="8" t="n"/>
      <c r="L621" s="9" t="n"/>
      <c r="M621" s="10" t="inlineStr">
        <is>
          <t>中高共通。学校情報サイト1件のみで確認</t>
        </is>
      </c>
      <c r="N621" s="11" t="inlineStr">
        <is>
          <t>https://www.inter-edu.com/schools/school/158</t>
        </is>
      </c>
      <c r="O621" s="12" t="inlineStr">
        <is>
          <t>開く</t>
        </is>
      </c>
    </row>
    <row r="622">
      <c r="A622" s="4" t="n">
        <v>618</v>
      </c>
      <c r="B622" s="5" t="inlineStr">
        <is>
          <t>神奈川県</t>
        </is>
      </c>
      <c r="C622" s="5" t="inlineStr">
        <is>
          <t>横浜市栄区</t>
        </is>
      </c>
      <c r="D622" s="5" t="inlineStr">
        <is>
          <t>山手学院高等学校</t>
        </is>
      </c>
      <c r="E622" s="6" t="inlineStr">
        <is>
          <t>045-891-2111</t>
        </is>
      </c>
      <c r="F622" s="7" t="inlineStr">
        <is>
          <t>高</t>
        </is>
      </c>
      <c r="G622" s="5" t="inlineStr">
        <is>
          <t>普通科</t>
        </is>
      </c>
      <c r="H622" s="8" t="n"/>
      <c r="I622" s="9" t="n"/>
      <c r="J622" s="9" t="inlineStr">
        <is>
          <t>未架電</t>
        </is>
      </c>
      <c r="K622" s="8" t="n"/>
      <c r="L622" s="9" t="n"/>
      <c r="M622" s="10" t="inlineStr">
        <is>
          <t>公式の募集要項で確認。中高共通</t>
        </is>
      </c>
      <c r="N622" s="11" t="inlineStr">
        <is>
          <t>https://www.yamate-gakuin.ac.jp/file/bosyuu.pdf</t>
        </is>
      </c>
      <c r="O622" s="12" t="inlineStr">
        <is>
          <t>開く</t>
        </is>
      </c>
    </row>
    <row r="623">
      <c r="A623" s="4" t="n">
        <v>619</v>
      </c>
      <c r="B623" s="5" t="inlineStr">
        <is>
          <t>神奈川県</t>
        </is>
      </c>
      <c r="C623" s="5" t="inlineStr">
        <is>
          <t>横須賀市</t>
        </is>
      </c>
      <c r="D623" s="5" t="inlineStr">
        <is>
          <t>横須賀学院高等学校</t>
        </is>
      </c>
      <c r="E623" s="6" t="inlineStr">
        <is>
          <t>046-822-3218</t>
        </is>
      </c>
      <c r="F623" s="13" t="inlineStr">
        <is>
          <t>中</t>
        </is>
      </c>
      <c r="G623" s="5" t="inlineStr">
        <is>
          <t>普通科</t>
        </is>
      </c>
      <c r="H623" s="8" t="n"/>
      <c r="I623" s="9" t="n"/>
      <c r="J623" s="9" t="inlineStr">
        <is>
          <t>未架電</t>
        </is>
      </c>
      <c r="K623" s="8" t="n"/>
      <c r="L623" s="9" t="n"/>
      <c r="M623" s="10" t="inlineStr">
        <is>
          <t>中高共通。学校情報サイト1件のみで確認</t>
        </is>
      </c>
      <c r="N623" s="11" t="inlineStr">
        <is>
          <t>https://www.inter-edu.com/schools/school/159</t>
        </is>
      </c>
      <c r="O623" s="12" t="inlineStr">
        <is>
          <t>開く</t>
        </is>
      </c>
    </row>
    <row r="624">
      <c r="A624" s="4" t="n">
        <v>620</v>
      </c>
      <c r="B624" s="5" t="inlineStr">
        <is>
          <t>神奈川県</t>
        </is>
      </c>
      <c r="C624" s="5" t="inlineStr">
        <is>
          <t>横浜市磯子区</t>
        </is>
      </c>
      <c r="D624" s="5" t="inlineStr">
        <is>
          <t>横浜学園高等学校</t>
        </is>
      </c>
      <c r="E624" s="6" t="inlineStr">
        <is>
          <t>045-751-6941</t>
        </is>
      </c>
      <c r="F624" s="13" t="inlineStr">
        <is>
          <t>中</t>
        </is>
      </c>
      <c r="G624" s="5" t="inlineStr">
        <is>
          <t>普通科</t>
        </is>
      </c>
      <c r="H624" s="8" t="n"/>
      <c r="I624" s="9" t="n"/>
      <c r="J624" s="9" t="inlineStr">
        <is>
          <t>未架電</t>
        </is>
      </c>
      <c r="K624" s="8" t="n"/>
      <c r="L624" s="9" t="n"/>
      <c r="M624" s="10" t="inlineStr">
        <is>
          <t>学校情報サイト1件のみで確認</t>
        </is>
      </c>
      <c r="N624" s="11" t="inlineStr">
        <is>
          <t>https://school.js88.com/scl_h/22042340?page=5</t>
        </is>
      </c>
      <c r="O624" s="12" t="inlineStr">
        <is>
          <t>開く</t>
        </is>
      </c>
    </row>
    <row r="625">
      <c r="A625" s="4" t="n">
        <v>621</v>
      </c>
      <c r="B625" s="5" t="inlineStr">
        <is>
          <t>神奈川県</t>
        </is>
      </c>
      <c r="C625" s="5" t="inlineStr">
        <is>
          <t>横浜市中区</t>
        </is>
      </c>
      <c r="D625" s="5" t="inlineStr">
        <is>
          <t>横浜共立学園高等学校</t>
        </is>
      </c>
      <c r="E625" s="6" t="inlineStr">
        <is>
          <t>045-641-3785</t>
        </is>
      </c>
      <c r="F625" s="13" t="inlineStr">
        <is>
          <t>中</t>
        </is>
      </c>
      <c r="G625" s="5" t="inlineStr">
        <is>
          <t>普通科</t>
        </is>
      </c>
      <c r="H625" s="8" t="n"/>
      <c r="I625" s="9" t="n"/>
      <c r="J625" s="9" t="inlineStr">
        <is>
          <t>未架電</t>
        </is>
      </c>
      <c r="K625" s="8" t="n"/>
      <c r="L625" s="9" t="n"/>
      <c r="M625" s="10" t="inlineStr">
        <is>
          <t>中高共通。学校情報サイト1件のみで確認</t>
        </is>
      </c>
      <c r="N625" s="11" t="inlineStr">
        <is>
          <t>https://www.inter-edu.com/schools/school/217</t>
        </is>
      </c>
      <c r="O625" s="12" t="inlineStr">
        <is>
          <t>開く</t>
        </is>
      </c>
    </row>
    <row r="626">
      <c r="A626" s="4" t="n">
        <v>622</v>
      </c>
      <c r="B626" s="5" t="inlineStr">
        <is>
          <t>神奈川県</t>
        </is>
      </c>
      <c r="C626" s="5" t="inlineStr">
        <is>
          <t>横浜市金沢区</t>
        </is>
      </c>
      <c r="D626" s="5" t="inlineStr">
        <is>
          <t>横浜高等学校</t>
        </is>
      </c>
      <c r="E626" s="6" t="inlineStr">
        <is>
          <t>045-781-3395</t>
        </is>
      </c>
      <c r="F626" s="7" t="inlineStr">
        <is>
          <t>高</t>
        </is>
      </c>
      <c r="G626" s="5" t="inlineStr">
        <is>
          <t>普通科</t>
        </is>
      </c>
      <c r="H626" s="8" t="n"/>
      <c r="I626" s="9" t="n"/>
      <c r="J626" s="9" t="inlineStr">
        <is>
          <t>未架電</t>
        </is>
      </c>
      <c r="K626" s="8" t="n"/>
      <c r="L626" s="9" t="n"/>
      <c r="M626" s="10" t="inlineStr">
        <is>
          <t>2つのサイトで一致</t>
        </is>
      </c>
      <c r="N626" s="11" t="inlineStr">
        <is>
          <t>https://www.inter-edu.com/schools/school/2048 ; https://www.minkou.jp/junior/school/8367/</t>
        </is>
      </c>
      <c r="O626" s="12" t="inlineStr">
        <is>
          <t>開く</t>
        </is>
      </c>
    </row>
    <row r="627">
      <c r="A627" s="4" t="n">
        <v>623</v>
      </c>
      <c r="B627" s="5" t="inlineStr">
        <is>
          <t>神奈川県</t>
        </is>
      </c>
      <c r="C627" s="5" t="inlineStr">
        <is>
          <t>横浜市旭区</t>
        </is>
      </c>
      <c r="D627" s="5" t="inlineStr">
        <is>
          <t>横浜商科大学高等学校</t>
        </is>
      </c>
      <c r="E627" s="6" t="inlineStr">
        <is>
          <t>045-951-2246</t>
        </is>
      </c>
      <c r="F627" s="13" t="inlineStr">
        <is>
          <t>中</t>
        </is>
      </c>
      <c r="G627" s="5" t="inlineStr">
        <is>
          <t>普通科・専門学科</t>
        </is>
      </c>
      <c r="H627" s="8" t="n"/>
      <c r="I627" s="9" t="n"/>
      <c r="J627" s="9" t="inlineStr">
        <is>
          <t>未架電</t>
        </is>
      </c>
      <c r="K627" s="8" t="n"/>
      <c r="L627" s="9" t="n"/>
      <c r="M627" s="10" t="inlineStr">
        <is>
          <t>学校情報サイト1件のみで確認。大学の番号とは別</t>
        </is>
      </c>
      <c r="N627" s="11" t="inlineStr">
        <is>
          <t>https://www.inter-edu.com/schools/school/702</t>
        </is>
      </c>
      <c r="O627" s="12" t="inlineStr">
        <is>
          <t>開く</t>
        </is>
      </c>
    </row>
    <row r="628">
      <c r="A628" s="4" t="n">
        <v>624</v>
      </c>
      <c r="B628" s="5" t="inlineStr">
        <is>
          <t>神奈川県</t>
        </is>
      </c>
      <c r="C628" s="5" t="inlineStr">
        <is>
          <t>横浜市中区</t>
        </is>
      </c>
      <c r="D628" s="5" t="inlineStr">
        <is>
          <t>横浜女学院高等学校</t>
        </is>
      </c>
      <c r="E628" s="6" t="inlineStr">
        <is>
          <t>045-641-3284</t>
        </is>
      </c>
      <c r="F628" s="7" t="inlineStr">
        <is>
          <t>高</t>
        </is>
      </c>
      <c r="G628" s="5" t="inlineStr">
        <is>
          <t>普通科</t>
        </is>
      </c>
      <c r="H628" s="8" t="n"/>
      <c r="I628" s="9" t="n"/>
      <c r="J628" s="9" t="inlineStr">
        <is>
          <t>未架電</t>
        </is>
      </c>
      <c r="K628" s="8" t="n"/>
      <c r="L628" s="9" t="n"/>
      <c r="M628" s="10" t="inlineStr">
        <is>
          <t>公式の受験案内で確認。事務室直通は045-681-7767</t>
        </is>
      </c>
      <c r="N628" s="11" t="inlineStr">
        <is>
          <t>https://yjg.y-gakuin.ed.jp/yjg-info/wp-content/uploads/2025/01/横浜女学院_25受験案内.pdf</t>
        </is>
      </c>
      <c r="O628" s="12" t="inlineStr">
        <is>
          <t>開く</t>
        </is>
      </c>
    </row>
    <row r="629">
      <c r="A629" s="4" t="n">
        <v>625</v>
      </c>
      <c r="B629" s="5" t="inlineStr">
        <is>
          <t>神奈川県</t>
        </is>
      </c>
      <c r="C629" s="5" t="inlineStr">
        <is>
          <t>横浜市緑区</t>
        </is>
      </c>
      <c r="D629" s="5" t="inlineStr">
        <is>
          <t>横浜翠陵高等学校</t>
        </is>
      </c>
      <c r="E629" s="6" t="inlineStr">
        <is>
          <t>045-921-0301</t>
        </is>
      </c>
      <c r="F629" s="13" t="inlineStr">
        <is>
          <t>中</t>
        </is>
      </c>
      <c r="G629" s="5" t="inlineStr">
        <is>
          <t>普通科</t>
        </is>
      </c>
      <c r="H629" s="8" t="n"/>
      <c r="I629" s="9" t="n"/>
      <c r="J629" s="9" t="inlineStr">
        <is>
          <t>未架電</t>
        </is>
      </c>
      <c r="K629" s="8" t="n"/>
      <c r="L629" s="9" t="n"/>
      <c r="M629" s="10" t="inlineStr">
        <is>
          <t>中高共通。学校情報サイトのみで確認</t>
        </is>
      </c>
      <c r="N629" s="11" t="inlineStr">
        <is>
          <t>https://www.inter-edu.com/schools/school/2055</t>
        </is>
      </c>
      <c r="O629" s="12" t="inlineStr">
        <is>
          <t>開く</t>
        </is>
      </c>
    </row>
    <row r="630">
      <c r="A630" s="4" t="n">
        <v>626</v>
      </c>
      <c r="B630" s="5" t="inlineStr">
        <is>
          <t>神奈川県</t>
        </is>
      </c>
      <c r="C630" s="5" t="inlineStr">
        <is>
          <t>横浜市保土ケ谷区</t>
        </is>
      </c>
      <c r="D630" s="5" t="inlineStr">
        <is>
          <t>横浜清風高等学校</t>
        </is>
      </c>
      <c r="E630" s="6" t="inlineStr">
        <is>
          <t>045-731-4361</t>
        </is>
      </c>
      <c r="F630" s="7" t="inlineStr">
        <is>
          <t>高</t>
        </is>
      </c>
      <c r="G630" s="5" t="inlineStr">
        <is>
          <t>普通科</t>
        </is>
      </c>
      <c r="H630" s="8" t="n"/>
      <c r="I630" s="9" t="n"/>
      <c r="J630" s="9" t="inlineStr">
        <is>
          <t>未架電</t>
        </is>
      </c>
      <c r="K630" s="8" t="n"/>
      <c r="L630" s="9" t="n"/>
      <c r="M630" s="10" t="inlineStr">
        <is>
          <t>2つの情報源で一致</t>
        </is>
      </c>
      <c r="N630" s="11" t="inlineStr">
        <is>
          <t>https://school.js88.com/scl_h/22042170/ ; https://map.yahoo.co.jp/v3/place/bG8VLDV7swI</t>
        </is>
      </c>
      <c r="O630" s="12" t="inlineStr">
        <is>
          <t>開く</t>
        </is>
      </c>
    </row>
    <row r="631">
      <c r="A631" s="4" t="n">
        <v>627</v>
      </c>
      <c r="B631" s="5" t="inlineStr">
        <is>
          <t>神奈川県</t>
        </is>
      </c>
      <c r="C631" s="5" t="inlineStr">
        <is>
          <t>横浜市神奈川区</t>
        </is>
      </c>
      <c r="D631" s="5" t="inlineStr">
        <is>
          <t>横浜創英高等学校</t>
        </is>
      </c>
      <c r="E631" s="6" t="inlineStr">
        <is>
          <t>045-421-3121</t>
        </is>
      </c>
      <c r="F631" s="7" t="inlineStr">
        <is>
          <t>高</t>
        </is>
      </c>
      <c r="G631" s="5" t="inlineStr">
        <is>
          <t>普通科</t>
        </is>
      </c>
      <c r="H631" s="8" t="n"/>
      <c r="I631" s="9" t="n"/>
      <c r="J631" s="9" t="inlineStr">
        <is>
          <t>未架電</t>
        </is>
      </c>
      <c r="K631" s="8" t="n"/>
      <c r="L631" s="9" t="n"/>
      <c r="M631" s="10" t="inlineStr">
        <is>
          <t>中高共通。複数サイトで一致。横浜創学館（金沢区）とは別の学校</t>
        </is>
      </c>
      <c r="N631" s="11" t="inlineStr">
        <is>
          <t>https://www.inter-edu.com/schools/school/2108</t>
        </is>
      </c>
      <c r="O631" s="12" t="inlineStr">
        <is>
          <t>開く</t>
        </is>
      </c>
    </row>
    <row r="632">
      <c r="A632" s="4" t="n">
        <v>628</v>
      </c>
      <c r="B632" s="5" t="inlineStr">
        <is>
          <t>神奈川県</t>
        </is>
      </c>
      <c r="C632" s="5" t="inlineStr">
        <is>
          <t>横浜市金沢区</t>
        </is>
      </c>
      <c r="D632" s="5" t="inlineStr">
        <is>
          <t>横浜創学館高等学校</t>
        </is>
      </c>
      <c r="E632" s="6" t="inlineStr">
        <is>
          <t>045-781-0631</t>
        </is>
      </c>
      <c r="F632" s="13" t="inlineStr">
        <is>
          <t>中</t>
        </is>
      </c>
      <c r="G632" s="5" t="inlineStr">
        <is>
          <t>普通科</t>
        </is>
      </c>
      <c r="H632" s="8" t="n"/>
      <c r="I632" s="9" t="n"/>
      <c r="J632" s="9" t="inlineStr">
        <is>
          <t>未架電</t>
        </is>
      </c>
      <c r="K632" s="8" t="n"/>
      <c r="L632" s="9" t="n"/>
      <c r="M632" s="10" t="inlineStr">
        <is>
          <t>学校情報サイト1件のみで確認。横浜創英（神奈川区）とは別の学校</t>
        </is>
      </c>
      <c r="N632" s="11" t="inlineStr">
        <is>
          <t>https://www.inter-edu.com/schools/school/1026</t>
        </is>
      </c>
      <c r="O632" s="12" t="inlineStr">
        <is>
          <t>開く</t>
        </is>
      </c>
    </row>
    <row r="633">
      <c r="A633" s="4" t="n">
        <v>629</v>
      </c>
      <c r="B633" s="5" t="inlineStr">
        <is>
          <t>神奈川県</t>
        </is>
      </c>
      <c r="C633" s="5" t="inlineStr">
        <is>
          <t>横浜市瀬谷区</t>
        </is>
      </c>
      <c r="D633" s="5" t="inlineStr">
        <is>
          <t>横浜隼人高等学校</t>
        </is>
      </c>
      <c r="E633" s="6" t="inlineStr">
        <is>
          <t>045-364-5101</t>
        </is>
      </c>
      <c r="F633" s="13" t="inlineStr">
        <is>
          <t>中</t>
        </is>
      </c>
      <c r="G633" s="5" t="inlineStr">
        <is>
          <t>普通科・専門学科</t>
        </is>
      </c>
      <c r="H633" s="8" t="n"/>
      <c r="I633" s="9" t="n"/>
      <c r="J633" s="9" t="inlineStr">
        <is>
          <t>未架電</t>
        </is>
      </c>
      <c r="K633" s="8" t="n"/>
      <c r="L633" s="9" t="n"/>
      <c r="M633" s="10" t="inlineStr">
        <is>
          <t>中高共通。学校情報サイト1件のみで確認</t>
        </is>
      </c>
      <c r="N633" s="11" t="inlineStr">
        <is>
          <t>https://www.inter-edu.com/schools/school/160</t>
        </is>
      </c>
      <c r="O633" s="12" t="inlineStr">
        <is>
          <t>開く</t>
        </is>
      </c>
    </row>
    <row r="634">
      <c r="A634" s="4" t="n">
        <v>630</v>
      </c>
      <c r="B634" s="5" t="inlineStr">
        <is>
          <t>神奈川県</t>
        </is>
      </c>
      <c r="C634" s="5" t="inlineStr">
        <is>
          <t>横浜市旭区</t>
        </is>
      </c>
      <c r="D634" s="5" t="inlineStr">
        <is>
          <t>横浜富士見丘学園高等学校</t>
        </is>
      </c>
      <c r="E634" s="6" t="inlineStr">
        <is>
          <t>045-367-4380</t>
        </is>
      </c>
      <c r="F634" s="13" t="inlineStr">
        <is>
          <t>中</t>
        </is>
      </c>
      <c r="G634" s="5" t="inlineStr">
        <is>
          <t>普通科</t>
        </is>
      </c>
      <c r="H634" s="8" t="n"/>
      <c r="I634" s="9" t="n"/>
      <c r="J634" s="9" t="inlineStr">
        <is>
          <t>未架電</t>
        </is>
      </c>
      <c r="K634" s="8" t="n"/>
      <c r="L634" s="9" t="n"/>
      <c r="M634" s="10" t="inlineStr">
        <is>
          <t>中高共通。学校情報サイトのみで確認</t>
        </is>
      </c>
      <c r="N634" s="11" t="inlineStr">
        <is>
          <t>https://www.inter-edu.com/schools/school/2054</t>
        </is>
      </c>
      <c r="O634" s="12" t="inlineStr">
        <is>
          <t>開く</t>
        </is>
      </c>
    </row>
    <row r="635">
      <c r="A635" s="4" t="n">
        <v>631</v>
      </c>
      <c r="B635" s="5" t="inlineStr">
        <is>
          <t>神奈川県</t>
        </is>
      </c>
      <c r="C635" s="5" t="inlineStr">
        <is>
          <t>横浜市中区</t>
        </is>
      </c>
      <c r="D635" s="5" t="inlineStr">
        <is>
          <t>横浜雙葉高等学校</t>
        </is>
      </c>
      <c r="E635" s="6" t="inlineStr">
        <is>
          <t>045-641-1004</t>
        </is>
      </c>
      <c r="F635" s="13" t="inlineStr">
        <is>
          <t>中</t>
        </is>
      </c>
      <c r="G635" s="5" t="inlineStr">
        <is>
          <t>普通科</t>
        </is>
      </c>
      <c r="H635" s="8" t="n"/>
      <c r="I635" s="9" t="n"/>
      <c r="J635" s="9" t="inlineStr">
        <is>
          <t>未架電</t>
        </is>
      </c>
      <c r="K635" s="8" t="n"/>
      <c r="L635" s="9" t="n"/>
      <c r="M635" s="10" t="inlineStr">
        <is>
          <t>中高共通。学校情報サイト1件のみで確認</t>
        </is>
      </c>
      <c r="N635" s="11" t="inlineStr">
        <is>
          <t>https://www.inter-edu.com/schools/school/212</t>
        </is>
      </c>
      <c r="O635" s="12" t="inlineStr">
        <is>
          <t>開く</t>
        </is>
      </c>
    </row>
    <row r="636">
      <c r="A636" s="4" t="n">
        <v>632</v>
      </c>
      <c r="B636" s="5" t="inlineStr">
        <is>
          <t>新潟県</t>
        </is>
      </c>
      <c r="C636" s="5" t="inlineStr">
        <is>
          <t>新潟市中央区</t>
        </is>
      </c>
      <c r="D636" s="5" t="inlineStr">
        <is>
          <t>開志学園高等学校</t>
        </is>
      </c>
      <c r="E636" s="6" t="inlineStr">
        <is>
          <t>025-287-3390</t>
        </is>
      </c>
      <c r="F636" s="13" t="inlineStr">
        <is>
          <t>中</t>
        </is>
      </c>
      <c r="G636" s="5" t="inlineStr">
        <is>
          <t>普通科</t>
        </is>
      </c>
      <c r="H636" s="8" t="n"/>
      <c r="I636" s="9" t="n"/>
      <c r="J636" s="9" t="inlineStr">
        <is>
          <t>未架電</t>
        </is>
      </c>
      <c r="K636" s="8" t="n"/>
      <c r="L636" s="9" t="n"/>
      <c r="M636" s="10" t="inlineStr">
        <is>
          <t>通信制。学校情報サイトのみで確認</t>
        </is>
      </c>
      <c r="N636" s="11" t="inlineStr">
        <is>
          <t>https://school.js88.com/scl_h/34024908 ; https://www.minkou.jp/hischool/school/1045/</t>
        </is>
      </c>
      <c r="O636" s="12" t="inlineStr">
        <is>
          <t>開く</t>
        </is>
      </c>
    </row>
    <row r="637">
      <c r="A637" s="4" t="n">
        <v>633</v>
      </c>
      <c r="B637" s="5" t="inlineStr">
        <is>
          <t>新潟県</t>
        </is>
      </c>
      <c r="C637" s="5" t="inlineStr">
        <is>
          <t>加茂市</t>
        </is>
      </c>
      <c r="D637" s="5" t="inlineStr">
        <is>
          <t>加茂暁星高等学校</t>
        </is>
      </c>
      <c r="E637" s="6" t="inlineStr">
        <is>
          <t>0256-52-2000</t>
        </is>
      </c>
      <c r="F637" s="7" t="inlineStr">
        <is>
          <t>高</t>
        </is>
      </c>
      <c r="G637" s="5" t="inlineStr">
        <is>
          <t>普通科・専門学科</t>
        </is>
      </c>
      <c r="H637" s="8" t="n"/>
      <c r="I637" s="9" t="n"/>
      <c r="J637" s="9" t="inlineStr">
        <is>
          <t>未架電</t>
        </is>
      </c>
      <c r="K637" s="8" t="n"/>
      <c r="L637" s="9" t="n"/>
      <c r="M637" s="10" t="inlineStr">
        <is>
          <t>公式サイトと電話帳で一致（代表）</t>
        </is>
      </c>
      <c r="N637" s="11" t="inlineStr">
        <is>
          <t>https://www.gyosei.ac.jp/ ; https://www.mapion.co.jp/phonebook/M11004/15209/ILSP0000041397_ipclm/</t>
        </is>
      </c>
      <c r="O637" s="12" t="inlineStr">
        <is>
          <t>開く</t>
        </is>
      </c>
    </row>
    <row r="638">
      <c r="A638" s="4" t="n">
        <v>634</v>
      </c>
      <c r="B638" s="5" t="inlineStr">
        <is>
          <t>新潟県</t>
        </is>
      </c>
      <c r="C638" s="5" t="inlineStr">
        <is>
          <t>新潟市北区</t>
        </is>
      </c>
      <c r="D638" s="5" t="inlineStr">
        <is>
          <t>敬和学園高等学校</t>
        </is>
      </c>
      <c r="E638" s="6" t="inlineStr">
        <is>
          <t>025-259-2391</t>
        </is>
      </c>
      <c r="F638" s="7" t="inlineStr">
        <is>
          <t>高</t>
        </is>
      </c>
      <c r="G638" s="5" t="inlineStr">
        <is>
          <t>普通科</t>
        </is>
      </c>
      <c r="H638" s="8" t="n"/>
      <c r="I638" s="9" t="n"/>
      <c r="J638" s="9" t="inlineStr">
        <is>
          <t>未架電</t>
        </is>
      </c>
      <c r="K638" s="8" t="n"/>
      <c r="L638" s="9" t="n"/>
      <c r="M638" s="10" t="inlineStr">
        <is>
          <t>法人の公式報告書に高校の番号として記載。大学・法人本部とは別番号</t>
        </is>
      </c>
      <c r="N638" s="11" t="inlineStr">
        <is>
          <t>https://www.keiwa-c.ac.jp/wp2021/wp-content/uploads/2025/06/hokoku2024.pdf</t>
        </is>
      </c>
      <c r="O638" s="12" t="inlineStr">
        <is>
          <t>開く</t>
        </is>
      </c>
    </row>
    <row r="639">
      <c r="A639" s="4" t="n">
        <v>635</v>
      </c>
      <c r="B639" s="5" t="inlineStr">
        <is>
          <t>新潟県</t>
        </is>
      </c>
      <c r="C639" s="5" t="inlineStr">
        <is>
          <t>新発田市</t>
        </is>
      </c>
      <c r="D639" s="5" t="inlineStr">
        <is>
          <t>新発田中央高等学校</t>
        </is>
      </c>
      <c r="E639" s="6" t="inlineStr">
        <is>
          <t>0254-27-2466</t>
        </is>
      </c>
      <c r="F639" s="13" t="inlineStr">
        <is>
          <t>中</t>
        </is>
      </c>
      <c r="G639" s="5" t="inlineStr">
        <is>
          <t>普通科</t>
        </is>
      </c>
      <c r="H639" s="8" t="n"/>
      <c r="I639" s="9" t="n"/>
      <c r="J639" s="9" t="inlineStr">
        <is>
          <t>未架電</t>
        </is>
      </c>
      <c r="K639" s="8" t="n"/>
      <c r="L639" s="9" t="n"/>
      <c r="M639" s="10" t="inlineStr">
        <is>
          <t>学校情報サイト1件のみで確認</t>
        </is>
      </c>
      <c r="N639" s="11" t="inlineStr">
        <is>
          <t>https://school.js88.com/scl_h/22023970</t>
        </is>
      </c>
      <c r="O639" s="12" t="inlineStr">
        <is>
          <t>開く</t>
        </is>
      </c>
    </row>
    <row r="640">
      <c r="A640" s="4" t="n">
        <v>636</v>
      </c>
      <c r="B640" s="5" t="inlineStr">
        <is>
          <t>新潟県</t>
        </is>
      </c>
      <c r="C640" s="5" t="inlineStr">
        <is>
          <t>上越市</t>
        </is>
      </c>
      <c r="D640" s="5" t="inlineStr">
        <is>
          <t>上越高等学校</t>
        </is>
      </c>
      <c r="E640" s="6" t="inlineStr">
        <is>
          <t>025-523-2601</t>
        </is>
      </c>
      <c r="F640" s="7" t="inlineStr">
        <is>
          <t>高</t>
        </is>
      </c>
      <c r="G640" s="5" t="inlineStr">
        <is>
          <t>普通科</t>
        </is>
      </c>
      <c r="H640" s="8" t="n"/>
      <c r="I640" s="9" t="n"/>
      <c r="J640" s="9" t="inlineStr">
        <is>
          <t>未架電</t>
        </is>
      </c>
      <c r="K640" s="8" t="n"/>
      <c r="L640" s="9" t="n"/>
      <c r="M640" s="10" t="inlineStr">
        <is>
          <t>公式サイトの事務室の番号。教務室は025-524-1249（上越市のサイトはこちらを掲載）</t>
        </is>
      </c>
      <c r="N640" s="11" t="inlineStr">
        <is>
          <t>https://www.joetsu-hs.com/access/</t>
        </is>
      </c>
      <c r="O640" s="12" t="inlineStr">
        <is>
          <t>開く</t>
        </is>
      </c>
    </row>
    <row r="641">
      <c r="A641" s="4" t="n">
        <v>637</v>
      </c>
      <c r="B641" s="5" t="inlineStr">
        <is>
          <t>新潟県</t>
        </is>
      </c>
      <c r="C641" s="5" t="inlineStr">
        <is>
          <t>上越市</t>
        </is>
      </c>
      <c r="D641" s="5" t="inlineStr">
        <is>
          <t>関根学園高等学校</t>
        </is>
      </c>
      <c r="E641" s="6" t="inlineStr">
        <is>
          <t>025-523-2702</t>
        </is>
      </c>
      <c r="F641" s="7" t="inlineStr">
        <is>
          <t>高</t>
        </is>
      </c>
      <c r="G641" s="5" t="inlineStr">
        <is>
          <t>普通科</t>
        </is>
      </c>
      <c r="H641" s="8" t="n"/>
      <c r="I641" s="9" t="n"/>
      <c r="J641" s="9" t="inlineStr">
        <is>
          <t>未架電</t>
        </is>
      </c>
      <c r="K641" s="8" t="n"/>
      <c r="L641" s="9" t="n"/>
      <c r="M641" s="10" t="inlineStr">
        <is>
          <t>学校作成の募集要項と学校情報サイトで一致</t>
        </is>
      </c>
      <c r="N641" s="11" t="inlineStr">
        <is>
          <t>https://school.js88.com/scl_h/22024010 ; https://www.kandagaigo.ac.jp/kuis/alumni/wp-content/uploads/2025/12/R8関根学園高校英語募集要項.pdf</t>
        </is>
      </c>
      <c r="O641" s="12" t="inlineStr">
        <is>
          <t>開く</t>
        </is>
      </c>
    </row>
    <row r="642">
      <c r="A642" s="4" t="n">
        <v>638</v>
      </c>
      <c r="B642" s="5" t="inlineStr">
        <is>
          <t>新潟県</t>
        </is>
      </c>
      <c r="C642" s="5" t="inlineStr">
        <is>
          <t>見附市</t>
        </is>
      </c>
      <c r="D642" s="5" t="inlineStr">
        <is>
          <t>創進高等学校</t>
        </is>
      </c>
      <c r="E642" s="6" t="inlineStr">
        <is>
          <t>0258-62-0703</t>
        </is>
      </c>
      <c r="F642" s="13" t="inlineStr">
        <is>
          <t>中</t>
        </is>
      </c>
      <c r="G642" s="5" t="inlineStr">
        <is>
          <t>普通科</t>
        </is>
      </c>
      <c r="H642" s="8" t="n"/>
      <c r="I642" s="9" t="n"/>
      <c r="J642" s="9" t="inlineStr">
        <is>
          <t>未架電</t>
        </is>
      </c>
      <c r="K642" s="8" t="n"/>
      <c r="L642" s="9" t="n"/>
      <c r="M642" s="10" t="inlineStr">
        <is>
          <t>通信制。学校情報サイト1件のみで確認（「創進学園高等学校」の表記もあり）</t>
        </is>
      </c>
      <c r="N642" s="11" t="inlineStr">
        <is>
          <t>https://www.minkou.jp/hischool/school/3587/</t>
        </is>
      </c>
      <c r="O642" s="12" t="inlineStr">
        <is>
          <t>開く</t>
        </is>
      </c>
    </row>
    <row r="643">
      <c r="A643" s="4" t="n">
        <v>639</v>
      </c>
      <c r="B643" s="5" t="inlineStr">
        <is>
          <t>新潟県</t>
        </is>
      </c>
      <c r="C643" s="5" t="inlineStr">
        <is>
          <t>長岡市</t>
        </is>
      </c>
      <c r="D643" s="5" t="inlineStr">
        <is>
          <t>中越高等学校</t>
        </is>
      </c>
      <c r="E643" s="6" t="inlineStr">
        <is>
          <t>0258-24-0203</t>
        </is>
      </c>
      <c r="F643" s="7" t="inlineStr">
        <is>
          <t>高</t>
        </is>
      </c>
      <c r="G643" s="5" t="inlineStr">
        <is>
          <t>普通科</t>
        </is>
      </c>
      <c r="H643" s="8" t="n"/>
      <c r="I643" s="9" t="n"/>
      <c r="J643" s="9" t="inlineStr">
        <is>
          <t>未架電</t>
        </is>
      </c>
      <c r="K643" s="8" t="n"/>
      <c r="L643" s="9" t="n"/>
      <c r="M643" s="10" t="inlineStr">
        <is>
          <t>公式サイトとマピオンで一致</t>
        </is>
      </c>
      <c r="N643" s="11" t="inlineStr">
        <is>
          <t>https://www.chuetsu-h.ed.jp/about/access/ ; https://www.mapion.co.jp/phonebook/M11004/15202/ILSP0000040646_ipclm/</t>
        </is>
      </c>
      <c r="O643" s="12" t="inlineStr">
        <is>
          <t>開く</t>
        </is>
      </c>
    </row>
    <row r="644">
      <c r="A644" s="4" t="n">
        <v>640</v>
      </c>
      <c r="B644" s="5" t="inlineStr">
        <is>
          <t>新潟県</t>
        </is>
      </c>
      <c r="C644" s="5" t="inlineStr">
        <is>
          <t>長岡市</t>
        </is>
      </c>
      <c r="D644" s="5" t="inlineStr">
        <is>
          <t>帝京長岡高等学校</t>
        </is>
      </c>
      <c r="E644" s="6" t="inlineStr">
        <is>
          <t>0258-36-4800</t>
        </is>
      </c>
      <c r="F644" s="13" t="inlineStr">
        <is>
          <t>中</t>
        </is>
      </c>
      <c r="G644" s="5" t="inlineStr">
        <is>
          <t>普通科</t>
        </is>
      </c>
      <c r="H644" s="8" t="n"/>
      <c r="I644" s="9" t="n"/>
      <c r="J644" s="9" t="inlineStr">
        <is>
          <t>未架電</t>
        </is>
      </c>
      <c r="K644" s="8" t="n"/>
      <c r="L644" s="9" t="n"/>
      <c r="M644" s="10" t="inlineStr">
        <is>
          <t>電話帳サイト複数で一致、公式サイトでは未確認。進路指導部は0258-34-6765</t>
        </is>
      </c>
      <c r="N644" s="11" t="inlineStr">
        <is>
          <t>https://www.mapion.co.jp/phonebook/M11004/15202/ILSP0000041523_ipclm/</t>
        </is>
      </c>
      <c r="O644" s="12" t="inlineStr">
        <is>
          <t>開く</t>
        </is>
      </c>
    </row>
    <row r="645">
      <c r="A645" s="4" t="n">
        <v>641</v>
      </c>
      <c r="B645" s="5" t="inlineStr">
        <is>
          <t>新潟県</t>
        </is>
      </c>
      <c r="C645" s="5" t="inlineStr">
        <is>
          <t>新潟市中央区</t>
        </is>
      </c>
      <c r="D645" s="5" t="inlineStr">
        <is>
          <t>東京学館新潟高等学校</t>
        </is>
      </c>
      <c r="E645" s="6" t="inlineStr">
        <is>
          <t>025-283-8857</t>
        </is>
      </c>
      <c r="F645" s="7" t="inlineStr">
        <is>
          <t>高</t>
        </is>
      </c>
      <c r="G645" s="5" t="inlineStr">
        <is>
          <t>普通科</t>
        </is>
      </c>
      <c r="H645" s="8" t="n"/>
      <c r="I645" s="9" t="n"/>
      <c r="J645" s="9" t="inlineStr">
        <is>
          <t>未架電</t>
        </is>
      </c>
      <c r="K645" s="8" t="n"/>
      <c r="L645" s="9" t="n"/>
      <c r="M645" s="10" t="inlineStr">
        <is>
          <t>学校案内に「代表」と記載</t>
        </is>
      </c>
      <c r="N645" s="11" t="inlineStr">
        <is>
          <t>https://school.js88.com/scl_h/22024030/</t>
        </is>
      </c>
      <c r="O645" s="12" t="inlineStr">
        <is>
          <t>開く</t>
        </is>
      </c>
    </row>
    <row r="646">
      <c r="A646" s="4" t="n">
        <v>642</v>
      </c>
      <c r="B646" s="5" t="inlineStr">
        <is>
          <t>新潟県</t>
        </is>
      </c>
      <c r="C646" s="5" t="inlineStr">
        <is>
          <t>長岡市</t>
        </is>
      </c>
      <c r="D646" s="5" t="inlineStr">
        <is>
          <t>長岡英智高等学校</t>
        </is>
      </c>
      <c r="E646" s="6" t="inlineStr">
        <is>
          <t>0258-31-6771</t>
        </is>
      </c>
      <c r="F646" s="7" t="inlineStr">
        <is>
          <t>高</t>
        </is>
      </c>
      <c r="G646" s="5" t="inlineStr">
        <is>
          <t>普通科</t>
        </is>
      </c>
      <c r="H646" s="8" t="n"/>
      <c r="I646" s="9" t="n"/>
      <c r="J646" s="9" t="inlineStr">
        <is>
          <t>未架電</t>
        </is>
      </c>
      <c r="K646" s="8" t="n"/>
      <c r="L646" s="9" t="n"/>
      <c r="M646" s="10" t="inlineStr">
        <is>
          <t>通信制。【校名変更予定】2026年4月に「新潟英智高等学校」へ改称予定との情報あり</t>
        </is>
      </c>
      <c r="N646" s="11" t="inlineStr">
        <is>
          <t>https://school.js88.com/scl_h/34028502 ; https://studychain.jp/media/guide-172-2/</t>
        </is>
      </c>
      <c r="O646" s="12" t="inlineStr">
        <is>
          <t>開く</t>
        </is>
      </c>
    </row>
    <row r="647">
      <c r="A647" s="4" t="n">
        <v>643</v>
      </c>
      <c r="B647" s="5" t="inlineStr">
        <is>
          <t>新潟県</t>
        </is>
      </c>
      <c r="C647" s="5" t="inlineStr">
        <is>
          <t>柏崎市</t>
        </is>
      </c>
      <c r="D647" s="5" t="inlineStr">
        <is>
          <t>新潟産業大学附属高等学校</t>
        </is>
      </c>
      <c r="E647" s="6" t="inlineStr">
        <is>
          <t>0257-24-6644</t>
        </is>
      </c>
      <c r="F647" s="7" t="inlineStr">
        <is>
          <t>高</t>
        </is>
      </c>
      <c r="G647" s="5" t="inlineStr">
        <is>
          <t>普通科</t>
        </is>
      </c>
      <c r="H647" s="8" t="n"/>
      <c r="I647" s="9" t="n"/>
      <c r="J647" s="9" t="inlineStr">
        <is>
          <t>未架電</t>
        </is>
      </c>
      <c r="K647" s="8" t="n"/>
      <c r="L647" s="9" t="n"/>
      <c r="M647" s="10" t="inlineStr">
        <is>
          <t>公式サイトに「代表」と記載。0257-24-6655は大学の番号</t>
        </is>
      </c>
      <c r="N647" s="11" t="inlineStr">
        <is>
          <t>https://www.nsf-h.ed.jp/schoolintroduction.html</t>
        </is>
      </c>
      <c r="O647" s="12" t="inlineStr">
        <is>
          <t>開く</t>
        </is>
      </c>
    </row>
    <row r="648">
      <c r="A648" s="4" t="n">
        <v>644</v>
      </c>
      <c r="B648" s="5" t="inlineStr">
        <is>
          <t>新潟県</t>
        </is>
      </c>
      <c r="C648" s="5" t="inlineStr">
        <is>
          <t>新潟市西区</t>
        </is>
      </c>
      <c r="D648" s="5" t="inlineStr">
        <is>
          <t>新潟清心女子高等学校</t>
        </is>
      </c>
      <c r="E648" s="6" t="inlineStr">
        <is>
          <t>025-269-2041</t>
        </is>
      </c>
      <c r="F648" s="7" t="inlineStr">
        <is>
          <t>高</t>
        </is>
      </c>
      <c r="G648" s="5" t="inlineStr">
        <is>
          <t>普通科</t>
        </is>
      </c>
      <c r="H648" s="8" t="n"/>
      <c r="I648" s="9" t="n"/>
      <c r="J648" s="9" t="inlineStr">
        <is>
          <t>未架電</t>
        </is>
      </c>
      <c r="K648" s="8" t="n"/>
      <c r="L648" s="9" t="n"/>
      <c r="M648" s="10" t="inlineStr">
        <is>
          <t>中学校と共通</t>
        </is>
      </c>
      <c r="N648" s="11" t="inlineStr">
        <is>
          <t>https://school.js88.com/scl_h/22023990 ; https://school.js88.com/scl_j/31150033/</t>
        </is>
      </c>
      <c r="O648" s="12" t="inlineStr">
        <is>
          <t>開く</t>
        </is>
      </c>
    </row>
    <row r="649">
      <c r="A649" s="4" t="n">
        <v>645</v>
      </c>
      <c r="B649" s="5" t="inlineStr">
        <is>
          <t>新潟県</t>
        </is>
      </c>
      <c r="C649" s="5" t="inlineStr">
        <is>
          <t>新潟市中央区</t>
        </is>
      </c>
      <c r="D649" s="5" t="inlineStr">
        <is>
          <t>新潟青陵高等学校</t>
        </is>
      </c>
      <c r="E649" s="6" t="inlineStr">
        <is>
          <t>025-266-8131</t>
        </is>
      </c>
      <c r="F649" s="7" t="inlineStr">
        <is>
          <t>高</t>
        </is>
      </c>
      <c r="G649" s="5" t="inlineStr">
        <is>
          <t>普通科</t>
        </is>
      </c>
      <c r="H649" s="8" t="n"/>
      <c r="I649" s="9" t="n"/>
      <c r="J649" s="9" t="inlineStr">
        <is>
          <t>未架電</t>
        </is>
      </c>
      <c r="K649" s="8" t="n"/>
      <c r="L649" s="9" t="n"/>
      <c r="M649" s="10" t="inlineStr">
        <is>
          <t>公式サイトとタウンページで一致。025-266-8674は幼稚園の番号</t>
        </is>
      </c>
      <c r="N649" s="11" t="inlineStr">
        <is>
          <t>https://www.seiryo-high.ed.jp/ ; https://townpage.goo.ne.jp/shopdetail.php?matomeid=159094796000000899</t>
        </is>
      </c>
      <c r="O649" s="12" t="inlineStr">
        <is>
          <t>開く</t>
        </is>
      </c>
    </row>
    <row r="650">
      <c r="A650" s="4" t="n">
        <v>646</v>
      </c>
      <c r="B650" s="5" t="inlineStr">
        <is>
          <t>新潟県</t>
        </is>
      </c>
      <c r="C650" s="5" t="inlineStr">
        <is>
          <t>新潟市中央区</t>
        </is>
      </c>
      <c r="D650" s="5" t="inlineStr">
        <is>
          <t>新潟第一高等学校</t>
        </is>
      </c>
      <c r="E650" s="6" t="inlineStr">
        <is>
          <t>025-231-5643</t>
        </is>
      </c>
      <c r="F650" s="7" t="inlineStr">
        <is>
          <t>高</t>
        </is>
      </c>
      <c r="G650" s="5" t="inlineStr">
        <is>
          <t>普通科</t>
        </is>
      </c>
      <c r="H650" s="8" t="n"/>
      <c r="I650" s="9" t="n"/>
      <c r="J650" s="9" t="inlineStr">
        <is>
          <t>未架電</t>
        </is>
      </c>
      <c r="K650" s="8" t="n"/>
      <c r="L650" s="9" t="n"/>
      <c r="M650" s="10" t="inlineStr">
        <is>
          <t>2つのサイトで一致</t>
        </is>
      </c>
      <c r="N650" s="11" t="inlineStr">
        <is>
          <t>https://school.js88.com/scl_h/22024020?page=10 ; https://www.minkou.jp/hischool/school/3557/</t>
        </is>
      </c>
      <c r="O650" s="12" t="inlineStr">
        <is>
          <t>開く</t>
        </is>
      </c>
    </row>
    <row r="651">
      <c r="A651" s="4" t="n">
        <v>647</v>
      </c>
      <c r="B651" s="5" t="inlineStr">
        <is>
          <t>新潟県</t>
        </is>
      </c>
      <c r="C651" s="5" t="inlineStr">
        <is>
          <t>新潟市江南区</t>
        </is>
      </c>
      <c r="D651" s="5" t="inlineStr">
        <is>
          <t>新潟明訓高等学校</t>
        </is>
      </c>
      <c r="E651" s="6" t="inlineStr">
        <is>
          <t>025-257-2131</t>
        </is>
      </c>
      <c r="F651" s="13" t="inlineStr">
        <is>
          <t>中</t>
        </is>
      </c>
      <c r="G651" s="5" t="inlineStr">
        <is>
          <t>普通科</t>
        </is>
      </c>
      <c r="H651" s="8" t="n"/>
      <c r="I651" s="9" t="n"/>
      <c r="J651" s="9" t="inlineStr">
        <is>
          <t>未架電</t>
        </is>
      </c>
      <c r="K651" s="8" t="n"/>
      <c r="L651" s="9" t="n"/>
      <c r="M651" s="10" t="inlineStr">
        <is>
          <t>学校情報サイト1件のみで確認</t>
        </is>
      </c>
      <c r="N651" s="11" t="inlineStr">
        <is>
          <t>https://www.zyuken.net/school_page/11520131166/search/%E7%94%9F%E5%BE%92%E6%95%B0/</t>
        </is>
      </c>
      <c r="O651" s="12" t="inlineStr">
        <is>
          <t>開く</t>
        </is>
      </c>
    </row>
    <row r="652">
      <c r="A652" s="4" t="n">
        <v>648</v>
      </c>
      <c r="B652" s="5" t="inlineStr">
        <is>
          <t>新潟県</t>
        </is>
      </c>
      <c r="C652" s="5" t="inlineStr">
        <is>
          <t>新潟市西区</t>
        </is>
      </c>
      <c r="D652" s="5" t="inlineStr">
        <is>
          <t>日本文理高等学校</t>
        </is>
      </c>
      <c r="E652" s="6" t="inlineStr">
        <is>
          <t>025-260-1000</t>
        </is>
      </c>
      <c r="F652" s="13" t="inlineStr">
        <is>
          <t>中</t>
        </is>
      </c>
      <c r="G652" s="5" t="inlineStr">
        <is>
          <t>普通科</t>
        </is>
      </c>
      <c r="H652" s="8" t="n"/>
      <c r="I652" s="9" t="n"/>
      <c r="J652" s="9" t="inlineStr">
        <is>
          <t>未架電</t>
        </is>
      </c>
      <c r="K652" s="8" t="n"/>
      <c r="L652" s="9" t="n"/>
      <c r="M652" s="10" t="inlineStr">
        <is>
          <t>学校情報サイトのみで確認</t>
        </is>
      </c>
      <c r="N652" s="11" t="inlineStr">
        <is>
          <t>https://school.js88.com/scl_h/22024040?page=9</t>
        </is>
      </c>
      <c r="O652" s="12" t="inlineStr">
        <is>
          <t>開く</t>
        </is>
      </c>
    </row>
    <row r="653">
      <c r="A653" s="4" t="n">
        <v>649</v>
      </c>
      <c r="B653" s="5" t="inlineStr">
        <is>
          <t>新潟県</t>
        </is>
      </c>
      <c r="C653" s="5" t="inlineStr">
        <is>
          <t>新潟市中央区</t>
        </is>
      </c>
      <c r="D653" s="5" t="inlineStr">
        <is>
          <t>北越高等学校</t>
        </is>
      </c>
      <c r="E653" s="6" t="inlineStr">
        <is>
          <t>025-245-5681</t>
        </is>
      </c>
      <c r="F653" s="7" t="inlineStr">
        <is>
          <t>高</t>
        </is>
      </c>
      <c r="G653" s="5" t="inlineStr">
        <is>
          <t>普通科</t>
        </is>
      </c>
      <c r="H653" s="8" t="n"/>
      <c r="I653" s="9" t="n"/>
      <c r="J653" s="9" t="inlineStr">
        <is>
          <t>未架電</t>
        </is>
      </c>
      <c r="K653" s="8" t="n"/>
      <c r="L653" s="9" t="n"/>
      <c r="M653" s="10" t="inlineStr">
        <is>
          <t>複数の電話帳・地図サイトで一致</t>
        </is>
      </c>
      <c r="N653" s="11" t="inlineStr">
        <is>
          <t>https://www.mapion.co.jp/phonebook/M11004/15103/ILSP0000041961_ipclm/ ; https://www.navita.co.jp/s/11040479/</t>
        </is>
      </c>
      <c r="O653" s="12" t="inlineStr">
        <is>
          <t>開く</t>
        </is>
      </c>
    </row>
    <row r="654">
      <c r="A654" s="4" t="n">
        <v>650</v>
      </c>
      <c r="B654" s="5" t="inlineStr">
        <is>
          <t>富山県</t>
        </is>
      </c>
      <c r="C654" s="5" t="inlineStr">
        <is>
          <t>富山市</t>
        </is>
      </c>
      <c r="D654" s="5" t="inlineStr">
        <is>
          <t>片山学園高等学校</t>
        </is>
      </c>
      <c r="E654" s="6" t="inlineStr">
        <is>
          <t>076-483-3300</t>
        </is>
      </c>
      <c r="F654" s="7" t="inlineStr">
        <is>
          <t>高</t>
        </is>
      </c>
      <c r="G654" s="5" t="inlineStr">
        <is>
          <t>普通科</t>
        </is>
      </c>
      <c r="H654" s="8" t="n"/>
      <c r="I654" s="9" t="n"/>
      <c r="J654" s="9" t="inlineStr">
        <is>
          <t>未架電</t>
        </is>
      </c>
      <c r="K654" s="8" t="n"/>
      <c r="L654" s="9" t="n"/>
      <c r="M654" s="10" t="inlineStr">
        <is>
          <t>公式サイトで確認。中高共通。076-483-8500を載せるサイトは旧番号の可能性</t>
        </is>
      </c>
      <c r="N654" s="11" t="inlineStr">
        <is>
          <t>https://www.katayamagakuen.jp/other/contact/ ; https://www.mapion.co.jp/phonebook/M11004/16201/ILSP0000041530_ipclm/</t>
        </is>
      </c>
      <c r="O654" s="12" t="inlineStr">
        <is>
          <t>開く</t>
        </is>
      </c>
    </row>
    <row r="655">
      <c r="A655" s="4" t="n">
        <v>651</v>
      </c>
      <c r="B655" s="5" t="inlineStr">
        <is>
          <t>富山県</t>
        </is>
      </c>
      <c r="C655" s="5" t="inlineStr">
        <is>
          <t>富山市</t>
        </is>
      </c>
      <c r="D655" s="5" t="inlineStr">
        <is>
          <t>高朋高等学校</t>
        </is>
      </c>
      <c r="E655" s="6" t="inlineStr">
        <is>
          <t>076-437-9940</t>
        </is>
      </c>
      <c r="F655" s="7" t="inlineStr">
        <is>
          <t>高</t>
        </is>
      </c>
      <c r="G655" s="5" t="inlineStr">
        <is>
          <t>普通科</t>
        </is>
      </c>
      <c r="H655" s="8" t="n"/>
      <c r="I655" s="9" t="n"/>
      <c r="J655" s="9" t="inlineStr">
        <is>
          <t>未架電</t>
        </is>
      </c>
      <c r="K655" s="8" t="n"/>
      <c r="L655" s="9" t="n"/>
      <c r="M655" s="10" t="inlineStr">
        <is>
          <t>公式サイトで確認。076-437-9950を載せるサイトは誤記の可能性</t>
        </is>
      </c>
      <c r="N655" s="11" t="inlineStr">
        <is>
          <t>https://www.koho.ac.jp/ ; https://school.js88.com/scl_h/22024520</t>
        </is>
      </c>
      <c r="O655" s="12" t="inlineStr">
        <is>
          <t>開く</t>
        </is>
      </c>
    </row>
    <row r="656">
      <c r="A656" s="4" t="n">
        <v>652</v>
      </c>
      <c r="B656" s="5" t="inlineStr">
        <is>
          <t>富山県</t>
        </is>
      </c>
      <c r="C656" s="5" t="inlineStr">
        <is>
          <t>高岡市</t>
        </is>
      </c>
      <c r="D656" s="5" t="inlineStr">
        <is>
          <t>高岡向陵高等学校</t>
        </is>
      </c>
      <c r="E656" s="6" t="inlineStr">
        <is>
          <t>0766-23-0762</t>
        </is>
      </c>
      <c r="F656" s="7" t="inlineStr">
        <is>
          <t>高</t>
        </is>
      </c>
      <c r="G656" s="5" t="inlineStr">
        <is>
          <t>普通科</t>
        </is>
      </c>
      <c r="H656" s="8" t="n"/>
      <c r="I656" s="9" t="n"/>
      <c r="J656" s="9" t="inlineStr">
        <is>
          <t>未架電</t>
        </is>
      </c>
      <c r="K656" s="8" t="n"/>
      <c r="L656" s="9" t="n"/>
      <c r="M656" s="10" t="inlineStr">
        <is>
          <t>公式サイトほかで一致</t>
        </is>
      </c>
      <c r="N656" s="11" t="inlineStr">
        <is>
          <t>https://takaokakoryo-h.ed.jp/ ; https://www.mapion.co.jp/phonebook/M11004/16202/ILSP0000041111_ipclm/</t>
        </is>
      </c>
      <c r="O656" s="12" t="inlineStr">
        <is>
          <t>開く</t>
        </is>
      </c>
    </row>
    <row r="657">
      <c r="A657" s="4" t="n">
        <v>653</v>
      </c>
      <c r="B657" s="5" t="inlineStr">
        <is>
          <t>富山県</t>
        </is>
      </c>
      <c r="C657" s="5" t="inlineStr">
        <is>
          <t>高岡市</t>
        </is>
      </c>
      <c r="D657" s="5" t="inlineStr">
        <is>
          <t>高岡第一高等学校</t>
        </is>
      </c>
      <c r="E657" s="6" t="inlineStr">
        <is>
          <t>0766-22-6336</t>
        </is>
      </c>
      <c r="F657" s="7" t="inlineStr">
        <is>
          <t>高</t>
        </is>
      </c>
      <c r="G657" s="5" t="inlineStr">
        <is>
          <t>普通科</t>
        </is>
      </c>
      <c r="H657" s="8" t="n"/>
      <c r="I657" s="9" t="n"/>
      <c r="J657" s="9" t="inlineStr">
        <is>
          <t>未架電</t>
        </is>
      </c>
      <c r="K657" s="8" t="n"/>
      <c r="L657" s="9" t="n"/>
      <c r="M657" s="10" t="inlineStr">
        <is>
          <t>公式サイトで確認</t>
        </is>
      </c>
      <c r="N657" s="11" t="inlineStr">
        <is>
          <t>https://www.takaoka1-h.ed.jp/ ; https://www.takaoka.ac.jp/gakuen</t>
        </is>
      </c>
      <c r="O657" s="12" t="inlineStr">
        <is>
          <t>開く</t>
        </is>
      </c>
    </row>
    <row r="658">
      <c r="A658" s="4" t="n">
        <v>654</v>
      </c>
      <c r="B658" s="5" t="inlineStr">
        <is>
          <t>富山県</t>
        </is>
      </c>
      <c r="C658" s="5" t="inlineStr">
        <is>
          <t>高岡市</t>
        </is>
      </c>
      <c r="D658" s="5" t="inlineStr">
        <is>
          <t>高岡龍谷高等学校</t>
        </is>
      </c>
      <c r="E658" s="6" t="inlineStr">
        <is>
          <t>0766-22-5141</t>
        </is>
      </c>
      <c r="F658" s="7" t="inlineStr">
        <is>
          <t>高</t>
        </is>
      </c>
      <c r="G658" s="5" t="inlineStr">
        <is>
          <t>普通科</t>
        </is>
      </c>
      <c r="H658" s="8" t="n"/>
      <c r="I658" s="9" t="n"/>
      <c r="J658" s="9" t="inlineStr">
        <is>
          <t>未架電</t>
        </is>
      </c>
      <c r="K658" s="8" t="n"/>
      <c r="L658" s="9" t="n"/>
      <c r="M658" s="10" t="inlineStr">
        <is>
          <t>公式サイトで確認。龍谷富山とは別の学校</t>
        </is>
      </c>
      <c r="N658" s="11" t="inlineStr">
        <is>
          <t>https://www.takaokaryukoku-h.ed.jp/contact/</t>
        </is>
      </c>
      <c r="O658" s="12" t="inlineStr">
        <is>
          <t>開く</t>
        </is>
      </c>
    </row>
    <row r="659">
      <c r="A659" s="4" t="n">
        <v>655</v>
      </c>
      <c r="B659" s="5" t="inlineStr">
        <is>
          <t>富山県</t>
        </is>
      </c>
      <c r="C659" s="5" t="inlineStr">
        <is>
          <t>富山市</t>
        </is>
      </c>
      <c r="D659" s="5" t="inlineStr">
        <is>
          <t>富山国際大学付属高等学校</t>
        </is>
      </c>
      <c r="E659" s="6" t="inlineStr">
        <is>
          <t>076-434-0577</t>
        </is>
      </c>
      <c r="F659" s="7" t="inlineStr">
        <is>
          <t>高</t>
        </is>
      </c>
      <c r="G659" s="5" t="inlineStr">
        <is>
          <t>普通科</t>
        </is>
      </c>
      <c r="H659" s="8" t="n"/>
      <c r="I659" s="9" t="n"/>
      <c r="J659" s="9" t="inlineStr">
        <is>
          <t>未架電</t>
        </is>
      </c>
      <c r="K659" s="8" t="n"/>
      <c r="L659" s="9" t="n"/>
      <c r="M659" s="10" t="inlineStr">
        <is>
          <t>公式サイトに「代表」と記載</t>
        </is>
      </c>
      <c r="N659" s="11" t="inlineStr">
        <is>
          <t>https://www.tuins-h.ed.jp/contact/</t>
        </is>
      </c>
      <c r="O659" s="12" t="inlineStr">
        <is>
          <t>開く</t>
        </is>
      </c>
    </row>
    <row r="660">
      <c r="A660" s="4" t="n">
        <v>656</v>
      </c>
      <c r="B660" s="5" t="inlineStr">
        <is>
          <t>富山県</t>
        </is>
      </c>
      <c r="C660" s="5" t="inlineStr">
        <is>
          <t>富山市</t>
        </is>
      </c>
      <c r="D660" s="5" t="inlineStr">
        <is>
          <t>富山第一高等学校</t>
        </is>
      </c>
      <c r="E660" s="6" t="inlineStr">
        <is>
          <t>076-451-3396</t>
        </is>
      </c>
      <c r="F660" s="7" t="inlineStr">
        <is>
          <t>高</t>
        </is>
      </c>
      <c r="G660" s="5" t="inlineStr">
        <is>
          <t>普通科</t>
        </is>
      </c>
      <c r="H660" s="8" t="n"/>
      <c r="I660" s="9" t="n"/>
      <c r="J660" s="9" t="inlineStr">
        <is>
          <t>未架電</t>
        </is>
      </c>
      <c r="K660" s="8" t="n"/>
      <c r="L660" s="9" t="n"/>
      <c r="M660" s="10" t="inlineStr">
        <is>
          <t>公式サイトで確認</t>
        </is>
      </c>
      <c r="N660" s="11" t="inlineStr">
        <is>
          <t>https://www.tomiichi.ed.jp/access</t>
        </is>
      </c>
      <c r="O660" s="12" t="inlineStr">
        <is>
          <t>開く</t>
        </is>
      </c>
    </row>
    <row r="661">
      <c r="A661" s="4" t="n">
        <v>657</v>
      </c>
      <c r="B661" s="5" t="inlineStr">
        <is>
          <t>富山県</t>
        </is>
      </c>
      <c r="C661" s="5" t="inlineStr">
        <is>
          <t>魚津市</t>
        </is>
      </c>
      <c r="D661" s="5" t="inlineStr">
        <is>
          <t>新川高等学校</t>
        </is>
      </c>
      <c r="E661" s="6" t="inlineStr">
        <is>
          <t>0765-24-2015</t>
        </is>
      </c>
      <c r="F661" s="7" t="inlineStr">
        <is>
          <t>高</t>
        </is>
      </c>
      <c r="G661" s="5" t="inlineStr">
        <is>
          <t>普通科</t>
        </is>
      </c>
      <c r="H661" s="8" t="n"/>
      <c r="I661" s="9" t="n"/>
      <c r="J661" s="9" t="inlineStr">
        <is>
          <t>未架電</t>
        </is>
      </c>
      <c r="K661" s="8" t="n"/>
      <c r="L661" s="9" t="n"/>
      <c r="M661" s="10" t="inlineStr">
        <is>
          <t>公式サイトで確認。県立新川みどり野高校（0765-22-3535）とは別の学校</t>
        </is>
      </c>
      <c r="N661" s="11" t="inlineStr">
        <is>
          <t>https://niikawa.ed.jp/ ; https://www.mapion.co.jp/phonebook/M11004/16204/ILSP0000040613_ipclm/</t>
        </is>
      </c>
      <c r="O661" s="12" t="inlineStr">
        <is>
          <t>開く</t>
        </is>
      </c>
    </row>
    <row r="662">
      <c r="A662" s="4" t="n">
        <v>658</v>
      </c>
      <c r="B662" s="5" t="inlineStr">
        <is>
          <t>富山県</t>
        </is>
      </c>
      <c r="C662" s="5" t="inlineStr">
        <is>
          <t>富山市</t>
        </is>
      </c>
      <c r="D662" s="5" t="inlineStr">
        <is>
          <t>不二越工業高等学校</t>
        </is>
      </c>
      <c r="E662" s="6" t="inlineStr">
        <is>
          <t>076-425-8304</t>
        </is>
      </c>
      <c r="F662" s="7" t="inlineStr">
        <is>
          <t>高</t>
        </is>
      </c>
      <c r="G662" s="5" t="inlineStr">
        <is>
          <t>専門学科</t>
        </is>
      </c>
      <c r="H662" s="8" t="n"/>
      <c r="I662" s="9" t="n"/>
      <c r="J662" s="9" t="inlineStr">
        <is>
          <t>未架電</t>
        </is>
      </c>
      <c r="K662" s="8" t="n"/>
      <c r="L662" s="9" t="n"/>
      <c r="M662" s="10" t="inlineStr">
        <is>
          <t>公式Instagramと複数サイトで一致</t>
        </is>
      </c>
      <c r="N662" s="11" t="inlineStr">
        <is>
          <t>https://www.mapion.co.jp/phonebook/M11004/16201/ILSP0000040920_ipclm/ ; https://www.instagram.com/fujikoshi.technical.highschool/</t>
        </is>
      </c>
      <c r="O662" s="12" t="inlineStr">
        <is>
          <t>開く</t>
        </is>
      </c>
    </row>
    <row r="663">
      <c r="A663" s="4" t="n">
        <v>659</v>
      </c>
      <c r="B663" s="5" t="inlineStr">
        <is>
          <t>富山県</t>
        </is>
      </c>
      <c r="C663" s="5" t="inlineStr">
        <is>
          <t>富山市</t>
        </is>
      </c>
      <c r="D663" s="5" t="inlineStr">
        <is>
          <t>龍谷富山高等学校</t>
        </is>
      </c>
      <c r="E663" s="6" t="inlineStr">
        <is>
          <t>076-441-3141</t>
        </is>
      </c>
      <c r="F663" s="7" t="inlineStr">
        <is>
          <t>高</t>
        </is>
      </c>
      <c r="G663" s="5" t="inlineStr">
        <is>
          <t>普通科</t>
        </is>
      </c>
      <c r="H663" s="8" t="n"/>
      <c r="I663" s="9" t="n"/>
      <c r="J663" s="9" t="inlineStr">
        <is>
          <t>未架電</t>
        </is>
      </c>
      <c r="K663" s="8" t="n"/>
      <c r="L663" s="9" t="n"/>
      <c r="M663" s="10" t="inlineStr">
        <is>
          <t>公式サイトで確認。高岡龍谷とは別の学校</t>
        </is>
      </c>
      <c r="N663" s="11" t="inlineStr">
        <is>
          <t>https://ryukokutoyama.jp/contact</t>
        </is>
      </c>
      <c r="O663" s="12" t="inlineStr">
        <is>
          <t>開く</t>
        </is>
      </c>
    </row>
    <row r="664">
      <c r="A664" s="4" t="n">
        <v>660</v>
      </c>
      <c r="B664" s="5" t="inlineStr">
        <is>
          <t>石川県</t>
        </is>
      </c>
      <c r="C664" s="5" t="inlineStr">
        <is>
          <t>白山市</t>
        </is>
      </c>
      <c r="D664" s="5" t="inlineStr">
        <is>
          <t>アットマーク国際高等学校</t>
        </is>
      </c>
      <c r="E664" s="6" t="inlineStr">
        <is>
          <t>076-278-8778</t>
        </is>
      </c>
      <c r="F664" s="13" t="inlineStr">
        <is>
          <t>中</t>
        </is>
      </c>
      <c r="G664" s="5" t="inlineStr">
        <is>
          <t>総合学科</t>
        </is>
      </c>
      <c r="H664" s="8" t="n"/>
      <c r="I664" s="9" t="n"/>
      <c r="J664" s="9" t="inlineStr">
        <is>
          <t>未架電</t>
        </is>
      </c>
      <c r="K664" s="8" t="n"/>
      <c r="L664" s="9" t="n"/>
      <c r="M664" s="10" t="inlineStr">
        <is>
          <t>通信制。白山市の本校の番号（電話帳サイトで一致、公式未確認）。公式の窓口は入学相談フリーダイヤル0120-5931-87。金沢学習センターは076-265-6888</t>
        </is>
      </c>
      <c r="N664" s="11" t="inlineStr">
        <is>
          <t>https://www.mapion.co.jp/phonebook/M11004/17210/ILSP0000041103_ipclm/ ; https://school.js88.com/scl_h/34028535</t>
        </is>
      </c>
      <c r="O664" s="12" t="inlineStr">
        <is>
          <t>開く</t>
        </is>
      </c>
    </row>
    <row r="665">
      <c r="A665" s="4" t="n">
        <v>661</v>
      </c>
      <c r="B665" s="5" t="inlineStr">
        <is>
          <t>石川県</t>
        </is>
      </c>
      <c r="C665" s="5" t="inlineStr">
        <is>
          <t>七尾市</t>
        </is>
      </c>
      <c r="D665" s="5" t="inlineStr">
        <is>
          <t>鵬学園高等学校</t>
        </is>
      </c>
      <c r="E665" s="6" t="inlineStr">
        <is>
          <t>0767-53-2184</t>
        </is>
      </c>
      <c r="F665" s="7" t="inlineStr">
        <is>
          <t>高</t>
        </is>
      </c>
      <c r="G665" s="5" t="inlineStr">
        <is>
          <t>普通科・専門学科</t>
        </is>
      </c>
      <c r="H665" s="8" t="n"/>
      <c r="I665" s="9" t="n"/>
      <c r="J665" s="9" t="inlineStr">
        <is>
          <t>未架電</t>
        </is>
      </c>
      <c r="K665" s="8" t="n"/>
      <c r="L665" s="9" t="n"/>
      <c r="M665" s="10" t="inlineStr">
        <is>
          <t>公式サイトで確認。フリーダイヤル0120-218-455もあり</t>
        </is>
      </c>
      <c r="N665" s="11" t="inlineStr">
        <is>
          <t>https://www.ohtori.ed.jp/access/</t>
        </is>
      </c>
      <c r="O665" s="12" t="inlineStr">
        <is>
          <t>開く</t>
        </is>
      </c>
    </row>
    <row r="666">
      <c r="A666" s="4" t="n">
        <v>662</v>
      </c>
      <c r="B666" s="5" t="inlineStr">
        <is>
          <t>石川県</t>
        </is>
      </c>
      <c r="C666" s="5" t="inlineStr">
        <is>
          <t>金沢市</t>
        </is>
      </c>
      <c r="D666" s="5" t="inlineStr">
        <is>
          <t>金沢学院大学附属高等学校</t>
        </is>
      </c>
      <c r="E666" s="6" t="inlineStr">
        <is>
          <t>076-229-1180</t>
        </is>
      </c>
      <c r="F666" s="7" t="inlineStr">
        <is>
          <t>高</t>
        </is>
      </c>
      <c r="G666" s="5" t="inlineStr">
        <is>
          <t>普通科</t>
        </is>
      </c>
      <c r="H666" s="8" t="n"/>
      <c r="I666" s="9" t="n"/>
      <c r="J666" s="9" t="inlineStr">
        <is>
          <t>未架電</t>
        </is>
      </c>
      <c r="K666" s="8" t="n"/>
      <c r="L666" s="9" t="n"/>
      <c r="M666" s="10" t="inlineStr">
        <is>
          <t>公式サイトに「代表」と記載</t>
        </is>
      </c>
      <c r="N666" s="11" t="inlineStr">
        <is>
          <t>https://www.kanazawa-gu.ac.jp/hs/</t>
        </is>
      </c>
      <c r="O666" s="12" t="inlineStr">
        <is>
          <t>開く</t>
        </is>
      </c>
    </row>
    <row r="667">
      <c r="A667" s="4" t="n">
        <v>663</v>
      </c>
      <c r="B667" s="5" t="inlineStr">
        <is>
          <t>石川県</t>
        </is>
      </c>
      <c r="C667" s="5" t="inlineStr">
        <is>
          <t>金沢市</t>
        </is>
      </c>
      <c r="D667" s="5" t="inlineStr">
        <is>
          <t>金沢高等学校</t>
        </is>
      </c>
      <c r="E667" s="6" t="inlineStr">
        <is>
          <t>076-242-3321</t>
        </is>
      </c>
      <c r="F667" s="7" t="inlineStr">
        <is>
          <t>高</t>
        </is>
      </c>
      <c r="G667" s="5" t="inlineStr">
        <is>
          <t>普通科</t>
        </is>
      </c>
      <c r="H667" s="8" t="n"/>
      <c r="I667" s="9" t="n"/>
      <c r="J667" s="9" t="inlineStr">
        <is>
          <t>未架電</t>
        </is>
      </c>
      <c r="K667" s="8" t="n"/>
      <c r="L667" s="9" t="n"/>
      <c r="M667" s="10" t="inlineStr">
        <is>
          <t>公式サイトと石川県の私立学校一覧で一致</t>
        </is>
      </c>
      <c r="N667" s="11" t="inlineStr">
        <is>
          <t>https://kanazawa-hs.jp/access/ ; https://www.pref.ishikawa.lg.jp/soumu/bunkyo/bunkyo2.html</t>
        </is>
      </c>
      <c r="O667" s="12" t="inlineStr">
        <is>
          <t>開く</t>
        </is>
      </c>
    </row>
    <row r="668">
      <c r="A668" s="4" t="n">
        <v>664</v>
      </c>
      <c r="B668" s="5" t="inlineStr">
        <is>
          <t>石川県</t>
        </is>
      </c>
      <c r="C668" s="5" t="inlineStr">
        <is>
          <t>金沢市</t>
        </is>
      </c>
      <c r="D668" s="5" t="inlineStr">
        <is>
          <t>金沢龍谷高等学校</t>
        </is>
      </c>
      <c r="E668" s="6" t="inlineStr">
        <is>
          <t>076-240-7777</t>
        </is>
      </c>
      <c r="F668" s="7" t="inlineStr">
        <is>
          <t>高</t>
        </is>
      </c>
      <c r="G668" s="5" t="inlineStr">
        <is>
          <t>普通科</t>
        </is>
      </c>
      <c r="H668" s="8" t="n"/>
      <c r="I668" s="9" t="n"/>
      <c r="J668" s="9" t="inlineStr">
        <is>
          <t>未架電</t>
        </is>
      </c>
      <c r="K668" s="8" t="n"/>
      <c r="L668" s="9" t="n"/>
      <c r="M668" s="10" t="inlineStr">
        <is>
          <t>公式サイトで確認。中等部と共通</t>
        </is>
      </c>
      <c r="N668" s="11" t="inlineStr">
        <is>
          <t>https://www.kanazawa-ryukoku.jp/</t>
        </is>
      </c>
      <c r="O668" s="12" t="inlineStr">
        <is>
          <t>開く</t>
        </is>
      </c>
    </row>
    <row r="669">
      <c r="A669" s="4" t="n">
        <v>665</v>
      </c>
      <c r="B669" s="5" t="inlineStr">
        <is>
          <t>石川県</t>
        </is>
      </c>
      <c r="C669" s="5" t="inlineStr">
        <is>
          <t>小松市</t>
        </is>
      </c>
      <c r="D669" s="5" t="inlineStr">
        <is>
          <t>小松大谷高等学校</t>
        </is>
      </c>
      <c r="E669" s="6" t="inlineStr">
        <is>
          <t>0761-44-2551</t>
        </is>
      </c>
      <c r="F669" s="7" t="inlineStr">
        <is>
          <t>高</t>
        </is>
      </c>
      <c r="G669" s="5" t="inlineStr">
        <is>
          <t>普通科・専門学科</t>
        </is>
      </c>
      <c r="H669" s="8" t="n"/>
      <c r="I669" s="9" t="n"/>
      <c r="J669" s="9" t="inlineStr">
        <is>
          <t>未架電</t>
        </is>
      </c>
      <c r="K669" s="8" t="n"/>
      <c r="L669" s="9" t="n"/>
      <c r="M669" s="10" t="inlineStr">
        <is>
          <t>公式サイトで確認。粟津学舎は0761-44-2552</t>
        </is>
      </c>
      <c r="N669" s="11" t="inlineStr">
        <is>
          <t>https://komatsu-otani.jp/category12/</t>
        </is>
      </c>
      <c r="O669" s="12" t="inlineStr">
        <is>
          <t>開く</t>
        </is>
      </c>
    </row>
    <row r="670">
      <c r="A670" s="4" t="n">
        <v>666</v>
      </c>
      <c r="B670" s="5" t="inlineStr">
        <is>
          <t>石川県</t>
        </is>
      </c>
      <c r="C670" s="5" t="inlineStr">
        <is>
          <t>金沢市</t>
        </is>
      </c>
      <c r="D670" s="5" t="inlineStr">
        <is>
          <t>星稜高等学校</t>
        </is>
      </c>
      <c r="E670" s="6" t="inlineStr">
        <is>
          <t>076-252-2237</t>
        </is>
      </c>
      <c r="F670" s="7" t="inlineStr">
        <is>
          <t>高</t>
        </is>
      </c>
      <c r="G670" s="5" t="inlineStr">
        <is>
          <t>普通科</t>
        </is>
      </c>
      <c r="H670" s="8" t="n"/>
      <c r="I670" s="9" t="n"/>
      <c r="J670" s="9" t="inlineStr">
        <is>
          <t>未架電</t>
        </is>
      </c>
      <c r="K670" s="8" t="n"/>
      <c r="L670" s="9" t="n"/>
      <c r="M670" s="10" t="inlineStr">
        <is>
          <t>公式サイトで確認</t>
        </is>
      </c>
      <c r="N670" s="11" t="inlineStr">
        <is>
          <t>https://www.seiryo-hs.jp/s/ ; https://www.mapion.co.jp/phonebook/M11004/17201/ILSP0000041122_ipclm/</t>
        </is>
      </c>
      <c r="O670" s="12" t="inlineStr">
        <is>
          <t>開く</t>
        </is>
      </c>
    </row>
    <row r="671">
      <c r="A671" s="4" t="n">
        <v>667</v>
      </c>
      <c r="B671" s="5" t="inlineStr">
        <is>
          <t>石川県</t>
        </is>
      </c>
      <c r="C671" s="5" t="inlineStr">
        <is>
          <t>輪島市</t>
        </is>
      </c>
      <c r="D671" s="5" t="inlineStr">
        <is>
          <t>日本航空高等学校石川</t>
        </is>
      </c>
      <c r="E671" s="6" t="inlineStr">
        <is>
          <t>0768-26-2255</t>
        </is>
      </c>
      <c r="F671" s="13" t="inlineStr">
        <is>
          <t>中</t>
        </is>
      </c>
      <c r="G671" s="5" t="inlineStr">
        <is>
          <t>専門学科</t>
        </is>
      </c>
      <c r="H671" s="8" t="n"/>
      <c r="I671" s="9" t="n"/>
      <c r="J671" s="9" t="inlineStr">
        <is>
          <t>未架電</t>
        </is>
      </c>
      <c r="K671" s="8" t="n"/>
      <c r="L671" s="9" t="n"/>
      <c r="M671" s="10" t="inlineStr">
        <is>
          <t>【被災】能登空港キャンパスの番号（0768-26-2200の記載もあり）。2024年の地震後、一部機能を東京都青梅市へ移転（青梅キャンパス0428-27-0083）。2025年3月から一部生徒が輪島に戻っている。現状要確認</t>
        </is>
      </c>
      <c r="N671" s="11" t="inlineStr">
        <is>
          <t>https://www.jaaw-hs.net/campus/notoairport_campus/campus_info</t>
        </is>
      </c>
      <c r="O671" s="12" t="inlineStr">
        <is>
          <t>開く</t>
        </is>
      </c>
    </row>
    <row r="672">
      <c r="A672" s="4" t="n">
        <v>668</v>
      </c>
      <c r="B672" s="5" t="inlineStr">
        <is>
          <t>石川県</t>
        </is>
      </c>
      <c r="C672" s="5" t="inlineStr">
        <is>
          <t>金沢市</t>
        </is>
      </c>
      <c r="D672" s="5" t="inlineStr">
        <is>
          <t>北陸学院高等学校</t>
        </is>
      </c>
      <c r="E672" s="6" t="inlineStr">
        <is>
          <t>076-221-1944</t>
        </is>
      </c>
      <c r="F672" s="7" t="inlineStr">
        <is>
          <t>高</t>
        </is>
      </c>
      <c r="G672" s="5" t="inlineStr">
        <is>
          <t>普通科</t>
        </is>
      </c>
      <c r="H672" s="8" t="n"/>
      <c r="I672" s="9" t="n"/>
      <c r="J672" s="9" t="inlineStr">
        <is>
          <t>未架電</t>
        </is>
      </c>
      <c r="K672" s="8" t="n"/>
      <c r="L672" s="9" t="n"/>
      <c r="M672" s="10" t="inlineStr">
        <is>
          <t>公式サイトで確認（中高の問い合わせ先）</t>
        </is>
      </c>
      <c r="N672" s="11" t="inlineStr">
        <is>
          <t>https://www.hokurikugakuin.ac.jp/sj/contact/index.html</t>
        </is>
      </c>
      <c r="O672" s="12" t="inlineStr">
        <is>
          <t>開く</t>
        </is>
      </c>
    </row>
    <row r="673">
      <c r="A673" s="4" t="n">
        <v>669</v>
      </c>
      <c r="B673" s="5" t="inlineStr">
        <is>
          <t>石川県</t>
        </is>
      </c>
      <c r="C673" s="5" t="inlineStr">
        <is>
          <t>金沢市</t>
        </is>
      </c>
      <c r="D673" s="5" t="inlineStr">
        <is>
          <t>遊学館高等学校</t>
        </is>
      </c>
      <c r="E673" s="6" t="inlineStr">
        <is>
          <t>076-262-8484</t>
        </is>
      </c>
      <c r="F673" s="7" t="inlineStr">
        <is>
          <t>高</t>
        </is>
      </c>
      <c r="G673" s="5" t="inlineStr">
        <is>
          <t>普通科</t>
        </is>
      </c>
      <c r="H673" s="8" t="n"/>
      <c r="I673" s="9" t="n"/>
      <c r="J673" s="9" t="inlineStr">
        <is>
          <t>未架電</t>
        </is>
      </c>
      <c r="K673" s="8" t="n"/>
      <c r="L673" s="9" t="n"/>
      <c r="M673" s="10" t="inlineStr">
        <is>
          <t>複数サイトで一致、公式未確認</t>
        </is>
      </c>
      <c r="N673" s="11" t="inlineStr">
        <is>
          <t>https://www.mapion.co.jp/phonebook/M11004/17201/ILSP0000041055_ipclm/ ; https://www.gakkou.net/kou/view/index_302899.html</t>
        </is>
      </c>
      <c r="O673" s="12" t="inlineStr">
        <is>
          <t>開く</t>
        </is>
      </c>
    </row>
    <row r="674">
      <c r="A674" s="4" t="n">
        <v>670</v>
      </c>
      <c r="B674" s="5" t="inlineStr">
        <is>
          <t>福井県</t>
        </is>
      </c>
      <c r="C674" s="5" t="inlineStr">
        <is>
          <t>福井市</t>
        </is>
      </c>
      <c r="D674" s="5" t="inlineStr">
        <is>
          <t>啓新高等学校</t>
        </is>
      </c>
      <c r="E674" s="6" t="inlineStr">
        <is>
          <t>0776-23-3489</t>
        </is>
      </c>
      <c r="F674" s="7" t="inlineStr">
        <is>
          <t>高</t>
        </is>
      </c>
      <c r="G674" s="5" t="inlineStr">
        <is>
          <t>普通科・専門学科</t>
        </is>
      </c>
      <c r="H674" s="8" t="n"/>
      <c r="I674" s="9" t="n"/>
      <c r="J674" s="9" t="inlineStr">
        <is>
          <t>未架電</t>
        </is>
      </c>
      <c r="K674" s="8" t="n"/>
      <c r="L674" s="9" t="n"/>
      <c r="M674" s="10" t="inlineStr">
        <is>
          <t>全日制の番号（公式サイト）。通信制課程は0776-63-6448</t>
        </is>
      </c>
      <c r="N674" s="11" t="inlineStr">
        <is>
          <t>https://www.keishin.ed.jp/ ; https://www.mapion.co.jp/phonebook/M11004/18201/ILSP0000041008_ipclm/</t>
        </is>
      </c>
      <c r="O674" s="12" t="inlineStr">
        <is>
          <t>開く</t>
        </is>
      </c>
    </row>
    <row r="675">
      <c r="A675" s="4" t="n">
        <v>671</v>
      </c>
      <c r="B675" s="5" t="inlineStr">
        <is>
          <t>福井県</t>
        </is>
      </c>
      <c r="C675" s="5" t="inlineStr">
        <is>
          <t>福井市</t>
        </is>
      </c>
      <c r="D675" s="5" t="inlineStr">
        <is>
          <t>仁愛女子高等学校</t>
        </is>
      </c>
      <c r="E675" s="6" t="inlineStr">
        <is>
          <t>0776-24-0493</t>
        </is>
      </c>
      <c r="F675" s="7" t="inlineStr">
        <is>
          <t>高</t>
        </is>
      </c>
      <c r="G675" s="5" t="inlineStr">
        <is>
          <t>普通科</t>
        </is>
      </c>
      <c r="H675" s="8" t="n"/>
      <c r="I675" s="9" t="n"/>
      <c r="J675" s="9" t="inlineStr">
        <is>
          <t>未架電</t>
        </is>
      </c>
      <c r="K675" s="8" t="n"/>
      <c r="L675" s="9" t="n"/>
      <c r="M675" s="10" t="inlineStr">
        <is>
          <t>公式サイトで確認</t>
        </is>
      </c>
      <c r="N675" s="11" t="inlineStr">
        <is>
          <t>https://www.jin-ai-h.ed.jp/ ; https://www.mapion.co.jp/phonebook/M11004/18201/ILSP0000041741_ipclm/</t>
        </is>
      </c>
      <c r="O675" s="12" t="inlineStr">
        <is>
          <t>開く</t>
        </is>
      </c>
    </row>
    <row r="676">
      <c r="A676" s="4" t="n">
        <v>672</v>
      </c>
      <c r="B676" s="5" t="inlineStr">
        <is>
          <t>福井県</t>
        </is>
      </c>
      <c r="C676" s="5" t="inlineStr">
        <is>
          <t>敦賀市</t>
        </is>
      </c>
      <c r="D676" s="5" t="inlineStr">
        <is>
          <t>敦賀気比高等学校</t>
        </is>
      </c>
      <c r="E676" s="6" t="inlineStr">
        <is>
          <t>0770-24-2150</t>
        </is>
      </c>
      <c r="F676" s="7" t="inlineStr">
        <is>
          <t>高</t>
        </is>
      </c>
      <c r="G676" s="5" t="inlineStr">
        <is>
          <t>普通科</t>
        </is>
      </c>
      <c r="H676" s="8" t="n"/>
      <c r="I676" s="9" t="n"/>
      <c r="J676" s="9" t="inlineStr">
        <is>
          <t>未架電</t>
        </is>
      </c>
      <c r="K676" s="8" t="n"/>
      <c r="L676" s="9" t="n"/>
      <c r="M676" s="10" t="inlineStr">
        <is>
          <t>公式サイトで確認</t>
        </is>
      </c>
      <c r="N676" s="11" t="inlineStr">
        <is>
          <t>https://tsurugakehi.ed.jp/contact</t>
        </is>
      </c>
      <c r="O676" s="12" t="inlineStr">
        <is>
          <t>開く</t>
        </is>
      </c>
    </row>
    <row r="677">
      <c r="A677" s="4" t="n">
        <v>673</v>
      </c>
      <c r="B677" s="5" t="inlineStr">
        <is>
          <t>福井県</t>
        </is>
      </c>
      <c r="C677" s="5" t="inlineStr">
        <is>
          <t>福井市</t>
        </is>
      </c>
      <c r="D677" s="5" t="inlineStr">
        <is>
          <t>福井工業大学附属福井高等学校</t>
        </is>
      </c>
      <c r="E677" s="6" t="inlineStr">
        <is>
          <t>0776-29-2630</t>
        </is>
      </c>
      <c r="F677" s="7" t="inlineStr">
        <is>
          <t>高</t>
        </is>
      </c>
      <c r="G677" s="5" t="inlineStr">
        <is>
          <t>普通科・専門学科</t>
        </is>
      </c>
      <c r="H677" s="8" t="n"/>
      <c r="I677" s="9" t="n"/>
      <c r="J677" s="9" t="inlineStr">
        <is>
          <t>未架電</t>
        </is>
      </c>
      <c r="K677" s="8" t="n"/>
      <c r="L677" s="9" t="n"/>
      <c r="M677" s="10" t="inlineStr">
        <is>
          <t>公式サイトの問い合わせ・アクセスページで一致。0776-29-2640などの旧番号が残っているページもあり</t>
        </is>
      </c>
      <c r="N677" s="11" t="inlineStr">
        <is>
          <t>https://www.fukui-ut-fukui-h.ed.jp/high/contact/ ; https://www.fukui-ut-fukui-h.ed.jp/access/</t>
        </is>
      </c>
      <c r="O677" s="12" t="inlineStr">
        <is>
          <t>開く</t>
        </is>
      </c>
    </row>
    <row r="678">
      <c r="A678" s="4" t="n">
        <v>674</v>
      </c>
      <c r="B678" s="5" t="inlineStr">
        <is>
          <t>福井県</t>
        </is>
      </c>
      <c r="C678" s="5" t="inlineStr">
        <is>
          <t>福井市</t>
        </is>
      </c>
      <c r="D678" s="5" t="inlineStr">
        <is>
          <t>福井南高等学校</t>
        </is>
      </c>
      <c r="E678" s="6" t="inlineStr">
        <is>
          <t>0776-38-7711</t>
        </is>
      </c>
      <c r="F678" s="7" t="inlineStr">
        <is>
          <t>高</t>
        </is>
      </c>
      <c r="G678" s="5" t="inlineStr">
        <is>
          <t>総合学科</t>
        </is>
      </c>
      <c r="H678" s="8" t="n"/>
      <c r="I678" s="9" t="n"/>
      <c r="J678" s="9" t="inlineStr">
        <is>
          <t>未架電</t>
        </is>
      </c>
      <c r="K678" s="8" t="n"/>
      <c r="L678" s="9" t="n"/>
      <c r="M678" s="10" t="inlineStr">
        <is>
          <t>公式サイトに「代表」と記載。定時制（昼間・単位制）</t>
        </is>
      </c>
      <c r="N678" s="11" t="inlineStr">
        <is>
          <t>https://www.fukuiminami.ed.jp/%E3%82%A2%E3%82%AF%E3%82%BB%E3%82%B9</t>
        </is>
      </c>
      <c r="O678" s="12" t="inlineStr">
        <is>
          <t>開く</t>
        </is>
      </c>
    </row>
    <row r="679">
      <c r="A679" s="4" t="n">
        <v>675</v>
      </c>
      <c r="B679" s="5" t="inlineStr">
        <is>
          <t>福井県</t>
        </is>
      </c>
      <c r="C679" s="5" t="inlineStr">
        <is>
          <t>福井市</t>
        </is>
      </c>
      <c r="D679" s="5" t="inlineStr">
        <is>
          <t>北陸高等学校</t>
        </is>
      </c>
      <c r="E679" s="6" t="inlineStr">
        <is>
          <t>0776-23-0321</t>
        </is>
      </c>
      <c r="F679" s="7" t="inlineStr">
        <is>
          <t>高</t>
        </is>
      </c>
      <c r="G679" s="5" t="inlineStr">
        <is>
          <t>普通科・専門学科</t>
        </is>
      </c>
      <c r="H679" s="8" t="n"/>
      <c r="I679" s="9" t="n"/>
      <c r="J679" s="9" t="inlineStr">
        <is>
          <t>未架電</t>
        </is>
      </c>
      <c r="K679" s="8" t="n"/>
      <c r="L679" s="9" t="n"/>
      <c r="M679" s="10" t="inlineStr">
        <is>
          <t>公式サイトで確認。北陸中学校は0776-24-0321。石川県の北陸学院とは別の学校</t>
        </is>
      </c>
      <c r="N679" s="11" t="inlineStr">
        <is>
          <t>https://www.hokuriku.ed.jp/ ; https://www.mapion.co.jp/phonebook/M11004/18201/ILSP0000040913_ipclm/</t>
        </is>
      </c>
      <c r="O679" s="12" t="inlineStr">
        <is>
          <t>開く</t>
        </is>
      </c>
    </row>
    <row r="680">
      <c r="A680" s="4" t="n">
        <v>676</v>
      </c>
      <c r="B680" s="5" t="inlineStr">
        <is>
          <t>山梨県</t>
        </is>
      </c>
      <c r="C680" s="5" t="inlineStr">
        <is>
          <t>甲府市</t>
        </is>
      </c>
      <c r="D680" s="5" t="inlineStr">
        <is>
          <t>甲斐清和高等学校</t>
        </is>
      </c>
      <c r="E680" s="6" t="inlineStr">
        <is>
          <t>055-233-0127</t>
        </is>
      </c>
      <c r="F680" s="7" t="inlineStr">
        <is>
          <t>高</t>
        </is>
      </c>
      <c r="G680" s="5" t="inlineStr">
        <is>
          <t>普通科・専門学科</t>
        </is>
      </c>
      <c r="H680" s="8" t="n"/>
      <c r="I680" s="9" t="n"/>
      <c r="J680" s="9" t="inlineStr">
        <is>
          <t>未架電</t>
        </is>
      </c>
      <c r="K680" s="8" t="n"/>
      <c r="L680" s="9" t="n"/>
      <c r="M680" s="10" t="inlineStr">
        <is>
          <t>2つの情報源で一致。通信制（寿町キャンパス）は055-221-7888</t>
        </is>
      </c>
      <c r="N680" s="11" t="inlineStr">
        <is>
          <t>https://www.mapion.co.jp/phonebook/M11004/19201/ILSP0000041535_ipclm/ ; https://www.navita.co.jp/s/11014626/</t>
        </is>
      </c>
      <c r="O680" s="12" t="inlineStr">
        <is>
          <t>開く</t>
        </is>
      </c>
    </row>
    <row r="681">
      <c r="A681" s="4" t="n">
        <v>677</v>
      </c>
      <c r="B681" s="5" t="inlineStr">
        <is>
          <t>山梨県</t>
        </is>
      </c>
      <c r="C681" s="5" t="inlineStr">
        <is>
          <t>北杜市</t>
        </is>
      </c>
      <c r="D681" s="5" t="inlineStr">
        <is>
          <t>自然学園高等学校</t>
        </is>
      </c>
      <c r="E681" s="6" t="inlineStr">
        <is>
          <t>0551-45-0510</t>
        </is>
      </c>
      <c r="F681" s="7" t="inlineStr">
        <is>
          <t>高</t>
        </is>
      </c>
      <c r="G681" s="5" t="inlineStr">
        <is>
          <t>普通科</t>
        </is>
      </c>
      <c r="H681" s="8" t="n"/>
      <c r="I681" s="9" t="n"/>
      <c r="J681" s="9" t="inlineStr">
        <is>
          <t>未架電</t>
        </is>
      </c>
      <c r="K681" s="8" t="n"/>
      <c r="L681" s="9" t="n"/>
      <c r="M681" s="10" t="inlineStr">
        <is>
          <t>通信制。須玉キャンパス（北杜市）の番号（公式サイト）。甲府キャンパスは055-237-0510</t>
        </is>
      </c>
      <c r="N681" s="11" t="inlineStr">
        <is>
          <t>https://shizengakuen.ed.jp/campus/sutama/ ; https://www.mapion.co.jp/phonebook/M11004/19209/ILSP0000041836_ipclm/</t>
        </is>
      </c>
      <c r="O681" s="12" t="inlineStr">
        <is>
          <t>開く</t>
        </is>
      </c>
    </row>
    <row r="682">
      <c r="A682" s="4" t="n">
        <v>678</v>
      </c>
      <c r="B682" s="5" t="inlineStr">
        <is>
          <t>山梨県</t>
        </is>
      </c>
      <c r="C682" s="5" t="inlineStr">
        <is>
          <t>甲府市</t>
        </is>
      </c>
      <c r="D682" s="5" t="inlineStr">
        <is>
          <t>駿台甲府高等学校</t>
        </is>
      </c>
      <c r="E682" s="6" t="inlineStr">
        <is>
          <t>055-253-6211</t>
        </is>
      </c>
      <c r="F682" s="7" t="inlineStr">
        <is>
          <t>高</t>
        </is>
      </c>
      <c r="G682" s="5" t="inlineStr">
        <is>
          <t>普通科・専門学科</t>
        </is>
      </c>
      <c r="H682" s="8" t="n"/>
      <c r="I682" s="9" t="n"/>
      <c r="J682" s="9" t="inlineStr">
        <is>
          <t>未架電</t>
        </is>
      </c>
      <c r="K682" s="8" t="n"/>
      <c r="L682" s="9" t="n"/>
      <c r="M682" s="10" t="inlineStr">
        <is>
          <t>公式サイトで確認（普通科・塩部キャンパス）。通信制は別番号</t>
        </is>
      </c>
      <c r="N682" s="11" t="inlineStr">
        <is>
          <t>https://www.sundai-kofu.ed.jp/high/info/inquiry.html</t>
        </is>
      </c>
      <c r="O682" s="12" t="inlineStr">
        <is>
          <t>開く</t>
        </is>
      </c>
    </row>
    <row r="683">
      <c r="A683" s="4" t="n">
        <v>679</v>
      </c>
      <c r="B683" s="5" t="inlineStr">
        <is>
          <t>山梨県</t>
        </is>
      </c>
      <c r="C683" s="5" t="inlineStr">
        <is>
          <t>北杜市</t>
        </is>
      </c>
      <c r="D683" s="5" t="inlineStr">
        <is>
          <t>帝京第三高等学校</t>
        </is>
      </c>
      <c r="E683" s="6" t="inlineStr">
        <is>
          <t>0551-36-2411</t>
        </is>
      </c>
      <c r="F683" s="7" t="inlineStr">
        <is>
          <t>高</t>
        </is>
      </c>
      <c r="G683" s="5" t="inlineStr">
        <is>
          <t>普通科</t>
        </is>
      </c>
      <c r="H683" s="8" t="n"/>
      <c r="I683" s="9" t="n"/>
      <c r="J683" s="9" t="inlineStr">
        <is>
          <t>未架電</t>
        </is>
      </c>
      <c r="K683" s="8" t="n"/>
      <c r="L683" s="9" t="n"/>
      <c r="M683" s="10" t="inlineStr">
        <is>
          <t>公式サイトで確認。【校名変更予定】2027年度から「帝京大学青峰高等学校」に改称予定との情報あり</t>
        </is>
      </c>
      <c r="N683" s="11" t="inlineStr">
        <is>
          <t>https://www.teikyo3.ed.jp/ ; https://www.ypec.ed.jp/ypechp/wp-content/uploads/2024/06/49_%E5%B8%9D%E4%BA%AC%E7%AC%AC%E4%B8%89_R6%E3%83%8F%E3%82%A4%E3%82%B9%E3%82%AF%E3%83%BC%E3%83%AB%E3%82%AC%E3%82%A4%E3%83%89.pdf</t>
        </is>
      </c>
      <c r="O683" s="12" t="inlineStr">
        <is>
          <t>開く</t>
        </is>
      </c>
    </row>
    <row r="684">
      <c r="A684" s="4" t="n">
        <v>680</v>
      </c>
      <c r="B684" s="5" t="inlineStr">
        <is>
          <t>山梨県</t>
        </is>
      </c>
      <c r="C684" s="5" t="inlineStr">
        <is>
          <t>甲府市</t>
        </is>
      </c>
      <c r="D684" s="5" t="inlineStr">
        <is>
          <t>東海大学付属甲府高等学校</t>
        </is>
      </c>
      <c r="E684" s="6" t="inlineStr">
        <is>
          <t>055-227-1111</t>
        </is>
      </c>
      <c r="F684" s="7" t="inlineStr">
        <is>
          <t>高</t>
        </is>
      </c>
      <c r="G684" s="5" t="inlineStr">
        <is>
          <t>普通科</t>
        </is>
      </c>
      <c r="H684" s="8" t="n"/>
      <c r="I684" s="9" t="n"/>
      <c r="J684" s="9" t="inlineStr">
        <is>
          <t>未架電</t>
        </is>
      </c>
      <c r="K684" s="8" t="n"/>
      <c r="L684" s="9" t="n"/>
      <c r="M684" s="10" t="inlineStr">
        <is>
          <t>公式サイトに「代表」と記載</t>
        </is>
      </c>
      <c r="N684" s="11" t="inlineStr">
        <is>
          <t>https://www.kofu.tokai.ed.jp/access/</t>
        </is>
      </c>
      <c r="O684" s="12" t="inlineStr">
        <is>
          <t>開く</t>
        </is>
      </c>
    </row>
    <row r="685">
      <c r="A685" s="4" t="n">
        <v>681</v>
      </c>
      <c r="B685" s="5" t="inlineStr">
        <is>
          <t>山梨県</t>
        </is>
      </c>
      <c r="C685" s="5" t="inlineStr">
        <is>
          <t>甲斐市</t>
        </is>
      </c>
      <c r="D685" s="5" t="inlineStr">
        <is>
          <t>日本航空高等学校</t>
        </is>
      </c>
      <c r="E685" s="6" t="inlineStr">
        <is>
          <t>0551-28-3355</t>
        </is>
      </c>
      <c r="F685" s="7" t="inlineStr">
        <is>
          <t>高</t>
        </is>
      </c>
      <c r="G685" s="5" t="inlineStr">
        <is>
          <t>普通科・専門学科</t>
        </is>
      </c>
      <c r="H685" s="8" t="n"/>
      <c r="I685" s="9" t="n"/>
      <c r="J685" s="9" t="inlineStr">
        <is>
          <t>未架電</t>
        </is>
      </c>
      <c r="K685" s="8" t="n"/>
      <c r="L685" s="9" t="n"/>
      <c r="M685" s="10" t="inlineStr">
        <is>
          <t>山梨キャンパス（公式サイト）。通信制は0551-28-0011。北海道キャンパスとは別</t>
        </is>
      </c>
      <c r="N685" s="11" t="inlineStr">
        <is>
          <t>https://www.jaaw-hs.net/yamanashi/access/</t>
        </is>
      </c>
      <c r="O685" s="12" t="inlineStr">
        <is>
          <t>開く</t>
        </is>
      </c>
    </row>
    <row r="686">
      <c r="A686" s="4" t="n">
        <v>682</v>
      </c>
      <c r="B686" s="5" t="inlineStr">
        <is>
          <t>山梨県</t>
        </is>
      </c>
      <c r="C686" s="5" t="inlineStr">
        <is>
          <t>上野原市</t>
        </is>
      </c>
      <c r="D686" s="5" t="inlineStr">
        <is>
          <t>日本大学明誠高等学校</t>
        </is>
      </c>
      <c r="E686" s="6" t="inlineStr">
        <is>
          <t>0554-62-5161</t>
        </is>
      </c>
      <c r="F686" s="7" t="inlineStr">
        <is>
          <t>高</t>
        </is>
      </c>
      <c r="G686" s="5" t="inlineStr">
        <is>
          <t>普通科</t>
        </is>
      </c>
      <c r="H686" s="8" t="n"/>
      <c r="I686" s="9" t="n"/>
      <c r="J686" s="9" t="inlineStr">
        <is>
          <t>未架電</t>
        </is>
      </c>
      <c r="K686" s="8" t="n"/>
      <c r="L686" s="9" t="n"/>
      <c r="M686" s="10" t="inlineStr">
        <is>
          <t>公式サイトで確認</t>
        </is>
      </c>
      <c r="N686" s="11" t="inlineStr">
        <is>
          <t>https://www.meisei.hs.nihon-u.ac.jp/ ; https://www.ypec.ed.jp/ypechp/wp-content/uploads/2023/06/nichidaimeisei.pdf</t>
        </is>
      </c>
      <c r="O686" s="12" t="inlineStr">
        <is>
          <t>開く</t>
        </is>
      </c>
    </row>
    <row r="687">
      <c r="A687" s="4" t="n">
        <v>683</v>
      </c>
      <c r="B687" s="5" t="inlineStr">
        <is>
          <t>山梨県</t>
        </is>
      </c>
      <c r="C687" s="5" t="inlineStr">
        <is>
          <t>富士吉田市</t>
        </is>
      </c>
      <c r="D687" s="5" t="inlineStr">
        <is>
          <t>富士学苑高等学校</t>
        </is>
      </c>
      <c r="E687" s="6" t="inlineStr">
        <is>
          <t>0555-22-0696</t>
        </is>
      </c>
      <c r="F687" s="7" t="inlineStr">
        <is>
          <t>高</t>
        </is>
      </c>
      <c r="G687" s="5" t="inlineStr">
        <is>
          <t>普通科</t>
        </is>
      </c>
      <c r="H687" s="8" t="n"/>
      <c r="I687" s="9" t="n"/>
      <c r="J687" s="9" t="inlineStr">
        <is>
          <t>未架電</t>
        </is>
      </c>
      <c r="K687" s="8" t="n"/>
      <c r="L687" s="9" t="n"/>
      <c r="M687" s="10" t="inlineStr">
        <is>
          <t>公式サイトで確認</t>
        </is>
      </c>
      <c r="N687" s="11" t="inlineStr">
        <is>
          <t>https://gekkouji.ac.jp/access/ ; https://www.mapion.co.jp/phonebook/M11004/19202/ILSP0000040658_ipclm/</t>
        </is>
      </c>
      <c r="O687" s="12" t="inlineStr">
        <is>
          <t>開く</t>
        </is>
      </c>
    </row>
    <row r="688">
      <c r="A688" s="4" t="n">
        <v>684</v>
      </c>
      <c r="B688" s="5" t="inlineStr">
        <is>
          <t>山梨県</t>
        </is>
      </c>
      <c r="C688" s="5" t="inlineStr">
        <is>
          <t>身延町</t>
        </is>
      </c>
      <c r="D688" s="5" t="inlineStr">
        <is>
          <t>身延山高等学校</t>
        </is>
      </c>
      <c r="E688" s="6" t="inlineStr">
        <is>
          <t>0556-62-3500</t>
        </is>
      </c>
      <c r="F688" s="7" t="inlineStr">
        <is>
          <t>高</t>
        </is>
      </c>
      <c r="G688" s="5" t="inlineStr">
        <is>
          <t>普通科</t>
        </is>
      </c>
      <c r="H688" s="8" t="n"/>
      <c r="I688" s="9" t="n"/>
      <c r="J688" s="9" t="inlineStr">
        <is>
          <t>未架電</t>
        </is>
      </c>
      <c r="K688" s="8" t="n"/>
      <c r="L688" s="9" t="n"/>
      <c r="M688" s="10" t="inlineStr">
        <is>
          <t>公式サイトで確認。県立身延高校（0556-62-1045）とは別の学校</t>
        </is>
      </c>
      <c r="N688" s="11" t="inlineStr">
        <is>
          <t>https://www.min.ac.jp/parents/guide/</t>
        </is>
      </c>
      <c r="O688" s="12" t="inlineStr">
        <is>
          <t>開く</t>
        </is>
      </c>
    </row>
    <row r="689">
      <c r="A689" s="4" t="n">
        <v>685</v>
      </c>
      <c r="B689" s="5" t="inlineStr">
        <is>
          <t>山梨県</t>
        </is>
      </c>
      <c r="C689" s="5" t="inlineStr">
        <is>
          <t>甲府市</t>
        </is>
      </c>
      <c r="D689" s="5" t="inlineStr">
        <is>
          <t>山梨英和高等学校</t>
        </is>
      </c>
      <c r="E689" s="6" t="inlineStr">
        <is>
          <t>055-252-6187</t>
        </is>
      </c>
      <c r="F689" s="7" t="inlineStr">
        <is>
          <t>高</t>
        </is>
      </c>
      <c r="G689" s="5" t="inlineStr">
        <is>
          <t>普通科</t>
        </is>
      </c>
      <c r="H689" s="8" t="n"/>
      <c r="I689" s="9" t="n"/>
      <c r="J689" s="9" t="inlineStr">
        <is>
          <t>未架電</t>
        </is>
      </c>
      <c r="K689" s="8" t="n"/>
      <c r="L689" s="9" t="n"/>
      <c r="M689" s="10" t="inlineStr">
        <is>
          <t>公式サイトで確認（高校の番号）。中学校は055-252-6184、法人本部は055-223-6010</t>
        </is>
      </c>
      <c r="N689" s="11" t="inlineStr">
        <is>
          <t>https://www.yamanashi-eiwa.ac.jp/jsh/about/access</t>
        </is>
      </c>
      <c r="O689" s="12" t="inlineStr">
        <is>
          <t>開く</t>
        </is>
      </c>
    </row>
    <row r="690">
      <c r="A690" s="4" t="n">
        <v>686</v>
      </c>
      <c r="B690" s="5" t="inlineStr">
        <is>
          <t>山梨県</t>
        </is>
      </c>
      <c r="C690" s="5" t="inlineStr">
        <is>
          <t>甲府市</t>
        </is>
      </c>
      <c r="D690" s="5" t="inlineStr">
        <is>
          <t>山梨学院高等学校</t>
        </is>
      </c>
      <c r="E690" s="6" t="inlineStr">
        <is>
          <t>055-224-1600</t>
        </is>
      </c>
      <c r="F690" s="7" t="inlineStr">
        <is>
          <t>高</t>
        </is>
      </c>
      <c r="G690" s="5" t="inlineStr">
        <is>
          <t>普通科</t>
        </is>
      </c>
      <c r="H690" s="8" t="n"/>
      <c r="I690" s="9" t="n"/>
      <c r="J690" s="9" t="inlineStr">
        <is>
          <t>未架電</t>
        </is>
      </c>
      <c r="K690" s="8" t="n"/>
      <c r="L690" s="9" t="n"/>
      <c r="M690" s="10" t="inlineStr">
        <is>
          <t>公式サイトに「代表」と記載。通信制は055-224-1414</t>
        </is>
      </c>
      <c r="N690" s="11" t="inlineStr">
        <is>
          <t>https://www.yghs.ed.jp/ ; https://www.pref.yamanashi.jp/koukoukyo/182_224.html</t>
        </is>
      </c>
      <c r="O690" s="12" t="inlineStr">
        <is>
          <t>開く</t>
        </is>
      </c>
    </row>
    <row r="691">
      <c r="A691" s="4" t="n">
        <v>687</v>
      </c>
      <c r="B691" s="5" t="inlineStr">
        <is>
          <t>長野県</t>
        </is>
      </c>
      <c r="C691" s="5" t="inlineStr">
        <is>
          <t>飯田市</t>
        </is>
      </c>
      <c r="D691" s="5" t="inlineStr">
        <is>
          <t>飯田女子高等学校</t>
        </is>
      </c>
      <c r="E691" s="6" t="inlineStr">
        <is>
          <t>0265-22-1386</t>
        </is>
      </c>
      <c r="F691" s="7" t="inlineStr">
        <is>
          <t>高</t>
        </is>
      </c>
      <c r="G691" s="5" t="inlineStr">
        <is>
          <t>普通科</t>
        </is>
      </c>
      <c r="H691" s="8" t="n"/>
      <c r="I691" s="9" t="n"/>
      <c r="J691" s="9" t="inlineStr">
        <is>
          <t>未架電</t>
        </is>
      </c>
      <c r="K691" s="8" t="n"/>
      <c r="L691" s="9" t="n"/>
      <c r="M691" s="10" t="inlineStr">
        <is>
          <t>公式サイトで確認</t>
        </is>
      </c>
      <c r="N691" s="11" t="inlineStr">
        <is>
          <t>https://i-joshi.com/contact ; https://www.mapion.co.jp/phonebook/M11004/20205/ILSP0000041878_ipclm/</t>
        </is>
      </c>
      <c r="O691" s="12" t="inlineStr">
        <is>
          <t>開く</t>
        </is>
      </c>
    </row>
    <row r="692">
      <c r="A692" s="4" t="n">
        <v>688</v>
      </c>
      <c r="B692" s="5" t="inlineStr">
        <is>
          <t>長野県</t>
        </is>
      </c>
      <c r="C692" s="5" t="inlineStr">
        <is>
          <t>伊那市</t>
        </is>
      </c>
      <c r="D692" s="5" t="inlineStr">
        <is>
          <t>伊那西高等学校</t>
        </is>
      </c>
      <c r="E692" s="6" t="inlineStr">
        <is>
          <t>0265-72-4091</t>
        </is>
      </c>
      <c r="F692" s="7" t="inlineStr">
        <is>
          <t>高</t>
        </is>
      </c>
      <c r="G692" s="5" t="inlineStr">
        <is>
          <t>普通科</t>
        </is>
      </c>
      <c r="H692" s="8" t="n"/>
      <c r="I692" s="9" t="n"/>
      <c r="J692" s="9" t="inlineStr">
        <is>
          <t>未架電</t>
        </is>
      </c>
      <c r="K692" s="8" t="n"/>
      <c r="L692" s="9" t="n"/>
      <c r="M692" s="10" t="inlineStr">
        <is>
          <t>公式サイトで確認</t>
        </is>
      </c>
      <c r="N692" s="11" t="inlineStr">
        <is>
          <t>https://www.inanishi.net/ ; https://www.mapion.co.jp/phonebook/M11004/20209/ILSP0000040644_ipclm/</t>
        </is>
      </c>
      <c r="O692" s="12" t="inlineStr">
        <is>
          <t>開く</t>
        </is>
      </c>
    </row>
    <row r="693">
      <c r="A693" s="4" t="n">
        <v>689</v>
      </c>
      <c r="B693" s="5" t="inlineStr">
        <is>
          <t>長野県</t>
        </is>
      </c>
      <c r="C693" s="5" t="inlineStr">
        <is>
          <t>上田市</t>
        </is>
      </c>
      <c r="D693" s="5" t="inlineStr">
        <is>
          <t>上田西高等学校</t>
        </is>
      </c>
      <c r="E693" s="6" t="inlineStr">
        <is>
          <t>0268-22-0412</t>
        </is>
      </c>
      <c r="F693" s="7" t="inlineStr">
        <is>
          <t>高</t>
        </is>
      </c>
      <c r="G693" s="5" t="inlineStr">
        <is>
          <t>普通科</t>
        </is>
      </c>
      <c r="H693" s="8" t="n"/>
      <c r="I693" s="9" t="n"/>
      <c r="J693" s="9" t="inlineStr">
        <is>
          <t>未架電</t>
        </is>
      </c>
      <c r="K693" s="8" t="n"/>
      <c r="L693" s="9" t="n"/>
      <c r="M693" s="10" t="inlineStr">
        <is>
          <t>公式サイトで確認</t>
        </is>
      </c>
      <c r="N693" s="11" t="inlineStr">
        <is>
          <t>https://uedanishi.ed.jp/access/</t>
        </is>
      </c>
      <c r="O693" s="12" t="inlineStr">
        <is>
          <t>開く</t>
        </is>
      </c>
    </row>
    <row r="694">
      <c r="A694" s="4" t="n">
        <v>690</v>
      </c>
      <c r="B694" s="5" t="inlineStr">
        <is>
          <t>長野県</t>
        </is>
      </c>
      <c r="C694" s="5" t="inlineStr">
        <is>
          <t>松本市</t>
        </is>
      </c>
      <c r="D694" s="5" t="inlineStr">
        <is>
          <t>エクセラン高等学校</t>
        </is>
      </c>
      <c r="E694" s="6" t="inlineStr">
        <is>
          <t>0263-32-3701</t>
        </is>
      </c>
      <c r="F694" s="7" t="inlineStr">
        <is>
          <t>高</t>
        </is>
      </c>
      <c r="G694" s="5" t="inlineStr">
        <is>
          <t>普通科・専門学科</t>
        </is>
      </c>
      <c r="H694" s="8" t="n"/>
      <c r="I694" s="9" t="n"/>
      <c r="J694" s="9" t="inlineStr">
        <is>
          <t>未架電</t>
        </is>
      </c>
      <c r="K694" s="8" t="n"/>
      <c r="L694" s="9" t="n"/>
      <c r="M694" s="10" t="inlineStr">
        <is>
          <t>公式サイトの事務室の番号</t>
        </is>
      </c>
      <c r="N694" s="11" t="inlineStr">
        <is>
          <t>https://www.excellent.ed.jp/school-information/</t>
        </is>
      </c>
      <c r="O694" s="12" t="inlineStr">
        <is>
          <t>開く</t>
        </is>
      </c>
    </row>
    <row r="695">
      <c r="A695" s="4" t="n">
        <v>691</v>
      </c>
      <c r="B695" s="5" t="inlineStr">
        <is>
          <t>長野県</t>
        </is>
      </c>
      <c r="C695" s="5" t="inlineStr">
        <is>
          <t>佐久市</t>
        </is>
      </c>
      <c r="D695" s="5" t="inlineStr">
        <is>
          <t>佐久長聖高等学校</t>
        </is>
      </c>
      <c r="E695" s="6" t="inlineStr">
        <is>
          <t>0267-68-5588</t>
        </is>
      </c>
      <c r="F695" s="7" t="inlineStr">
        <is>
          <t>高</t>
        </is>
      </c>
      <c r="G695" s="5" t="inlineStr">
        <is>
          <t>普通科</t>
        </is>
      </c>
      <c r="H695" s="8" t="n"/>
      <c r="I695" s="9" t="n"/>
      <c r="J695" s="9" t="inlineStr">
        <is>
          <t>未架電</t>
        </is>
      </c>
      <c r="K695" s="8" t="n"/>
      <c r="L695" s="9" t="n"/>
      <c r="M695" s="10" t="inlineStr">
        <is>
          <t>公式サイトで確認。中学校は別番号（0267-68-6688）</t>
        </is>
      </c>
      <c r="N695" s="11" t="inlineStr">
        <is>
          <t>https://sakuchosei.ed.jp/contact/</t>
        </is>
      </c>
      <c r="O695" s="12" t="inlineStr">
        <is>
          <t>開く</t>
        </is>
      </c>
    </row>
    <row r="696">
      <c r="A696" s="4" t="n">
        <v>692</v>
      </c>
      <c r="B696" s="5" t="inlineStr">
        <is>
          <t>長野県</t>
        </is>
      </c>
      <c r="C696" s="5" t="inlineStr">
        <is>
          <t>上田市</t>
        </is>
      </c>
      <c r="D696" s="5" t="inlineStr">
        <is>
          <t>さくら国際高等学校</t>
        </is>
      </c>
      <c r="E696" s="6" t="inlineStr">
        <is>
          <t>0268-39-7707</t>
        </is>
      </c>
      <c r="F696" s="7" t="inlineStr">
        <is>
          <t>高</t>
        </is>
      </c>
      <c r="G696" s="5" t="inlineStr">
        <is>
          <t>普通科</t>
        </is>
      </c>
      <c r="H696" s="8" t="n"/>
      <c r="I696" s="9" t="n"/>
      <c r="J696" s="9" t="inlineStr">
        <is>
          <t>未架電</t>
        </is>
      </c>
      <c r="K696" s="8" t="n"/>
      <c r="L696" s="9" t="n"/>
      <c r="M696" s="10" t="inlineStr">
        <is>
          <t>通信制。上田本校の番号（公式サイト）</t>
        </is>
      </c>
      <c r="N696" s="11" t="inlineStr">
        <is>
          <t>https://sakura-kokusai.ed.jp/access/</t>
        </is>
      </c>
      <c r="O696" s="12" t="inlineStr">
        <is>
          <t>開く</t>
        </is>
      </c>
    </row>
    <row r="697">
      <c r="A697" s="4" t="n">
        <v>693</v>
      </c>
      <c r="B697" s="5" t="inlineStr">
        <is>
          <t>長野県</t>
        </is>
      </c>
      <c r="C697" s="5" t="inlineStr">
        <is>
          <t>松本市</t>
        </is>
      </c>
      <c r="D697" s="5" t="inlineStr">
        <is>
          <t>信濃むつみ高等学校</t>
        </is>
      </c>
      <c r="E697" s="6" t="inlineStr">
        <is>
          <t>0263-27-3700</t>
        </is>
      </c>
      <c r="F697" s="7" t="inlineStr">
        <is>
          <t>高</t>
        </is>
      </c>
      <c r="G697" s="5" t="inlineStr">
        <is>
          <t>普通科</t>
        </is>
      </c>
      <c r="H697" s="8" t="n"/>
      <c r="I697" s="9" t="n"/>
      <c r="J697" s="9" t="inlineStr">
        <is>
          <t>未架電</t>
        </is>
      </c>
      <c r="K697" s="8" t="n"/>
      <c r="L697" s="9" t="n"/>
      <c r="M697" s="10" t="inlineStr">
        <is>
          <t>通信制。公式サイトで確認（平日9:30〜18:30）</t>
        </is>
      </c>
      <c r="N697" s="11" t="inlineStr">
        <is>
          <t>https://www.terra.ed.jp/contact</t>
        </is>
      </c>
      <c r="O697" s="12" t="inlineStr">
        <is>
          <t>開く</t>
        </is>
      </c>
    </row>
    <row r="698">
      <c r="A698" s="4" t="n">
        <v>694</v>
      </c>
      <c r="B698" s="5" t="inlineStr">
        <is>
          <t>長野県</t>
        </is>
      </c>
      <c r="C698" s="5" t="inlineStr">
        <is>
          <t>佐久市</t>
        </is>
      </c>
      <c r="D698" s="5" t="inlineStr">
        <is>
          <t>地球環境高等学校</t>
        </is>
      </c>
      <c r="E698" s="6" t="inlineStr">
        <is>
          <t>0267-63-1411</t>
        </is>
      </c>
      <c r="F698" s="7" t="inlineStr">
        <is>
          <t>高</t>
        </is>
      </c>
      <c r="G698" s="5" t="inlineStr">
        <is>
          <t>普通科</t>
        </is>
      </c>
      <c r="H698" s="8" t="n"/>
      <c r="I698" s="9" t="n"/>
      <c r="J698" s="9" t="inlineStr">
        <is>
          <t>未架電</t>
        </is>
      </c>
      <c r="K698" s="8" t="n"/>
      <c r="L698" s="9" t="n"/>
      <c r="M698" s="10" t="inlineStr">
        <is>
          <t>通信制。佐久本校の番号（公式サイト）。フリーダイヤル0120-390-117もあり</t>
        </is>
      </c>
      <c r="N698" s="11" t="inlineStr">
        <is>
          <t>https://earth.ac.jp/pages/25/</t>
        </is>
      </c>
      <c r="O698" s="12" t="inlineStr">
        <is>
          <t>開く</t>
        </is>
      </c>
    </row>
    <row r="699">
      <c r="A699" s="4" t="n">
        <v>695</v>
      </c>
      <c r="B699" s="5" t="inlineStr">
        <is>
          <t>長野県</t>
        </is>
      </c>
      <c r="C699" s="5" t="inlineStr">
        <is>
          <t>天龍村</t>
        </is>
      </c>
      <c r="D699" s="5" t="inlineStr">
        <is>
          <t>天龍興譲高等学校</t>
        </is>
      </c>
      <c r="E699" s="14" t="n"/>
      <c r="F699" s="15" t="inlineStr">
        <is>
          <t>要調査</t>
        </is>
      </c>
      <c r="G699" s="5" t="inlineStr">
        <is>
          <t>普通科</t>
        </is>
      </c>
      <c r="H699" s="8" t="n"/>
      <c r="I699" s="9" t="n"/>
      <c r="J699" s="9" t="inlineStr">
        <is>
          <t>未架電</t>
        </is>
      </c>
      <c r="K699" s="8" t="n"/>
      <c r="L699" s="9" t="n"/>
      <c r="M699" s="10" t="inlineStr">
        <is>
          <t>通信制。【閉校の可能性】法人サイトに「閉校のお知らせ」あり。候補：0260-32-3581（高校総務部）／0260-32-3755（学園相談室）</t>
        </is>
      </c>
      <c r="N699" s="11" t="inlineStr">
        <is>
          <t>https://www.donguri-gakuen.jp/entry-2/ ; https://map.yahoo.co.jp/v3/place/G0mevp8o9t2</t>
        </is>
      </c>
      <c r="O699" s="12" t="inlineStr">
        <is>
          <t>開く</t>
        </is>
      </c>
    </row>
    <row r="700">
      <c r="A700" s="4" t="n">
        <v>696</v>
      </c>
      <c r="B700" s="5" t="inlineStr">
        <is>
          <t>長野県</t>
        </is>
      </c>
      <c r="C700" s="5" t="inlineStr">
        <is>
          <t>茅野市</t>
        </is>
      </c>
      <c r="D700" s="5" t="inlineStr">
        <is>
          <t>東海大学付属諏訪高等学校</t>
        </is>
      </c>
      <c r="E700" s="6" t="inlineStr">
        <is>
          <t>0266-72-3147</t>
        </is>
      </c>
      <c r="F700" s="7" t="inlineStr">
        <is>
          <t>高</t>
        </is>
      </c>
      <c r="G700" s="5" t="inlineStr">
        <is>
          <t>普通科・専門学科</t>
        </is>
      </c>
      <c r="H700" s="8" t="n"/>
      <c r="I700" s="9" t="n"/>
      <c r="J700" s="9" t="inlineStr">
        <is>
          <t>未架電</t>
        </is>
      </c>
      <c r="K700" s="8" t="n"/>
      <c r="L700" s="9" t="n"/>
      <c r="M700" s="10" t="inlineStr">
        <is>
          <t>公式サイトに「代表」と記載</t>
        </is>
      </c>
      <c r="N700" s="11" t="inlineStr">
        <is>
          <t>https://www.suwa.tokai.ed.jp/contact/</t>
        </is>
      </c>
      <c r="O700" s="12" t="inlineStr">
        <is>
          <t>開く</t>
        </is>
      </c>
    </row>
    <row r="701">
      <c r="A701" s="4" t="n">
        <v>697</v>
      </c>
      <c r="B701" s="5" t="inlineStr">
        <is>
          <t>長野県</t>
        </is>
      </c>
      <c r="C701" s="5" t="inlineStr">
        <is>
          <t>塩尻市</t>
        </is>
      </c>
      <c r="D701" s="5" t="inlineStr">
        <is>
          <t>東京都市大学塩尻高等学校</t>
        </is>
      </c>
      <c r="E701" s="6" t="inlineStr">
        <is>
          <t>0263-88-0104</t>
        </is>
      </c>
      <c r="F701" s="7" t="inlineStr">
        <is>
          <t>高</t>
        </is>
      </c>
      <c r="G701" s="5" t="inlineStr">
        <is>
          <t>普通科</t>
        </is>
      </c>
      <c r="H701" s="8" t="n"/>
      <c r="I701" s="9" t="n"/>
      <c r="J701" s="9" t="inlineStr">
        <is>
          <t>未架電</t>
        </is>
      </c>
      <c r="K701" s="8" t="n"/>
      <c r="L701" s="9" t="n"/>
      <c r="M701" s="10" t="inlineStr">
        <is>
          <t>公式サイトほかで一致</t>
        </is>
      </c>
      <c r="N701" s="11" t="inlineStr">
        <is>
          <t>https://www.tcu-shiojiri.ed.jp/ ; https://itp.ne.jp/info/200174033181650060/</t>
        </is>
      </c>
      <c r="O701" s="12" t="inlineStr">
        <is>
          <t>開く</t>
        </is>
      </c>
    </row>
    <row r="702">
      <c r="A702" s="4" t="n">
        <v>698</v>
      </c>
      <c r="B702" s="5" t="inlineStr">
        <is>
          <t>長野県</t>
        </is>
      </c>
      <c r="C702" s="5" t="inlineStr">
        <is>
          <t>長野市</t>
        </is>
      </c>
      <c r="D702" s="5" t="inlineStr">
        <is>
          <t>長野俊英高等学校</t>
        </is>
      </c>
      <c r="E702" s="6" t="inlineStr">
        <is>
          <t>026-292-0726</t>
        </is>
      </c>
      <c r="F702" s="7" t="inlineStr">
        <is>
          <t>高</t>
        </is>
      </c>
      <c r="G702" s="5" t="inlineStr">
        <is>
          <t>普通科</t>
        </is>
      </c>
      <c r="H702" s="8" t="n"/>
      <c r="I702" s="9" t="n"/>
      <c r="J702" s="9" t="inlineStr">
        <is>
          <t>未架電</t>
        </is>
      </c>
      <c r="K702" s="8" t="n"/>
      <c r="L702" s="9" t="n"/>
      <c r="M702" s="10" t="inlineStr">
        <is>
          <t>2つの情報源で一致</t>
        </is>
      </c>
      <c r="N702" s="11" t="inlineStr">
        <is>
          <t>https://www.mapion.co.jp/phonebook/M11004/20201/ILSP0000041052_ipclm/ ; https://www.nagano-pta.org/link/school/96.html</t>
        </is>
      </c>
      <c r="O702" s="12" t="inlineStr">
        <is>
          <t>開く</t>
        </is>
      </c>
    </row>
    <row r="703">
      <c r="A703" s="4" t="n">
        <v>699</v>
      </c>
      <c r="B703" s="5" t="inlineStr">
        <is>
          <t>長野県</t>
        </is>
      </c>
      <c r="C703" s="5" t="inlineStr">
        <is>
          <t>長野市</t>
        </is>
      </c>
      <c r="D703" s="5" t="inlineStr">
        <is>
          <t>長野女子高等学校</t>
        </is>
      </c>
      <c r="E703" s="6" t="inlineStr">
        <is>
          <t>026-241-6800</t>
        </is>
      </c>
      <c r="F703" s="7" t="inlineStr">
        <is>
          <t>高</t>
        </is>
      </c>
      <c r="G703" s="5" t="inlineStr">
        <is>
          <t>普通科</t>
        </is>
      </c>
      <c r="H703" s="8" t="n"/>
      <c r="I703" s="9" t="n"/>
      <c r="J703" s="9" t="inlineStr">
        <is>
          <t>未架電</t>
        </is>
      </c>
      <c r="K703" s="8" t="n"/>
      <c r="L703" s="9" t="n"/>
      <c r="M703" s="10" t="inlineStr">
        <is>
          <t>【休校中】長野県の私立高校名簿（2026年4月時点）に「休校中」と記載。架電の要否をご判断ください</t>
        </is>
      </c>
      <c r="N703" s="11" t="inlineStr">
        <is>
          <t>https://www.pref.nagano.lg.jp/ken-manabi/kyoiku/gakkoukou/koukou/koukou/mebo.html ; https://www.mapion.co.jp/phonebook/M11004/20201/ILSP0000040749_ipclm/</t>
        </is>
      </c>
      <c r="O703" s="12" t="inlineStr">
        <is>
          <t>開く</t>
        </is>
      </c>
    </row>
    <row r="704">
      <c r="A704" s="4" t="n">
        <v>700</v>
      </c>
      <c r="B704" s="5" t="inlineStr">
        <is>
          <t>長野県</t>
        </is>
      </c>
      <c r="C704" s="5" t="inlineStr">
        <is>
          <t>長野市</t>
        </is>
      </c>
      <c r="D704" s="5" t="inlineStr">
        <is>
          <t>長野清泉女学院高等学校</t>
        </is>
      </c>
      <c r="E704" s="6" t="inlineStr">
        <is>
          <t>026-234-2301</t>
        </is>
      </c>
      <c r="F704" s="7" t="inlineStr">
        <is>
          <t>高</t>
        </is>
      </c>
      <c r="G704" s="5" t="inlineStr">
        <is>
          <t>普通科</t>
        </is>
      </c>
      <c r="H704" s="8" t="n"/>
      <c r="I704" s="9" t="n"/>
      <c r="J704" s="9" t="inlineStr">
        <is>
          <t>未架電</t>
        </is>
      </c>
      <c r="K704" s="8" t="n"/>
      <c r="L704" s="9" t="n"/>
      <c r="M704" s="10" t="inlineStr">
        <is>
          <t>公式サイトで確認。中高共通。026-219-1650は大学の番号</t>
        </is>
      </c>
      <c r="N704" s="11" t="inlineStr">
        <is>
          <t>https://www.seisen.ed.jp/</t>
        </is>
      </c>
      <c r="O704" s="12" t="inlineStr">
        <is>
          <t>開く</t>
        </is>
      </c>
    </row>
    <row r="705">
      <c r="A705" s="4" t="n">
        <v>701</v>
      </c>
      <c r="B705" s="5" t="inlineStr">
        <is>
          <t>長野県</t>
        </is>
      </c>
      <c r="C705" s="5" t="inlineStr">
        <is>
          <t>長野市</t>
        </is>
      </c>
      <c r="D705" s="5" t="inlineStr">
        <is>
          <t>長野日本大学高等学校</t>
        </is>
      </c>
      <c r="E705" s="6" t="inlineStr">
        <is>
          <t>026-243-1079</t>
        </is>
      </c>
      <c r="F705" s="7" t="inlineStr">
        <is>
          <t>高</t>
        </is>
      </c>
      <c r="G705" s="5" t="inlineStr">
        <is>
          <t>普通科</t>
        </is>
      </c>
      <c r="H705" s="8" t="n"/>
      <c r="I705" s="9" t="n"/>
      <c r="J705" s="9" t="inlineStr">
        <is>
          <t>未架電</t>
        </is>
      </c>
      <c r="K705" s="8" t="n"/>
      <c r="L705" s="9" t="n"/>
      <c r="M705" s="10" t="inlineStr">
        <is>
          <t>複数の情報源で一致</t>
        </is>
      </c>
      <c r="N705" s="11" t="inlineStr">
        <is>
          <t>https://www.mapion.co.jp/phonebook/M11004/20201/ILSP0000041769_ipclm/ ; https://www.nagano-pta.org/link/school/115.html</t>
        </is>
      </c>
      <c r="O705" s="12" t="inlineStr">
        <is>
          <t>開く</t>
        </is>
      </c>
    </row>
    <row r="706">
      <c r="A706" s="4" t="n">
        <v>702</v>
      </c>
      <c r="B706" s="5" t="inlineStr">
        <is>
          <t>長野県</t>
        </is>
      </c>
      <c r="C706" s="5" t="inlineStr">
        <is>
          <t>長野市</t>
        </is>
      </c>
      <c r="D706" s="5" t="inlineStr">
        <is>
          <t>文化学園長野高等学校</t>
        </is>
      </c>
      <c r="E706" s="6" t="inlineStr">
        <is>
          <t>026-226-8386</t>
        </is>
      </c>
      <c r="F706" s="7" t="inlineStr">
        <is>
          <t>高</t>
        </is>
      </c>
      <c r="G706" s="5" t="inlineStr">
        <is>
          <t>普通科</t>
        </is>
      </c>
      <c r="H706" s="8" t="n"/>
      <c r="I706" s="9" t="n"/>
      <c r="J706" s="9" t="inlineStr">
        <is>
          <t>未架電</t>
        </is>
      </c>
      <c r="K706" s="8" t="n"/>
      <c r="L706" s="9" t="n"/>
      <c r="M706" s="10" t="inlineStr">
        <is>
          <t>法人の公式サイトとマピオンで一致</t>
        </is>
      </c>
      <c r="N706" s="11" t="inlineStr">
        <is>
          <t>http://www.gakuen-nagano.ac.jp/ ; https://www.mapion.co.jp/phonebook/M11004/20201/ILSP0000041410_ipclm/</t>
        </is>
      </c>
      <c r="O706" s="12" t="inlineStr">
        <is>
          <t>開く</t>
        </is>
      </c>
    </row>
    <row r="707">
      <c r="A707" s="4" t="n">
        <v>703</v>
      </c>
      <c r="B707" s="5" t="inlineStr">
        <is>
          <t>長野県</t>
        </is>
      </c>
      <c r="C707" s="5" t="inlineStr">
        <is>
          <t>松本市</t>
        </is>
      </c>
      <c r="D707" s="5" t="inlineStr">
        <is>
          <t>松商学園高等学校</t>
        </is>
      </c>
      <c r="E707" s="6" t="inlineStr">
        <is>
          <t>0263-33-1210</t>
        </is>
      </c>
      <c r="F707" s="7" t="inlineStr">
        <is>
          <t>高</t>
        </is>
      </c>
      <c r="G707" s="5" t="inlineStr">
        <is>
          <t>普通科・専門学科</t>
        </is>
      </c>
      <c r="H707" s="8" t="n"/>
      <c r="I707" s="9" t="n"/>
      <c r="J707" s="9" t="inlineStr">
        <is>
          <t>未架電</t>
        </is>
      </c>
      <c r="K707" s="8" t="n"/>
      <c r="L707" s="9" t="n"/>
      <c r="M707" s="10" t="inlineStr">
        <is>
          <t>公式サイトで確認（0263-33-1212を載せるサイトは誤り）。通信制は0263-48-7285</t>
        </is>
      </c>
      <c r="N707" s="11" t="inlineStr">
        <is>
          <t>https://www.matsusho-h.ed.jp/about-school/access.php</t>
        </is>
      </c>
      <c r="O707" s="12" t="inlineStr">
        <is>
          <t>開く</t>
        </is>
      </c>
    </row>
    <row r="708">
      <c r="A708" s="4" t="n">
        <v>704</v>
      </c>
      <c r="B708" s="5" t="inlineStr">
        <is>
          <t>長野県</t>
        </is>
      </c>
      <c r="C708" s="5" t="inlineStr">
        <is>
          <t>松本市</t>
        </is>
      </c>
      <c r="D708" s="5" t="inlineStr">
        <is>
          <t>松本国際高等学校</t>
        </is>
      </c>
      <c r="E708" s="6" t="inlineStr">
        <is>
          <t>0263-88-0033</t>
        </is>
      </c>
      <c r="F708" s="7" t="inlineStr">
        <is>
          <t>高</t>
        </is>
      </c>
      <c r="G708" s="5" t="inlineStr">
        <is>
          <t>普通科・専門学科</t>
        </is>
      </c>
      <c r="H708" s="8" t="n"/>
      <c r="I708" s="9" t="n"/>
      <c r="J708" s="9" t="inlineStr">
        <is>
          <t>未架電</t>
        </is>
      </c>
      <c r="K708" s="8" t="n"/>
      <c r="L708" s="9" t="n"/>
      <c r="M708" s="10" t="inlineStr">
        <is>
          <t>公式サイトで確認。通信教育部は0263-88-2592</t>
        </is>
      </c>
      <c r="N708" s="11" t="inlineStr">
        <is>
          <t>https://m-kokusai.ac.jp/ ; https://www.mapion.co.jp/phonebook/M11004/20202/ILSP0000041198_ipclm/</t>
        </is>
      </c>
      <c r="O708" s="12" t="inlineStr">
        <is>
          <t>開く</t>
        </is>
      </c>
    </row>
    <row r="709">
      <c r="A709" s="4" t="n">
        <v>705</v>
      </c>
      <c r="B709" s="5" t="inlineStr">
        <is>
          <t>長野県</t>
        </is>
      </c>
      <c r="C709" s="5" t="inlineStr">
        <is>
          <t>松本市</t>
        </is>
      </c>
      <c r="D709" s="5" t="inlineStr">
        <is>
          <t>松本第一高等学校</t>
        </is>
      </c>
      <c r="E709" s="6" t="inlineStr">
        <is>
          <t>0263-46-0555</t>
        </is>
      </c>
      <c r="F709" s="7" t="inlineStr">
        <is>
          <t>高</t>
        </is>
      </c>
      <c r="G709" s="5" t="inlineStr">
        <is>
          <t>普通科・専門学科</t>
        </is>
      </c>
      <c r="H709" s="8" t="n"/>
      <c r="I709" s="9" t="n"/>
      <c r="J709" s="9" t="inlineStr">
        <is>
          <t>未架電</t>
        </is>
      </c>
      <c r="K709" s="8" t="n"/>
      <c r="L709" s="9" t="n"/>
      <c r="M709" s="10" t="inlineStr">
        <is>
          <t>公式サイトで確認</t>
        </is>
      </c>
      <c r="N709" s="11" t="inlineStr">
        <is>
          <t>https://www.matsumoto1-h.ed.jp/guide/</t>
        </is>
      </c>
      <c r="O709" s="12" t="inlineStr">
        <is>
          <t>開く</t>
        </is>
      </c>
    </row>
    <row r="710">
      <c r="A710" s="4" t="n">
        <v>706</v>
      </c>
      <c r="B710" s="5" t="inlineStr">
        <is>
          <t>静岡県</t>
        </is>
      </c>
      <c r="C710" s="5" t="inlineStr">
        <is>
          <t>磐田市</t>
        </is>
      </c>
      <c r="D710" s="5" t="inlineStr">
        <is>
          <t>磐田東高等学校</t>
        </is>
      </c>
      <c r="E710" s="6" t="inlineStr">
        <is>
          <t>0538-32-6118</t>
        </is>
      </c>
      <c r="F710" s="7" t="inlineStr">
        <is>
          <t>高</t>
        </is>
      </c>
      <c r="G710" s="5" t="inlineStr">
        <is>
          <t>普通科・専門学科</t>
        </is>
      </c>
      <c r="H710" s="8" t="n"/>
      <c r="I710" s="9" t="n"/>
      <c r="J710" s="9" t="inlineStr">
        <is>
          <t>未架電</t>
        </is>
      </c>
      <c r="K710" s="8" t="n"/>
      <c r="L710" s="9" t="n"/>
      <c r="M710" s="10" t="inlineStr">
        <is>
          <t>公式サイトで確認。中高共通</t>
        </is>
      </c>
      <c r="N710" s="11" t="inlineStr">
        <is>
          <t>https://www.iwatahigashi-h.ed.jp/ ; https://www.mapion.co.jp/phonebook/M11004/22211/ILSP0000041612_ipclm/</t>
        </is>
      </c>
      <c r="O710" s="12" t="inlineStr">
        <is>
          <t>開く</t>
        </is>
      </c>
    </row>
    <row r="711">
      <c r="A711" s="4" t="n">
        <v>707</v>
      </c>
      <c r="B711" s="5" t="inlineStr">
        <is>
          <t>静岡県</t>
        </is>
      </c>
      <c r="C711" s="5" t="inlineStr">
        <is>
          <t>浜松市中央区</t>
        </is>
      </c>
      <c r="D711" s="5" t="inlineStr">
        <is>
          <t>オイスカ浜松国際高等学校</t>
        </is>
      </c>
      <c r="E711" s="6" t="inlineStr">
        <is>
          <t>053-486-3011</t>
        </is>
      </c>
      <c r="F711" s="7" t="inlineStr">
        <is>
          <t>高</t>
        </is>
      </c>
      <c r="G711" s="5" t="inlineStr">
        <is>
          <t>普通科</t>
        </is>
      </c>
      <c r="H711" s="8" t="n"/>
      <c r="I711" s="9" t="n"/>
      <c r="J711" s="9" t="inlineStr">
        <is>
          <t>未架電</t>
        </is>
      </c>
      <c r="K711" s="8" t="n"/>
      <c r="L711" s="9" t="n"/>
      <c r="M711" s="10" t="inlineStr">
        <is>
          <t>公式サイトで確認。所在地は浜松市中央区</t>
        </is>
      </c>
      <c r="N711" s="11" t="inlineStr">
        <is>
          <t>https://www.oisca.ed.jp/school/access/ ; https://www.minkou.jp/hischool/school/646/</t>
        </is>
      </c>
      <c r="O711" s="12" t="inlineStr">
        <is>
          <t>開く</t>
        </is>
      </c>
    </row>
    <row r="712">
      <c r="A712" s="4" t="n">
        <v>708</v>
      </c>
      <c r="B712" s="5" t="inlineStr">
        <is>
          <t>静岡県</t>
        </is>
      </c>
      <c r="C712" s="5" t="inlineStr">
        <is>
          <t>沼津市</t>
        </is>
      </c>
      <c r="D712" s="5" t="inlineStr">
        <is>
          <t>加藤学園暁秀高等学校</t>
        </is>
      </c>
      <c r="E712" s="6" t="inlineStr">
        <is>
          <t>055-924-1900</t>
        </is>
      </c>
      <c r="F712" s="7" t="inlineStr">
        <is>
          <t>高</t>
        </is>
      </c>
      <c r="G712" s="5" t="inlineStr">
        <is>
          <t>普通科</t>
        </is>
      </c>
      <c r="H712" s="8" t="n"/>
      <c r="I712" s="9" t="n"/>
      <c r="J712" s="9" t="inlineStr">
        <is>
          <t>未架電</t>
        </is>
      </c>
      <c r="K712" s="8" t="n"/>
      <c r="L712" s="9" t="n"/>
      <c r="M712" s="10" t="inlineStr">
        <is>
          <t>中高共通。加藤学園高校とは別の学校</t>
        </is>
      </c>
      <c r="N712" s="11" t="inlineStr">
        <is>
          <t>https://www.mapion.co.jp/phonebook/M11004/22203/ILSP0000041290_ipclm/ ; https://school.js88.com/scl_h/22009120</t>
        </is>
      </c>
      <c r="O712" s="12" t="inlineStr">
        <is>
          <t>開く</t>
        </is>
      </c>
    </row>
    <row r="713">
      <c r="A713" s="4" t="n">
        <v>709</v>
      </c>
      <c r="B713" s="5" t="inlineStr">
        <is>
          <t>静岡県</t>
        </is>
      </c>
      <c r="C713" s="5" t="inlineStr">
        <is>
          <t>沼津市</t>
        </is>
      </c>
      <c r="D713" s="5" t="inlineStr">
        <is>
          <t>加藤学園高等学校</t>
        </is>
      </c>
      <c r="E713" s="6" t="inlineStr">
        <is>
          <t>055-921-0347</t>
        </is>
      </c>
      <c r="F713" s="7" t="inlineStr">
        <is>
          <t>高</t>
        </is>
      </c>
      <c r="G713" s="5" t="inlineStr">
        <is>
          <t>普通科</t>
        </is>
      </c>
      <c r="H713" s="8" t="n"/>
      <c r="I713" s="9" t="n"/>
      <c r="J713" s="9" t="inlineStr">
        <is>
          <t>未架電</t>
        </is>
      </c>
      <c r="K713" s="8" t="n"/>
      <c r="L713" s="9" t="n"/>
      <c r="M713" s="10" t="inlineStr">
        <is>
          <t>公式サイトに「代表」と記載。加藤学園暁秀とは別の学校</t>
        </is>
      </c>
      <c r="N713" s="11" t="inlineStr">
        <is>
          <t>https://www.katogaku.jp/KatohHS/</t>
        </is>
      </c>
      <c r="O713" s="12" t="inlineStr">
        <is>
          <t>開く</t>
        </is>
      </c>
    </row>
    <row r="714">
      <c r="A714" s="4" t="n">
        <v>710</v>
      </c>
      <c r="B714" s="5" t="inlineStr">
        <is>
          <t>静岡県</t>
        </is>
      </c>
      <c r="C714" s="5" t="inlineStr">
        <is>
          <t>吉田町</t>
        </is>
      </c>
      <c r="D714" s="5" t="inlineStr">
        <is>
          <t>キラリ高等学校</t>
        </is>
      </c>
      <c r="E714" s="6" t="inlineStr">
        <is>
          <t>0548-33-4976</t>
        </is>
      </c>
      <c r="F714" s="7" t="inlineStr">
        <is>
          <t>高</t>
        </is>
      </c>
      <c r="G714" s="5" t="inlineStr">
        <is>
          <t>普通科</t>
        </is>
      </c>
      <c r="H714" s="8" t="n"/>
      <c r="I714" s="9" t="n"/>
      <c r="J714" s="9" t="inlineStr">
        <is>
          <t>未架電</t>
        </is>
      </c>
      <c r="K714" s="8" t="n"/>
      <c r="L714" s="9" t="n"/>
      <c r="M714" s="10" t="inlineStr">
        <is>
          <t>通信制。吉田本校の番号（公式サイト）</t>
        </is>
      </c>
      <c r="N714" s="11" t="inlineStr">
        <is>
          <t>https://www.kirari-highschool.jp/introduction/access/</t>
        </is>
      </c>
      <c r="O714" s="12" t="inlineStr">
        <is>
          <t>開く</t>
        </is>
      </c>
    </row>
    <row r="715">
      <c r="A715" s="4" t="n">
        <v>711</v>
      </c>
      <c r="B715" s="5" t="inlineStr">
        <is>
          <t>静岡県</t>
        </is>
      </c>
      <c r="C715" s="5" t="inlineStr">
        <is>
          <t>御殿場市</t>
        </is>
      </c>
      <c r="D715" s="5" t="inlineStr">
        <is>
          <t>御殿場西高等学校</t>
        </is>
      </c>
      <c r="E715" s="6" t="inlineStr">
        <is>
          <t>0550-89-2466</t>
        </is>
      </c>
      <c r="F715" s="7" t="inlineStr">
        <is>
          <t>高</t>
        </is>
      </c>
      <c r="G715" s="5" t="inlineStr">
        <is>
          <t>普通科</t>
        </is>
      </c>
      <c r="H715" s="8" t="n"/>
      <c r="I715" s="9" t="n"/>
      <c r="J715" s="9" t="inlineStr">
        <is>
          <t>未架電</t>
        </is>
      </c>
      <c r="K715" s="8" t="n"/>
      <c r="L715" s="9" t="n"/>
      <c r="M715" s="10" t="inlineStr">
        <is>
          <t>公式サイトで確認</t>
        </is>
      </c>
      <c r="N715" s="11" t="inlineStr">
        <is>
          <t>https://gotembanishi-h.ed.jp/access/</t>
        </is>
      </c>
      <c r="O715" s="12" t="inlineStr">
        <is>
          <t>開く</t>
        </is>
      </c>
    </row>
    <row r="716">
      <c r="A716" s="4" t="n">
        <v>712</v>
      </c>
      <c r="B716" s="5" t="inlineStr">
        <is>
          <t>静岡県</t>
        </is>
      </c>
      <c r="C716" s="5" t="inlineStr">
        <is>
          <t>静岡市葵区</t>
        </is>
      </c>
      <c r="D716" s="5" t="inlineStr">
        <is>
          <t>静岡英和女学院高等学校</t>
        </is>
      </c>
      <c r="E716" s="6" t="inlineStr">
        <is>
          <t>054-254-7401</t>
        </is>
      </c>
      <c r="F716" s="7" t="inlineStr">
        <is>
          <t>高</t>
        </is>
      </c>
      <c r="G716" s="5" t="inlineStr">
        <is>
          <t>普通科</t>
        </is>
      </c>
      <c r="H716" s="8" t="n"/>
      <c r="I716" s="9" t="n"/>
      <c r="J716" s="9" t="inlineStr">
        <is>
          <t>未架電</t>
        </is>
      </c>
      <c r="K716" s="8" t="n"/>
      <c r="L716" s="9" t="n"/>
      <c r="M716" s="10" t="inlineStr">
        <is>
          <t>中高共通。2つのサイトで一致</t>
        </is>
      </c>
      <c r="N716" s="11" t="inlineStr">
        <is>
          <t>https://www.mapion.co.jp/phonebook/M11004/22101/ILSP0000040742_ipclm/ ; https://shizu-hsmap.com/3460/</t>
        </is>
      </c>
      <c r="O716" s="12" t="inlineStr">
        <is>
          <t>開く</t>
        </is>
      </c>
    </row>
    <row r="717">
      <c r="A717" s="4" t="n">
        <v>713</v>
      </c>
      <c r="B717" s="5" t="inlineStr">
        <is>
          <t>静岡県</t>
        </is>
      </c>
      <c r="C717" s="5" t="inlineStr">
        <is>
          <t>静岡市葵区</t>
        </is>
      </c>
      <c r="D717" s="5" t="inlineStr">
        <is>
          <t>静岡学園高等学校</t>
        </is>
      </c>
      <c r="E717" s="6" t="inlineStr">
        <is>
          <t>054-200-0191</t>
        </is>
      </c>
      <c r="F717" s="7" t="inlineStr">
        <is>
          <t>高</t>
        </is>
      </c>
      <c r="G717" s="5" t="inlineStr">
        <is>
          <t>普通科・専門学科</t>
        </is>
      </c>
      <c r="H717" s="8" t="n"/>
      <c r="I717" s="9" t="n"/>
      <c r="J717" s="9" t="inlineStr">
        <is>
          <t>未架電</t>
        </is>
      </c>
      <c r="K717" s="8" t="n"/>
      <c r="L717" s="9" t="n"/>
      <c r="M717" s="10" t="inlineStr">
        <is>
          <t>公式サイトで確認。中高共通</t>
        </is>
      </c>
      <c r="N717" s="11" t="inlineStr">
        <is>
          <t>https://www.shizugaku.ed.jp/</t>
        </is>
      </c>
      <c r="O717" s="12" t="inlineStr">
        <is>
          <t>開く</t>
        </is>
      </c>
    </row>
    <row r="718">
      <c r="A718" s="4" t="n">
        <v>714</v>
      </c>
      <c r="B718" s="5" t="inlineStr">
        <is>
          <t>静岡県</t>
        </is>
      </c>
      <c r="C718" s="5" t="inlineStr">
        <is>
          <t>静岡市葵区</t>
        </is>
      </c>
      <c r="D718" s="5" t="inlineStr">
        <is>
          <t>静岡北高等学校</t>
        </is>
      </c>
      <c r="E718" s="6" t="inlineStr">
        <is>
          <t>054-261-5801</t>
        </is>
      </c>
      <c r="F718" s="7" t="inlineStr">
        <is>
          <t>高</t>
        </is>
      </c>
      <c r="G718" s="5" t="inlineStr">
        <is>
          <t>普通科・専門学科</t>
        </is>
      </c>
      <c r="H718" s="8" t="n"/>
      <c r="I718" s="9" t="n"/>
      <c r="J718" s="9" t="inlineStr">
        <is>
          <t>未架電</t>
        </is>
      </c>
      <c r="K718" s="8" t="n"/>
      <c r="L718" s="9" t="n"/>
      <c r="M718" s="10" t="inlineStr">
        <is>
          <t>公式サイトに「代表」と記載。中学校は054-267-6151</t>
        </is>
      </c>
      <c r="N718" s="11" t="inlineStr">
        <is>
          <t>https://shizukita.jp/contact/</t>
        </is>
      </c>
      <c r="O718" s="12" t="inlineStr">
        <is>
          <t>開く</t>
        </is>
      </c>
    </row>
    <row r="719">
      <c r="A719" s="4" t="n">
        <v>715</v>
      </c>
      <c r="B719" s="5" t="inlineStr">
        <is>
          <t>静岡県</t>
        </is>
      </c>
      <c r="C719" s="5" t="inlineStr">
        <is>
          <t>浜松市中央区</t>
        </is>
      </c>
      <c r="D719" s="5" t="inlineStr">
        <is>
          <t>静岡県西遠女子学園高等学校</t>
        </is>
      </c>
      <c r="E719" s="6" t="inlineStr">
        <is>
          <t>053-461-0374</t>
        </is>
      </c>
      <c r="F719" s="7" t="inlineStr">
        <is>
          <t>高</t>
        </is>
      </c>
      <c r="G719" s="5" t="inlineStr">
        <is>
          <t>普通科</t>
        </is>
      </c>
      <c r="H719" s="8" t="n"/>
      <c r="I719" s="9" t="n"/>
      <c r="J719" s="9" t="inlineStr">
        <is>
          <t>未架電</t>
        </is>
      </c>
      <c r="K719" s="8" t="n"/>
      <c r="L719" s="9" t="n"/>
      <c r="M719" s="10" t="inlineStr">
        <is>
          <t>公式サイトで確認。中高共通。所在地は浜松市中央区</t>
        </is>
      </c>
      <c r="N719" s="11" t="inlineStr">
        <is>
          <t>https://www.seien.ed.jp/</t>
        </is>
      </c>
      <c r="O719" s="12" t="inlineStr">
        <is>
          <t>開く</t>
        </is>
      </c>
    </row>
    <row r="720">
      <c r="A720" s="4" t="n">
        <v>716</v>
      </c>
      <c r="B720" s="5" t="inlineStr">
        <is>
          <t>静岡県</t>
        </is>
      </c>
      <c r="C720" s="5" t="inlineStr">
        <is>
          <t>富士市</t>
        </is>
      </c>
      <c r="D720" s="5" t="inlineStr">
        <is>
          <t>静岡県富士見高等学校</t>
        </is>
      </c>
      <c r="E720" s="6" t="inlineStr">
        <is>
          <t>0545-61-0250</t>
        </is>
      </c>
      <c r="F720" s="7" t="inlineStr">
        <is>
          <t>高</t>
        </is>
      </c>
      <c r="G720" s="5" t="inlineStr">
        <is>
          <t>普通科</t>
        </is>
      </c>
      <c r="H720" s="8" t="n"/>
      <c r="I720" s="9" t="n"/>
      <c r="J720" s="9" t="inlineStr">
        <is>
          <t>未架電</t>
        </is>
      </c>
      <c r="K720" s="8" t="n"/>
      <c r="L720" s="9" t="n"/>
      <c r="M720" s="10" t="inlineStr">
        <is>
          <t>公式サイトで確認。中高共通</t>
        </is>
      </c>
      <c r="N720" s="11" t="inlineStr">
        <is>
          <t>https://fujimi.ed.jp/</t>
        </is>
      </c>
      <c r="O720" s="12" t="inlineStr">
        <is>
          <t>開く</t>
        </is>
      </c>
    </row>
    <row r="721">
      <c r="A721" s="4" t="n">
        <v>717</v>
      </c>
      <c r="B721" s="5" t="inlineStr">
        <is>
          <t>静岡県</t>
        </is>
      </c>
      <c r="C721" s="5" t="inlineStr">
        <is>
          <t>静岡市清水区</t>
        </is>
      </c>
      <c r="D721" s="5" t="inlineStr">
        <is>
          <t>静岡サレジオ高等学校</t>
        </is>
      </c>
      <c r="E721" s="6" t="inlineStr">
        <is>
          <t>054-345-2296</t>
        </is>
      </c>
      <c r="F721" s="7" t="inlineStr">
        <is>
          <t>高</t>
        </is>
      </c>
      <c r="G721" s="5" t="inlineStr">
        <is>
          <t>普通科</t>
        </is>
      </c>
      <c r="H721" s="8" t="n"/>
      <c r="I721" s="9" t="n"/>
      <c r="J721" s="9" t="inlineStr">
        <is>
          <t>未架電</t>
        </is>
      </c>
      <c r="K721" s="8" t="n"/>
      <c r="L721" s="9" t="n"/>
      <c r="M721" s="10" t="inlineStr">
        <is>
          <t>公式サイトで確認</t>
        </is>
      </c>
      <c r="N721" s="11" t="inlineStr">
        <is>
          <t>https://ssalesio.ac.jp/high/contact/</t>
        </is>
      </c>
      <c r="O721" s="12" t="inlineStr">
        <is>
          <t>開く</t>
        </is>
      </c>
    </row>
    <row r="722">
      <c r="A722" s="4" t="n">
        <v>718</v>
      </c>
      <c r="B722" s="5" t="inlineStr">
        <is>
          <t>静岡県</t>
        </is>
      </c>
      <c r="C722" s="5" t="inlineStr">
        <is>
          <t>静岡市駿河区</t>
        </is>
      </c>
      <c r="D722" s="5" t="inlineStr">
        <is>
          <t>静岡女子高等学校</t>
        </is>
      </c>
      <c r="E722" s="6" t="inlineStr">
        <is>
          <t>054-285-2274</t>
        </is>
      </c>
      <c r="F722" s="7" t="inlineStr">
        <is>
          <t>高</t>
        </is>
      </c>
      <c r="G722" s="5" t="inlineStr">
        <is>
          <t>普通科・専門学科</t>
        </is>
      </c>
      <c r="H722" s="8" t="n"/>
      <c r="I722" s="9" t="n"/>
      <c r="J722" s="9" t="inlineStr">
        <is>
          <t>未架電</t>
        </is>
      </c>
      <c r="K722" s="8" t="n"/>
      <c r="L722" s="9" t="n"/>
      <c r="M722" s="10" t="inlineStr">
        <is>
          <t>公式サイトで確認</t>
        </is>
      </c>
      <c r="N722" s="11" t="inlineStr">
        <is>
          <t>https://shizuoka-joshi.ac.jp/</t>
        </is>
      </c>
      <c r="O722" s="12" t="inlineStr">
        <is>
          <t>開く</t>
        </is>
      </c>
    </row>
    <row r="723">
      <c r="A723" s="4" t="n">
        <v>719</v>
      </c>
      <c r="B723" s="5" t="inlineStr">
        <is>
          <t>静岡県</t>
        </is>
      </c>
      <c r="C723" s="5" t="inlineStr">
        <is>
          <t>静岡市駿河区</t>
        </is>
      </c>
      <c r="D723" s="5" t="inlineStr">
        <is>
          <t>静岡聖光学院高等学校</t>
        </is>
      </c>
      <c r="E723" s="6" t="inlineStr">
        <is>
          <t>054-285-9136</t>
        </is>
      </c>
      <c r="F723" s="7" t="inlineStr">
        <is>
          <t>高</t>
        </is>
      </c>
      <c r="G723" s="5" t="inlineStr">
        <is>
          <t>普通科</t>
        </is>
      </c>
      <c r="H723" s="8" t="n"/>
      <c r="I723" s="9" t="n"/>
      <c r="J723" s="9" t="inlineStr">
        <is>
          <t>未架電</t>
        </is>
      </c>
      <c r="K723" s="8" t="n"/>
      <c r="L723" s="9" t="n"/>
      <c r="M723" s="10" t="inlineStr">
        <is>
          <t>中高共通。高校募集なし（完全中高一貫）。公式未確認</t>
        </is>
      </c>
      <c r="N723" s="11" t="inlineStr">
        <is>
          <t>https://www.mapion.co.jp/phonebook/M11004/22102/ILSP0000041139_ipclm/ ; https://itp.ne.jp/info/229451737200000899/</t>
        </is>
      </c>
      <c r="O723" s="12" t="inlineStr">
        <is>
          <t>開く</t>
        </is>
      </c>
    </row>
    <row r="724">
      <c r="A724" s="4" t="n">
        <v>720</v>
      </c>
      <c r="B724" s="5" t="inlineStr">
        <is>
          <t>静岡県</t>
        </is>
      </c>
      <c r="C724" s="5" t="inlineStr">
        <is>
          <t>静岡市葵区</t>
        </is>
      </c>
      <c r="D724" s="5" t="inlineStr">
        <is>
          <t>静岡大成高等学校</t>
        </is>
      </c>
      <c r="E724" s="6" t="inlineStr">
        <is>
          <t>054-254-7334</t>
        </is>
      </c>
      <c r="F724" s="7" t="inlineStr">
        <is>
          <t>高</t>
        </is>
      </c>
      <c r="G724" s="5" t="inlineStr">
        <is>
          <t>普通科</t>
        </is>
      </c>
      <c r="H724" s="8" t="n"/>
      <c r="I724" s="9" t="n"/>
      <c r="J724" s="9" t="inlineStr">
        <is>
          <t>未架電</t>
        </is>
      </c>
      <c r="K724" s="8" t="n"/>
      <c r="L724" s="9" t="n"/>
      <c r="M724" s="10" t="inlineStr">
        <is>
          <t>複数サイトで一致、公式未確認</t>
        </is>
      </c>
      <c r="N724" s="11" t="inlineStr">
        <is>
          <t>https://www.mapion.co.jp/phonebook/M11004/22101/ILSP0000040794_ipclm/</t>
        </is>
      </c>
      <c r="O724" s="12" t="inlineStr">
        <is>
          <t>開く</t>
        </is>
      </c>
    </row>
    <row r="725">
      <c r="A725" s="4" t="n">
        <v>721</v>
      </c>
      <c r="B725" s="5" t="inlineStr">
        <is>
          <t>静岡県</t>
        </is>
      </c>
      <c r="C725" s="5" t="inlineStr">
        <is>
          <t>静岡市葵区</t>
        </is>
      </c>
      <c r="D725" s="5" t="inlineStr">
        <is>
          <t>静岡雙葉高等学校</t>
        </is>
      </c>
      <c r="E725" s="6" t="inlineStr">
        <is>
          <t>054-255-0305</t>
        </is>
      </c>
      <c r="F725" s="7" t="inlineStr">
        <is>
          <t>高</t>
        </is>
      </c>
      <c r="G725" s="5" t="inlineStr">
        <is>
          <t>普通科</t>
        </is>
      </c>
      <c r="H725" s="8" t="n"/>
      <c r="I725" s="9" t="n"/>
      <c r="J725" s="9" t="inlineStr">
        <is>
          <t>未架電</t>
        </is>
      </c>
      <c r="K725" s="8" t="n"/>
      <c r="L725" s="9" t="n"/>
      <c r="M725" s="10" t="inlineStr">
        <is>
          <t>公式サイトで確認。中高共通</t>
        </is>
      </c>
      <c r="N725" s="11" t="inlineStr">
        <is>
          <t>https://shizuoka-futaba.ac.jp/graduate/certificate/ ; https://www.mapion.co.jp/phonebook/M11004/22101/ILSP0000041364_ipclm/</t>
        </is>
      </c>
      <c r="O725" s="12" t="inlineStr">
        <is>
          <t>開く</t>
        </is>
      </c>
    </row>
    <row r="726">
      <c r="A726" s="4" t="n">
        <v>722</v>
      </c>
      <c r="B726" s="5" t="inlineStr">
        <is>
          <t>静岡県</t>
        </is>
      </c>
      <c r="C726" s="5" t="inlineStr">
        <is>
          <t>島田市</t>
        </is>
      </c>
      <c r="D726" s="5" t="inlineStr">
        <is>
          <t>島田樟誠高等学校</t>
        </is>
      </c>
      <c r="E726" s="6" t="inlineStr">
        <is>
          <t>0547-37-3116</t>
        </is>
      </c>
      <c r="F726" s="7" t="inlineStr">
        <is>
          <t>高</t>
        </is>
      </c>
      <c r="G726" s="5" t="inlineStr">
        <is>
          <t>普通科</t>
        </is>
      </c>
      <c r="H726" s="8" t="n"/>
      <c r="I726" s="9" t="n"/>
      <c r="J726" s="9" t="inlineStr">
        <is>
          <t>未架電</t>
        </is>
      </c>
      <c r="K726" s="8" t="n"/>
      <c r="L726" s="9" t="n"/>
      <c r="M726" s="10" t="inlineStr">
        <is>
          <t>複数サイトで一致、公式未確認</t>
        </is>
      </c>
      <c r="N726" s="11" t="inlineStr">
        <is>
          <t>https://www.mapion.co.jp/phonebook/M11004/22209/ILSP0000041690_ipclm/ ; https://www.minkou.jp/hischool/school/2271/</t>
        </is>
      </c>
      <c r="O726" s="12" t="inlineStr">
        <is>
          <t>開く</t>
        </is>
      </c>
    </row>
    <row r="727">
      <c r="A727" s="4" t="n">
        <v>723</v>
      </c>
      <c r="B727" s="5" t="inlineStr">
        <is>
          <t>静岡県</t>
        </is>
      </c>
      <c r="C727" s="5" t="inlineStr">
        <is>
          <t>静岡市清水区</t>
        </is>
      </c>
      <c r="D727" s="5" t="inlineStr">
        <is>
          <t>清水国際高等学校</t>
        </is>
      </c>
      <c r="E727" s="6" t="inlineStr">
        <is>
          <t>054-366-4155</t>
        </is>
      </c>
      <c r="F727" s="7" t="inlineStr">
        <is>
          <t>高</t>
        </is>
      </c>
      <c r="G727" s="5" t="inlineStr">
        <is>
          <t>普通科・専門学科</t>
        </is>
      </c>
      <c r="H727" s="8" t="n"/>
      <c r="I727" s="9" t="n"/>
      <c r="J727" s="9" t="inlineStr">
        <is>
          <t>未架電</t>
        </is>
      </c>
      <c r="K727" s="8" t="n"/>
      <c r="L727" s="9" t="n"/>
      <c r="M727" s="10" t="inlineStr">
        <is>
          <t>公式サイトで確認</t>
        </is>
      </c>
      <c r="N727" s="11" t="inlineStr">
        <is>
          <t>https://www.shimizu-kokusai.ac.jp/</t>
        </is>
      </c>
      <c r="O727" s="12" t="inlineStr">
        <is>
          <t>開く</t>
        </is>
      </c>
    </row>
    <row r="728">
      <c r="A728" s="4" t="n">
        <v>724</v>
      </c>
      <c r="B728" s="5" t="inlineStr">
        <is>
          <t>静岡県</t>
        </is>
      </c>
      <c r="C728" s="5" t="inlineStr">
        <is>
          <t>静岡市駿河区</t>
        </is>
      </c>
      <c r="D728" s="5" t="inlineStr">
        <is>
          <t>城南静岡高等学校</t>
        </is>
      </c>
      <c r="E728" s="6" t="inlineStr">
        <is>
          <t>054-285-6156</t>
        </is>
      </c>
      <c r="F728" s="7" t="inlineStr">
        <is>
          <t>高</t>
        </is>
      </c>
      <c r="G728" s="5" t="inlineStr">
        <is>
          <t>普通科・専門学科</t>
        </is>
      </c>
      <c r="H728" s="8" t="n"/>
      <c r="I728" s="9" t="n"/>
      <c r="J728" s="9" t="inlineStr">
        <is>
          <t>未架電</t>
        </is>
      </c>
      <c r="K728" s="8" t="n"/>
      <c r="L728" s="9" t="n"/>
      <c r="M728" s="10" t="inlineStr">
        <is>
          <t>公式サイトで確認。中高共通</t>
        </is>
      </c>
      <c r="N728" s="11" t="inlineStr">
        <is>
          <t>https://www.johnan.ac.jp/</t>
        </is>
      </c>
      <c r="O728" s="12" t="inlineStr">
        <is>
          <t>開く</t>
        </is>
      </c>
    </row>
    <row r="729">
      <c r="A729" s="4" t="n">
        <v>725</v>
      </c>
      <c r="B729" s="5" t="inlineStr">
        <is>
          <t>静岡県</t>
        </is>
      </c>
      <c r="C729" s="5" t="inlineStr">
        <is>
          <t>沼津市</t>
        </is>
      </c>
      <c r="D729" s="5" t="inlineStr">
        <is>
          <t>誠恵高等学校</t>
        </is>
      </c>
      <c r="E729" s="6" t="inlineStr">
        <is>
          <t>055-921-5088</t>
        </is>
      </c>
      <c r="F729" s="7" t="inlineStr">
        <is>
          <t>高</t>
        </is>
      </c>
      <c r="G729" s="5" t="inlineStr">
        <is>
          <t>普通科</t>
        </is>
      </c>
      <c r="H729" s="8" t="n"/>
      <c r="I729" s="9" t="n"/>
      <c r="J729" s="9" t="inlineStr">
        <is>
          <t>未架電</t>
        </is>
      </c>
      <c r="K729" s="8" t="n"/>
      <c r="L729" s="9" t="n"/>
      <c r="M729" s="10" t="inlineStr">
        <is>
          <t>公式サイトに「代表」と記載</t>
        </is>
      </c>
      <c r="N729" s="11" t="inlineStr">
        <is>
          <t>http://www.seikei-on.ac.jp/contact/</t>
        </is>
      </c>
      <c r="O729" s="12" t="inlineStr">
        <is>
          <t>開く</t>
        </is>
      </c>
    </row>
    <row r="730">
      <c r="A730" s="4" t="n">
        <v>726</v>
      </c>
      <c r="B730" s="5" t="inlineStr">
        <is>
          <t>静岡県</t>
        </is>
      </c>
      <c r="C730" s="5" t="inlineStr">
        <is>
          <t>藤枝市</t>
        </is>
      </c>
      <c r="D730" s="5" t="inlineStr">
        <is>
          <t>静清高等学校</t>
        </is>
      </c>
      <c r="E730" s="6" t="inlineStr">
        <is>
          <t>054-641-6693</t>
        </is>
      </c>
      <c r="F730" s="7" t="inlineStr">
        <is>
          <t>高</t>
        </is>
      </c>
      <c r="G730" s="5" t="inlineStr">
        <is>
          <t>普通科・専門学科</t>
        </is>
      </c>
      <c r="H730" s="8" t="n"/>
      <c r="I730" s="9" t="n"/>
      <c r="J730" s="9" t="inlineStr">
        <is>
          <t>未架電</t>
        </is>
      </c>
      <c r="K730" s="8" t="n"/>
      <c r="L730" s="9" t="n"/>
      <c r="M730" s="10" t="inlineStr">
        <is>
          <t>公式サイトで確認。通信制課程も同じ番号</t>
        </is>
      </c>
      <c r="N730" s="11" t="inlineStr">
        <is>
          <t>https://seisei.ed.jp/access/</t>
        </is>
      </c>
      <c r="O730" s="12" t="inlineStr">
        <is>
          <t>開く</t>
        </is>
      </c>
    </row>
    <row r="731">
      <c r="A731" s="4" t="n">
        <v>727</v>
      </c>
      <c r="B731" s="5" t="inlineStr">
        <is>
          <t>静岡県</t>
        </is>
      </c>
      <c r="C731" s="5" t="inlineStr">
        <is>
          <t>富士宮市</t>
        </is>
      </c>
      <c r="D731" s="5" t="inlineStr">
        <is>
          <t>星陵高等学校</t>
        </is>
      </c>
      <c r="E731" s="6" t="inlineStr">
        <is>
          <t>0544-24-4811</t>
        </is>
      </c>
      <c r="F731" s="7" t="inlineStr">
        <is>
          <t>高</t>
        </is>
      </c>
      <c r="G731" s="5" t="inlineStr">
        <is>
          <t>普通科・専門学科</t>
        </is>
      </c>
      <c r="H731" s="8" t="n"/>
      <c r="I731" s="9" t="n"/>
      <c r="J731" s="9" t="inlineStr">
        <is>
          <t>未架電</t>
        </is>
      </c>
      <c r="K731" s="8" t="n"/>
      <c r="L731" s="9" t="n"/>
      <c r="M731" s="10" t="inlineStr">
        <is>
          <t>公式サイトで確認（静岡理工科大学星陵中学校・高等学校）</t>
        </is>
      </c>
      <c r="N731" s="11" t="inlineStr">
        <is>
          <t>https://starhill.ed.jp/hs/</t>
        </is>
      </c>
      <c r="O731" s="12" t="inlineStr">
        <is>
          <t>開く</t>
        </is>
      </c>
    </row>
    <row r="732">
      <c r="A732" s="4" t="n">
        <v>728</v>
      </c>
      <c r="B732" s="5" t="inlineStr">
        <is>
          <t>静岡県</t>
        </is>
      </c>
      <c r="C732" s="5" t="inlineStr">
        <is>
          <t>浜松市中央区</t>
        </is>
      </c>
      <c r="D732" s="5" t="inlineStr">
        <is>
          <t>聖隷クリストファー高等学校</t>
        </is>
      </c>
      <c r="E732" s="6" t="inlineStr">
        <is>
          <t>053-436-5313</t>
        </is>
      </c>
      <c r="F732" s="7" t="inlineStr">
        <is>
          <t>高</t>
        </is>
      </c>
      <c r="G732" s="5" t="inlineStr">
        <is>
          <t>普通科・専門学科</t>
        </is>
      </c>
      <c r="H732" s="8" t="n"/>
      <c r="I732" s="9" t="n"/>
      <c r="J732" s="9" t="inlineStr">
        <is>
          <t>未架電</t>
        </is>
      </c>
      <c r="K732" s="8" t="n"/>
      <c r="L732" s="9" t="n"/>
      <c r="M732" s="10" t="inlineStr">
        <is>
          <t>複数サイトで一致、公式未確認。所在地は浜松市中央区</t>
        </is>
      </c>
      <c r="N732" s="11" t="inlineStr">
        <is>
          <t>https://www.mapion.co.jp/phonebook/M11004/22138/ILSP0000041195_ipclm/ ; https://school.js88.com/scl_h/22009420</t>
        </is>
      </c>
      <c r="O732" s="12" t="inlineStr">
        <is>
          <t>開く</t>
        </is>
      </c>
    </row>
    <row r="733">
      <c r="A733" s="4" t="n">
        <v>729</v>
      </c>
      <c r="B733" s="5" t="inlineStr">
        <is>
          <t>静岡県</t>
        </is>
      </c>
      <c r="C733" s="5" t="inlineStr">
        <is>
          <t>長泉町</t>
        </is>
      </c>
      <c r="D733" s="5" t="inlineStr">
        <is>
          <t>知徳高等学校</t>
        </is>
      </c>
      <c r="E733" s="6" t="inlineStr">
        <is>
          <t>055-975-0080</t>
        </is>
      </c>
      <c r="F733" s="7" t="inlineStr">
        <is>
          <t>高</t>
        </is>
      </c>
      <c r="G733" s="5" t="inlineStr">
        <is>
          <t>普通科・専門学科</t>
        </is>
      </c>
      <c r="H733" s="8" t="n"/>
      <c r="I733" s="9" t="n"/>
      <c r="J733" s="9" t="inlineStr">
        <is>
          <t>未架電</t>
        </is>
      </c>
      <c r="K733" s="8" t="n"/>
      <c r="L733" s="9" t="n"/>
      <c r="M733" s="10" t="inlineStr">
        <is>
          <t>複数サイトで一致。055-976-0735はFAXなので注意</t>
        </is>
      </c>
      <c r="N733" s="11" t="inlineStr">
        <is>
          <t>https://www.mapion.co.jp/phonebook/M11004/22342/ILSP0000041799_ipclm/ ; https://itp.ne.jp/info/225247068200000899/</t>
        </is>
      </c>
      <c r="O733" s="12" t="inlineStr">
        <is>
          <t>開く</t>
        </is>
      </c>
    </row>
    <row r="734">
      <c r="A734" s="4" t="n">
        <v>730</v>
      </c>
      <c r="B734" s="5" t="inlineStr">
        <is>
          <t>静岡県</t>
        </is>
      </c>
      <c r="C734" s="5" t="inlineStr">
        <is>
          <t>静岡市清水区</t>
        </is>
      </c>
      <c r="D734" s="5" t="inlineStr">
        <is>
          <t>東海大学付属静岡翔洋高等学校</t>
        </is>
      </c>
      <c r="E734" s="6" t="inlineStr">
        <is>
          <t>054-334-0726</t>
        </is>
      </c>
      <c r="F734" s="7" t="inlineStr">
        <is>
          <t>高</t>
        </is>
      </c>
      <c r="G734" s="5" t="inlineStr">
        <is>
          <t>普通科</t>
        </is>
      </c>
      <c r="H734" s="8" t="n"/>
      <c r="I734" s="9" t="n"/>
      <c r="J734" s="9" t="inlineStr">
        <is>
          <t>未架電</t>
        </is>
      </c>
      <c r="K734" s="8" t="n"/>
      <c r="L734" s="9" t="n"/>
      <c r="M734" s="10" t="inlineStr">
        <is>
          <t>公式サイトで確認。中等部は054-334-1851</t>
        </is>
      </c>
      <c r="N734" s="11" t="inlineStr">
        <is>
          <t>https://www.shoyo.tokai.ed.jp/contact/</t>
        </is>
      </c>
      <c r="O734" s="12" t="inlineStr">
        <is>
          <t>開く</t>
        </is>
      </c>
    </row>
    <row r="735">
      <c r="A735" s="4" t="n">
        <v>731</v>
      </c>
      <c r="B735" s="5" t="inlineStr">
        <is>
          <t>静岡県</t>
        </is>
      </c>
      <c r="C735" s="5" t="inlineStr">
        <is>
          <t>沼津市</t>
        </is>
      </c>
      <c r="D735" s="5" t="inlineStr">
        <is>
          <t>桐陽高等学校</t>
        </is>
      </c>
      <c r="E735" s="6" t="inlineStr">
        <is>
          <t>055-921-0350</t>
        </is>
      </c>
      <c r="F735" s="7" t="inlineStr">
        <is>
          <t>高</t>
        </is>
      </c>
      <c r="G735" s="5" t="inlineStr">
        <is>
          <t>普通科</t>
        </is>
      </c>
      <c r="H735" s="8" t="n"/>
      <c r="I735" s="9" t="n"/>
      <c r="J735" s="9" t="inlineStr">
        <is>
          <t>未架電</t>
        </is>
      </c>
      <c r="K735" s="8" t="n"/>
      <c r="L735" s="9" t="n"/>
      <c r="M735" s="10" t="inlineStr">
        <is>
          <t>公式サイトでは募集広報部の番号。055-921-0096を載せるサイトもあり（旧番号の可能性）</t>
        </is>
      </c>
      <c r="N735" s="11" t="inlineStr">
        <is>
          <t>https://toyo-numazu.ac.jp/contact/ ; https://www.mapion.co.jp/phonebook/M11004/22203/ILSP0000041817_ipclm/</t>
        </is>
      </c>
      <c r="O735" s="12" t="inlineStr">
        <is>
          <t>開く</t>
        </is>
      </c>
    </row>
    <row r="736">
      <c r="A736" s="4" t="n">
        <v>732</v>
      </c>
      <c r="B736" s="5" t="inlineStr">
        <is>
          <t>静岡県</t>
        </is>
      </c>
      <c r="C736" s="5" t="inlineStr">
        <is>
          <t>菊川市</t>
        </is>
      </c>
      <c r="D736" s="5" t="inlineStr">
        <is>
          <t>常葉大学附属菊川高等学校</t>
        </is>
      </c>
      <c r="E736" s="6" t="inlineStr">
        <is>
          <t>0537-35-3171</t>
        </is>
      </c>
      <c r="F736" s="7" t="inlineStr">
        <is>
          <t>高</t>
        </is>
      </c>
      <c r="G736" s="5" t="inlineStr">
        <is>
          <t>普通科・専門学科</t>
        </is>
      </c>
      <c r="H736" s="8" t="n"/>
      <c r="I736" s="9" t="n"/>
      <c r="J736" s="9" t="inlineStr">
        <is>
          <t>未架電</t>
        </is>
      </c>
      <c r="K736" s="8" t="n"/>
      <c r="L736" s="9" t="n"/>
      <c r="M736" s="10" t="inlineStr">
        <is>
          <t>公式サイトで確認。中高共通</t>
        </is>
      </c>
      <c r="N736" s="11" t="inlineStr">
        <is>
          <t>https://tokoha.net/kikugawa/guide/access/</t>
        </is>
      </c>
      <c r="O736" s="12" t="inlineStr">
        <is>
          <t>開く</t>
        </is>
      </c>
    </row>
    <row r="737">
      <c r="A737" s="4" t="n">
        <v>733</v>
      </c>
      <c r="B737" s="5" t="inlineStr">
        <is>
          <t>静岡県</t>
        </is>
      </c>
      <c r="C737" s="5" t="inlineStr">
        <is>
          <t>静岡市葵区</t>
        </is>
      </c>
      <c r="D737" s="5" t="inlineStr">
        <is>
          <t>常葉大学附属橘高等学校</t>
        </is>
      </c>
      <c r="E737" s="6" t="inlineStr">
        <is>
          <t>054-261-2256</t>
        </is>
      </c>
      <c r="F737" s="7" t="inlineStr">
        <is>
          <t>高</t>
        </is>
      </c>
      <c r="G737" s="5" t="inlineStr">
        <is>
          <t>普通科・専門学科</t>
        </is>
      </c>
      <c r="H737" s="8" t="n"/>
      <c r="I737" s="9" t="n"/>
      <c r="J737" s="9" t="inlineStr">
        <is>
          <t>未架電</t>
        </is>
      </c>
      <c r="K737" s="8" t="n"/>
      <c r="L737" s="9" t="n"/>
      <c r="M737" s="10" t="inlineStr">
        <is>
          <t>公式サイトで確認。中高共通</t>
        </is>
      </c>
      <c r="N737" s="11" t="inlineStr">
        <is>
          <t>https://www.tokoha.ac.jp/tachibana-jh/</t>
        </is>
      </c>
      <c r="O737" s="12" t="inlineStr">
        <is>
          <t>開く</t>
        </is>
      </c>
    </row>
    <row r="738">
      <c r="A738" s="4" t="n">
        <v>734</v>
      </c>
      <c r="B738" s="5" t="inlineStr">
        <is>
          <t>静岡県</t>
        </is>
      </c>
      <c r="C738" s="5" t="inlineStr">
        <is>
          <t>静岡市葵区</t>
        </is>
      </c>
      <c r="D738" s="5" t="inlineStr">
        <is>
          <t>常葉大学附属常葉高等学校</t>
        </is>
      </c>
      <c r="E738" s="6" t="inlineStr">
        <is>
          <t>054-245-5401</t>
        </is>
      </c>
      <c r="F738" s="7" t="inlineStr">
        <is>
          <t>高</t>
        </is>
      </c>
      <c r="G738" s="5" t="inlineStr">
        <is>
          <t>普通科</t>
        </is>
      </c>
      <c r="H738" s="8" t="n"/>
      <c r="I738" s="9" t="n"/>
      <c r="J738" s="9" t="inlineStr">
        <is>
          <t>未架電</t>
        </is>
      </c>
      <c r="K738" s="8" t="n"/>
      <c r="L738" s="9" t="n"/>
      <c r="M738" s="10" t="inlineStr">
        <is>
          <t>中高共通の代表</t>
        </is>
      </c>
      <c r="N738" s="11" t="inlineStr">
        <is>
          <t>https://www.tokoha-u.ac.jp/university/links/ ; https://www.mapion.co.jp/phonebook/M11004/22101/ILSP0000041765_ipclm/</t>
        </is>
      </c>
      <c r="O738" s="12" t="inlineStr">
        <is>
          <t>開く</t>
        </is>
      </c>
    </row>
    <row r="739">
      <c r="A739" s="4" t="n">
        <v>735</v>
      </c>
      <c r="B739" s="5" t="inlineStr">
        <is>
          <t>静岡県</t>
        </is>
      </c>
      <c r="C739" s="5" t="inlineStr">
        <is>
          <t>三島市</t>
        </is>
      </c>
      <c r="D739" s="5" t="inlineStr">
        <is>
          <t>日本大学三島高等学校</t>
        </is>
      </c>
      <c r="E739" s="6" t="inlineStr">
        <is>
          <t>055-988-3500</t>
        </is>
      </c>
      <c r="F739" s="7" t="inlineStr">
        <is>
          <t>高</t>
        </is>
      </c>
      <c r="G739" s="5" t="inlineStr">
        <is>
          <t>普通科</t>
        </is>
      </c>
      <c r="H739" s="8" t="n"/>
      <c r="I739" s="9" t="n"/>
      <c r="J739" s="9" t="inlineStr">
        <is>
          <t>未架電</t>
        </is>
      </c>
      <c r="K739" s="8" t="n"/>
      <c r="L739" s="9" t="n"/>
      <c r="M739" s="10" t="inlineStr">
        <is>
          <t>公式サイトで確認。中高共通</t>
        </is>
      </c>
      <c r="N739" s="11" t="inlineStr">
        <is>
          <t>https://www.mishima.hs.nihon-u.ac.jp/</t>
        </is>
      </c>
      <c r="O739" s="12" t="inlineStr">
        <is>
          <t>開く</t>
        </is>
      </c>
    </row>
    <row r="740">
      <c r="A740" s="4" t="n">
        <v>736</v>
      </c>
      <c r="B740" s="5" t="inlineStr">
        <is>
          <t>静岡県</t>
        </is>
      </c>
      <c r="C740" s="5" t="inlineStr">
        <is>
          <t>沼津市</t>
        </is>
      </c>
      <c r="D740" s="5" t="inlineStr">
        <is>
          <t>沼津中央高等学校</t>
        </is>
      </c>
      <c r="E740" s="6" t="inlineStr">
        <is>
          <t>055-921-0346</t>
        </is>
      </c>
      <c r="F740" s="7" t="inlineStr">
        <is>
          <t>高</t>
        </is>
      </c>
      <c r="G740" s="5" t="inlineStr">
        <is>
          <t>普通科</t>
        </is>
      </c>
      <c r="H740" s="8" t="n"/>
      <c r="I740" s="9" t="n"/>
      <c r="J740" s="9" t="inlineStr">
        <is>
          <t>未架電</t>
        </is>
      </c>
      <c r="K740" s="8" t="n"/>
      <c r="L740" s="9" t="n"/>
      <c r="M740" s="10" t="inlineStr">
        <is>
          <t>公式サイトで確認</t>
        </is>
      </c>
      <c r="N740" s="11" t="inlineStr">
        <is>
          <t>https://www.n-chuo.ac.jp/contact ; https://www.mapion.co.jp/phonebook/M11004/22203/ILSP0000041058_ipclm/</t>
        </is>
      </c>
      <c r="O740" s="12" t="inlineStr">
        <is>
          <t>開く</t>
        </is>
      </c>
    </row>
    <row r="741">
      <c r="A741" s="4" t="n">
        <v>737</v>
      </c>
      <c r="B741" s="5" t="inlineStr">
        <is>
          <t>静岡県</t>
        </is>
      </c>
      <c r="C741" s="5" t="inlineStr">
        <is>
          <t>浜松市中央区</t>
        </is>
      </c>
      <c r="D741" s="5" t="inlineStr">
        <is>
          <t>浜松開誠館高等学校</t>
        </is>
      </c>
      <c r="E741" s="6" t="inlineStr">
        <is>
          <t>053-456-7111</t>
        </is>
      </c>
      <c r="F741" s="7" t="inlineStr">
        <is>
          <t>高</t>
        </is>
      </c>
      <c r="G741" s="5" t="inlineStr">
        <is>
          <t>普通科</t>
        </is>
      </c>
      <c r="H741" s="8" t="n"/>
      <c r="I741" s="9" t="n"/>
      <c r="J741" s="9" t="inlineStr">
        <is>
          <t>未架電</t>
        </is>
      </c>
      <c r="K741" s="8" t="n"/>
      <c r="L741" s="9" t="n"/>
      <c r="M741" s="10" t="inlineStr">
        <is>
          <t>公式サイトで確認。中高共通</t>
        </is>
      </c>
      <c r="N741" s="11" t="inlineStr">
        <is>
          <t>https://www.kaiseikan.ed.jp/top-page/school-overview/</t>
        </is>
      </c>
      <c r="O741" s="12" t="inlineStr">
        <is>
          <t>開く</t>
        </is>
      </c>
    </row>
    <row r="742">
      <c r="A742" s="4" t="n">
        <v>738</v>
      </c>
      <c r="B742" s="5" t="inlineStr">
        <is>
          <t>静岡県</t>
        </is>
      </c>
      <c r="C742" s="5" t="inlineStr">
        <is>
          <t>浜松市中央区</t>
        </is>
      </c>
      <c r="D742" s="5" t="inlineStr">
        <is>
          <t>浜松学院高等学校</t>
        </is>
      </c>
      <c r="E742" s="6" t="inlineStr">
        <is>
          <t>053-471-4136</t>
        </is>
      </c>
      <c r="F742" s="7" t="inlineStr">
        <is>
          <t>高</t>
        </is>
      </c>
      <c r="G742" s="5" t="inlineStr">
        <is>
          <t>普通科</t>
        </is>
      </c>
      <c r="H742" s="8" t="n"/>
      <c r="I742" s="9" t="n"/>
      <c r="J742" s="9" t="inlineStr">
        <is>
          <t>未架電</t>
        </is>
      </c>
      <c r="K742" s="8" t="n"/>
      <c r="L742" s="9" t="n"/>
      <c r="M742" s="10" t="inlineStr">
        <is>
          <t>【校名変更】2025年4月に「浜松学院興誠高等学校」へ改称。法人本部と同じ番号</t>
        </is>
      </c>
      <c r="N742" s="11" t="inlineStr">
        <is>
          <t>https://www.hamagaku.ac.jp/gakuin/schoolprospectus/history/ ; https://school.js88.com/scl_h/22009350</t>
        </is>
      </c>
      <c r="O742" s="12" t="inlineStr">
        <is>
          <t>開く</t>
        </is>
      </c>
    </row>
    <row r="743">
      <c r="A743" s="4" t="n">
        <v>739</v>
      </c>
      <c r="B743" s="5" t="inlineStr">
        <is>
          <t>静岡県</t>
        </is>
      </c>
      <c r="C743" s="5" t="inlineStr">
        <is>
          <t>浜松市中央区</t>
        </is>
      </c>
      <c r="D743" s="5" t="inlineStr">
        <is>
          <t>浜松学芸高等学校</t>
        </is>
      </c>
      <c r="E743" s="6" t="inlineStr">
        <is>
          <t>053-471-5336</t>
        </is>
      </c>
      <c r="F743" s="7" t="inlineStr">
        <is>
          <t>高</t>
        </is>
      </c>
      <c r="G743" s="5" t="inlineStr">
        <is>
          <t>普通科・専門学科</t>
        </is>
      </c>
      <c r="H743" s="8" t="n"/>
      <c r="I743" s="9" t="n"/>
      <c r="J743" s="9" t="inlineStr">
        <is>
          <t>未架電</t>
        </is>
      </c>
      <c r="K743" s="8" t="n"/>
      <c r="L743" s="9" t="n"/>
      <c r="M743" s="10" t="inlineStr">
        <is>
          <t>公式サイトで確認</t>
        </is>
      </c>
      <c r="N743" s="11" t="inlineStr">
        <is>
          <t>https://www.gakugei.ed.jp/high/</t>
        </is>
      </c>
      <c r="O743" s="12" t="inlineStr">
        <is>
          <t>開く</t>
        </is>
      </c>
    </row>
    <row r="744">
      <c r="A744" s="4" t="n">
        <v>740</v>
      </c>
      <c r="B744" s="5" t="inlineStr">
        <is>
          <t>静岡県</t>
        </is>
      </c>
      <c r="C744" s="5" t="inlineStr">
        <is>
          <t>浜松市中央区</t>
        </is>
      </c>
      <c r="D744" s="5" t="inlineStr">
        <is>
          <t>浜松啓陽高等学校</t>
        </is>
      </c>
      <c r="E744" s="6" t="inlineStr">
        <is>
          <t>053-420-0431</t>
        </is>
      </c>
      <c r="F744" s="7" t="inlineStr">
        <is>
          <t>高</t>
        </is>
      </c>
      <c r="G744" s="5" t="inlineStr">
        <is>
          <t>専門学科</t>
        </is>
      </c>
      <c r="H744" s="8" t="n"/>
      <c r="I744" s="9" t="n"/>
      <c r="J744" s="9" t="inlineStr">
        <is>
          <t>未架電</t>
        </is>
      </c>
      <c r="K744" s="8" t="n"/>
      <c r="L744" s="9" t="n"/>
      <c r="M744" s="10" t="inlineStr">
        <is>
          <t>通信制。公式サイトで確認</t>
        </is>
      </c>
      <c r="N744" s="11" t="inlineStr">
        <is>
          <t>https://keiyo.ed.jp/ ; https://school.js88.com/scl_h/34029510?page=6</t>
        </is>
      </c>
      <c r="O744" s="12" t="inlineStr">
        <is>
          <t>開く</t>
        </is>
      </c>
    </row>
    <row r="745">
      <c r="A745" s="4" t="n">
        <v>741</v>
      </c>
      <c r="B745" s="5" t="inlineStr">
        <is>
          <t>静岡県</t>
        </is>
      </c>
      <c r="C745" s="5" t="inlineStr">
        <is>
          <t>浜松市中央区</t>
        </is>
      </c>
      <c r="D745" s="5" t="inlineStr">
        <is>
          <t>浜松修学舎高等学校</t>
        </is>
      </c>
      <c r="E745" s="6" t="inlineStr">
        <is>
          <t>053-461-7356</t>
        </is>
      </c>
      <c r="F745" s="7" t="inlineStr">
        <is>
          <t>高</t>
        </is>
      </c>
      <c r="G745" s="5" t="inlineStr">
        <is>
          <t>普通科・専門学科</t>
        </is>
      </c>
      <c r="H745" s="8" t="n"/>
      <c r="I745" s="9" t="n"/>
      <c r="J745" s="9" t="inlineStr">
        <is>
          <t>未架電</t>
        </is>
      </c>
      <c r="K745" s="8" t="n"/>
      <c r="L745" s="9" t="n"/>
      <c r="M745" s="10" t="inlineStr">
        <is>
          <t>公式サイトで確認</t>
        </is>
      </c>
      <c r="N745" s="11" t="inlineStr">
        <is>
          <t>https://www.shugakusha.ed.jp/</t>
        </is>
      </c>
      <c r="O745" s="12" t="inlineStr">
        <is>
          <t>開く</t>
        </is>
      </c>
    </row>
    <row r="746">
      <c r="A746" s="4" t="n">
        <v>742</v>
      </c>
      <c r="B746" s="5" t="inlineStr">
        <is>
          <t>静岡県</t>
        </is>
      </c>
      <c r="C746" s="5" t="inlineStr">
        <is>
          <t>浜松市中央区</t>
        </is>
      </c>
      <c r="D746" s="5" t="inlineStr">
        <is>
          <t>浜松聖星高等学校</t>
        </is>
      </c>
      <c r="E746" s="6" t="inlineStr">
        <is>
          <t>053-454-5376</t>
        </is>
      </c>
      <c r="F746" s="7" t="inlineStr">
        <is>
          <t>高</t>
        </is>
      </c>
      <c r="G746" s="5" t="inlineStr">
        <is>
          <t>普通科</t>
        </is>
      </c>
      <c r="H746" s="8" t="n"/>
      <c r="I746" s="9" t="n"/>
      <c r="J746" s="9" t="inlineStr">
        <is>
          <t>未架電</t>
        </is>
      </c>
      <c r="K746" s="8" t="n"/>
      <c r="L746" s="9" t="n"/>
      <c r="M746" s="10" t="inlineStr">
        <is>
          <t>公式サイトで確認</t>
        </is>
      </c>
      <c r="N746" s="11" t="inlineStr">
        <is>
          <t>https://hamamatsu-seisei.jp/about/school_outline.html</t>
        </is>
      </c>
      <c r="O746" s="12" t="inlineStr">
        <is>
          <t>開く</t>
        </is>
      </c>
    </row>
    <row r="747">
      <c r="A747" s="4" t="n">
        <v>743</v>
      </c>
      <c r="B747" s="5" t="inlineStr">
        <is>
          <t>静岡県</t>
        </is>
      </c>
      <c r="C747" s="5" t="inlineStr">
        <is>
          <t>浜松市中央区</t>
        </is>
      </c>
      <c r="D747" s="5" t="inlineStr">
        <is>
          <t>浜松日体高等学校</t>
        </is>
      </c>
      <c r="E747" s="6" t="inlineStr">
        <is>
          <t>053-434-0632</t>
        </is>
      </c>
      <c r="F747" s="7" t="inlineStr">
        <is>
          <t>高</t>
        </is>
      </c>
      <c r="G747" s="5" t="inlineStr">
        <is>
          <t>普通科</t>
        </is>
      </c>
      <c r="H747" s="8" t="n"/>
      <c r="I747" s="9" t="n"/>
      <c r="J747" s="9" t="inlineStr">
        <is>
          <t>未架電</t>
        </is>
      </c>
      <c r="K747" s="8" t="n"/>
      <c r="L747" s="9" t="n"/>
      <c r="M747" s="10" t="inlineStr">
        <is>
          <t>公式サイトで確認</t>
        </is>
      </c>
      <c r="N747" s="11" t="inlineStr">
        <is>
          <t>https://www.h-nittai.ed.jp/</t>
        </is>
      </c>
      <c r="O747" s="12" t="inlineStr">
        <is>
          <t>開く</t>
        </is>
      </c>
    </row>
    <row r="748">
      <c r="A748" s="4" t="n">
        <v>744</v>
      </c>
      <c r="B748" s="5" t="inlineStr">
        <is>
          <t>静岡県</t>
        </is>
      </c>
      <c r="C748" s="5" t="inlineStr">
        <is>
          <t>沼津市</t>
        </is>
      </c>
      <c r="D748" s="5" t="inlineStr">
        <is>
          <t>飛龍高等学校</t>
        </is>
      </c>
      <c r="E748" s="6" t="inlineStr">
        <is>
          <t>055-921-7942</t>
        </is>
      </c>
      <c r="F748" s="7" t="inlineStr">
        <is>
          <t>高</t>
        </is>
      </c>
      <c r="G748" s="5" t="inlineStr">
        <is>
          <t>普通科・専門学科</t>
        </is>
      </c>
      <c r="H748" s="8" t="n"/>
      <c r="I748" s="9" t="n"/>
      <c r="J748" s="9" t="inlineStr">
        <is>
          <t>未架電</t>
        </is>
      </c>
      <c r="K748" s="8" t="n"/>
      <c r="L748" s="9" t="n"/>
      <c r="M748" s="10" t="inlineStr">
        <is>
          <t>公式サイトで確認。055-921-0348を載せるサイトは旧番号の可能性</t>
        </is>
      </c>
      <c r="N748" s="11" t="inlineStr">
        <is>
          <t>https://hiryu.ed.jp/about-us/access/</t>
        </is>
      </c>
      <c r="O748" s="12" t="inlineStr">
        <is>
          <t>開く</t>
        </is>
      </c>
    </row>
    <row r="749">
      <c r="A749" s="4" t="n">
        <v>745</v>
      </c>
      <c r="B749" s="5" t="inlineStr">
        <is>
          <t>静岡県</t>
        </is>
      </c>
      <c r="C749" s="5" t="inlineStr">
        <is>
          <t>藤枝市</t>
        </is>
      </c>
      <c r="D749" s="5" t="inlineStr">
        <is>
          <t>藤枝順心高等学校</t>
        </is>
      </c>
      <c r="E749" s="6" t="inlineStr">
        <is>
          <t>054-635-1311</t>
        </is>
      </c>
      <c r="F749" s="7" t="inlineStr">
        <is>
          <t>高</t>
        </is>
      </c>
      <c r="G749" s="5" t="inlineStr">
        <is>
          <t>普通科・専門学科</t>
        </is>
      </c>
      <c r="H749" s="8" t="n"/>
      <c r="I749" s="9" t="n"/>
      <c r="J749" s="9" t="inlineStr">
        <is>
          <t>未架電</t>
        </is>
      </c>
      <c r="K749" s="8" t="n"/>
      <c r="L749" s="9" t="n"/>
      <c r="M749" s="10" t="inlineStr">
        <is>
          <t>2つのサイトで一致、公式未確認</t>
        </is>
      </c>
      <c r="N749" s="11" t="inlineStr">
        <is>
          <t>https://www.mapion.co.jp/phonebook/M11004/22214/ILSP0000041630_ipclm/ ; https://school.js88.com/scl_h/22009310?page=9</t>
        </is>
      </c>
      <c r="O749" s="12" t="inlineStr">
        <is>
          <t>開く</t>
        </is>
      </c>
    </row>
    <row r="750">
      <c r="A750" s="4" t="n">
        <v>746</v>
      </c>
      <c r="B750" s="5" t="inlineStr">
        <is>
          <t>静岡県</t>
        </is>
      </c>
      <c r="C750" s="5" t="inlineStr">
        <is>
          <t>藤枝市</t>
        </is>
      </c>
      <c r="D750" s="5" t="inlineStr">
        <is>
          <t>藤枝明誠高等学校</t>
        </is>
      </c>
      <c r="E750" s="6" t="inlineStr">
        <is>
          <t>054-635-8155</t>
        </is>
      </c>
      <c r="F750" s="7" t="inlineStr">
        <is>
          <t>高</t>
        </is>
      </c>
      <c r="G750" s="5" t="inlineStr">
        <is>
          <t>普通科・専門学科</t>
        </is>
      </c>
      <c r="H750" s="8" t="n"/>
      <c r="I750" s="9" t="n"/>
      <c r="J750" s="9" t="inlineStr">
        <is>
          <t>未架電</t>
        </is>
      </c>
      <c r="K750" s="8" t="n"/>
      <c r="L750" s="9" t="n"/>
      <c r="M750" s="10" t="inlineStr">
        <is>
          <t>公式サイトの事務室の番号</t>
        </is>
      </c>
      <c r="N750" s="11" t="inlineStr">
        <is>
          <t>https://www.fgmeisei.ed.jp/contact/</t>
        </is>
      </c>
      <c r="O750" s="12" t="inlineStr">
        <is>
          <t>開く</t>
        </is>
      </c>
    </row>
    <row r="751">
      <c r="A751" s="4" t="n">
        <v>747</v>
      </c>
      <c r="B751" s="5" t="inlineStr">
        <is>
          <t>静岡県</t>
        </is>
      </c>
      <c r="C751" s="5" t="inlineStr">
        <is>
          <t>裾野市</t>
        </is>
      </c>
      <c r="D751" s="5" t="inlineStr">
        <is>
          <t>不二聖心女子学院高等学校</t>
        </is>
      </c>
      <c r="E751" s="6" t="inlineStr">
        <is>
          <t>055-992-0213</t>
        </is>
      </c>
      <c r="F751" s="7" t="inlineStr">
        <is>
          <t>高</t>
        </is>
      </c>
      <c r="G751" s="5" t="inlineStr">
        <is>
          <t>普通科</t>
        </is>
      </c>
      <c r="H751" s="8" t="n"/>
      <c r="I751" s="9" t="n"/>
      <c r="J751" s="9" t="inlineStr">
        <is>
          <t>未架電</t>
        </is>
      </c>
      <c r="K751" s="8" t="n"/>
      <c r="L751" s="9" t="n"/>
      <c r="M751" s="10" t="inlineStr">
        <is>
          <t>公式サイトで確認。中高共通</t>
        </is>
      </c>
      <c r="N751" s="11" t="inlineStr">
        <is>
          <t>https://www.fujiseishin-jh.ed.jp/access/</t>
        </is>
      </c>
      <c r="O751" s="12" t="inlineStr">
        <is>
          <t>開く</t>
        </is>
      </c>
    </row>
    <row r="752">
      <c r="A752" s="4" t="n">
        <v>748</v>
      </c>
      <c r="B752" s="5" t="inlineStr">
        <is>
          <t>静岡県</t>
        </is>
      </c>
      <c r="C752" s="5" t="inlineStr">
        <is>
          <t>焼津市</t>
        </is>
      </c>
      <c r="D752" s="5" t="inlineStr">
        <is>
          <t>焼津高等学校</t>
        </is>
      </c>
      <c r="E752" s="6" t="inlineStr">
        <is>
          <t>054-628-7235</t>
        </is>
      </c>
      <c r="F752" s="7" t="inlineStr">
        <is>
          <t>高</t>
        </is>
      </c>
      <c r="G752" s="5" t="inlineStr">
        <is>
          <t>総合学科</t>
        </is>
      </c>
      <c r="H752" s="8" t="n"/>
      <c r="I752" s="9" t="n"/>
      <c r="J752" s="9" t="inlineStr">
        <is>
          <t>未架電</t>
        </is>
      </c>
      <c r="K752" s="8" t="n"/>
      <c r="L752" s="9" t="n"/>
      <c r="M752" s="10" t="inlineStr">
        <is>
          <t>私立（学校法人松薫学園）。公式サイトで確認</t>
        </is>
      </c>
      <c r="N752" s="11" t="inlineStr">
        <is>
          <t>https://yaizu-h.ed.jp/</t>
        </is>
      </c>
      <c r="O752" s="12" t="inlineStr">
        <is>
          <t>開く</t>
        </is>
      </c>
    </row>
    <row r="753">
      <c r="A753" s="4" t="n">
        <v>749</v>
      </c>
      <c r="B753" s="5" t="inlineStr">
        <is>
          <t>愛知県</t>
        </is>
      </c>
      <c r="C753" s="5" t="inlineStr">
        <is>
          <t>稲沢市</t>
        </is>
      </c>
      <c r="D753" s="5" t="inlineStr">
        <is>
          <t>愛知啓成高等学校</t>
        </is>
      </c>
      <c r="E753" s="6" t="inlineStr">
        <is>
          <t>0587-32-5141</t>
        </is>
      </c>
      <c r="F753" s="7" t="inlineStr">
        <is>
          <t>高</t>
        </is>
      </c>
      <c r="G753" s="5" t="inlineStr">
        <is>
          <t>普通科</t>
        </is>
      </c>
      <c r="H753" s="8" t="n"/>
      <c r="I753" s="9" t="n"/>
      <c r="J753" s="9" t="inlineStr">
        <is>
          <t>未架電</t>
        </is>
      </c>
      <c r="K753" s="8" t="n"/>
      <c r="L753" s="9" t="n"/>
      <c r="M753" s="10" t="inlineStr">
        <is>
          <t>公式サイトで確認</t>
        </is>
      </c>
      <c r="N753" s="11" t="inlineStr">
        <is>
          <t>https://keisei.ed.jp/ ; https://www.city.inazawa.aichi.jp/0000002446.html</t>
        </is>
      </c>
      <c r="O753" s="12" t="inlineStr">
        <is>
          <t>開く</t>
        </is>
      </c>
    </row>
    <row r="754">
      <c r="A754" s="4" t="n">
        <v>750</v>
      </c>
      <c r="B754" s="5" t="inlineStr">
        <is>
          <t>愛知県</t>
        </is>
      </c>
      <c r="C754" s="5" t="inlineStr">
        <is>
          <t>名古屋市千種区</t>
        </is>
      </c>
      <c r="D754" s="5" t="inlineStr">
        <is>
          <t>愛知工業大学名電高等学校</t>
        </is>
      </c>
      <c r="E754" s="6" t="inlineStr">
        <is>
          <t>052-721-0311</t>
        </is>
      </c>
      <c r="F754" s="7" t="inlineStr">
        <is>
          <t>高</t>
        </is>
      </c>
      <c r="G754" s="5" t="inlineStr">
        <is>
          <t>普通科・専門学科</t>
        </is>
      </c>
      <c r="H754" s="8" t="n"/>
      <c r="I754" s="9" t="n"/>
      <c r="J754" s="9" t="inlineStr">
        <is>
          <t>未架電</t>
        </is>
      </c>
      <c r="K754" s="8" t="n"/>
      <c r="L754" s="9" t="n"/>
      <c r="M754" s="10" t="inlineStr">
        <is>
          <t>公式サイトに「代表」と記載</t>
        </is>
      </c>
      <c r="N754" s="11" t="inlineStr">
        <is>
          <t>https://www.meiden.ed.jp/others/contact.html</t>
        </is>
      </c>
      <c r="O754" s="12" t="inlineStr">
        <is>
          <t>開く</t>
        </is>
      </c>
    </row>
    <row r="755">
      <c r="A755" s="4" t="n">
        <v>751</v>
      </c>
      <c r="B755" s="5" t="inlineStr">
        <is>
          <t>愛知県</t>
        </is>
      </c>
      <c r="C755" s="5" t="inlineStr">
        <is>
          <t>名古屋市千種区</t>
        </is>
      </c>
      <c r="D755" s="5" t="inlineStr">
        <is>
          <t>愛知高等学校</t>
        </is>
      </c>
      <c r="E755" s="6" t="inlineStr">
        <is>
          <t>052-721-1521</t>
        </is>
      </c>
      <c r="F755" s="7" t="inlineStr">
        <is>
          <t>高</t>
        </is>
      </c>
      <c r="G755" s="5" t="inlineStr">
        <is>
          <t>普通科</t>
        </is>
      </c>
      <c r="H755" s="8" t="n"/>
      <c r="I755" s="9" t="n"/>
      <c r="J755" s="9" t="inlineStr">
        <is>
          <t>未架電</t>
        </is>
      </c>
      <c r="K755" s="8" t="n"/>
      <c r="L755" s="9" t="n"/>
      <c r="M755" s="10" t="inlineStr">
        <is>
          <t>公式サイトに「代表」と記載。中高共通</t>
        </is>
      </c>
      <c r="N755" s="11" t="inlineStr">
        <is>
          <t>https://www.aichi-h.ed.jp/hs/access/</t>
        </is>
      </c>
      <c r="O755" s="12" t="inlineStr">
        <is>
          <t>開く</t>
        </is>
      </c>
    </row>
    <row r="756">
      <c r="A756" s="4" t="n">
        <v>752</v>
      </c>
      <c r="B756" s="5" t="inlineStr">
        <is>
          <t>愛知県</t>
        </is>
      </c>
      <c r="C756" s="5" t="inlineStr">
        <is>
          <t>岡崎市</t>
        </is>
      </c>
      <c r="D756" s="5" t="inlineStr">
        <is>
          <t>愛知産業大学三河高等学校</t>
        </is>
      </c>
      <c r="E756" s="6" t="inlineStr">
        <is>
          <t>0564-48-5211</t>
        </is>
      </c>
      <c r="F756" s="7" t="inlineStr">
        <is>
          <t>高</t>
        </is>
      </c>
      <c r="G756" s="5" t="inlineStr">
        <is>
          <t>普通科・専門学科</t>
        </is>
      </c>
      <c r="H756" s="8" t="n"/>
      <c r="I756" s="9" t="n"/>
      <c r="J756" s="9" t="inlineStr">
        <is>
          <t>未架電</t>
        </is>
      </c>
      <c r="K756" s="8" t="n"/>
      <c r="L756" s="9" t="n"/>
      <c r="M756" s="10" t="inlineStr">
        <is>
          <t>全日制の番号（公式サイト）。通信制課程は0564-48-5230</t>
        </is>
      </c>
      <c r="N756" s="11" t="inlineStr">
        <is>
          <t>https://www.mikawa.ed.jp/introduction/information/</t>
        </is>
      </c>
      <c r="O756" s="12" t="inlineStr">
        <is>
          <t>開く</t>
        </is>
      </c>
    </row>
    <row r="757">
      <c r="A757" s="4" t="n">
        <v>753</v>
      </c>
      <c r="B757" s="5" t="inlineStr">
        <is>
          <t>愛知県</t>
        </is>
      </c>
      <c r="C757" s="5" t="inlineStr">
        <is>
          <t>名古屋市千種区</t>
        </is>
      </c>
      <c r="D757" s="5" t="inlineStr">
        <is>
          <t>愛知淑徳高等学校</t>
        </is>
      </c>
      <c r="E757" s="6" t="inlineStr">
        <is>
          <t>052-781-1151</t>
        </is>
      </c>
      <c r="F757" s="7" t="inlineStr">
        <is>
          <t>高</t>
        </is>
      </c>
      <c r="G757" s="5" t="inlineStr">
        <is>
          <t>普通科</t>
        </is>
      </c>
      <c r="H757" s="8" t="n"/>
      <c r="I757" s="9" t="n"/>
      <c r="J757" s="9" t="inlineStr">
        <is>
          <t>未架電</t>
        </is>
      </c>
      <c r="K757" s="8" t="n"/>
      <c r="L757" s="9" t="n"/>
      <c r="M757" s="10" t="inlineStr">
        <is>
          <t>公式サイトで代表番号として確認。中高共通</t>
        </is>
      </c>
      <c r="N757" s="11" t="inlineStr">
        <is>
          <t>https://www.aichishukutoku-h.jp/contact/</t>
        </is>
      </c>
      <c r="O757" s="12" t="inlineStr">
        <is>
          <t>開く</t>
        </is>
      </c>
    </row>
    <row r="758">
      <c r="A758" s="4" t="n">
        <v>754</v>
      </c>
      <c r="B758" s="5" t="inlineStr">
        <is>
          <t>愛知県</t>
        </is>
      </c>
      <c r="C758" s="5" t="inlineStr">
        <is>
          <t>名古屋市瑞穂区</t>
        </is>
      </c>
      <c r="D758" s="5" t="inlineStr">
        <is>
          <t>愛知みずほ大学瑞穂高等学校</t>
        </is>
      </c>
      <c r="E758" s="6" t="inlineStr">
        <is>
          <t>052-882-1811</t>
        </is>
      </c>
      <c r="F758" s="7" t="inlineStr">
        <is>
          <t>高</t>
        </is>
      </c>
      <c r="G758" s="5" t="inlineStr">
        <is>
          <t>普通科・専門学科</t>
        </is>
      </c>
      <c r="H758" s="8" t="n"/>
      <c r="I758" s="9" t="n"/>
      <c r="J758" s="9" t="inlineStr">
        <is>
          <t>未架電</t>
        </is>
      </c>
      <c r="K758" s="8" t="n"/>
      <c r="L758" s="9" t="n"/>
      <c r="M758" s="10" t="inlineStr">
        <is>
          <t>公式サイトで確認</t>
        </is>
      </c>
      <c r="N758" s="11" t="inlineStr">
        <is>
          <t>https://www.aichi-mizuho.ac.jp/mhs/</t>
        </is>
      </c>
      <c r="O758" s="12" t="inlineStr">
        <is>
          <t>開く</t>
        </is>
      </c>
    </row>
    <row r="759">
      <c r="A759" s="4" t="n">
        <v>755</v>
      </c>
      <c r="B759" s="5" t="inlineStr">
        <is>
          <t>愛知県</t>
        </is>
      </c>
      <c r="C759" s="5" t="inlineStr">
        <is>
          <t>弥富市</t>
        </is>
      </c>
      <c r="D759" s="5" t="inlineStr">
        <is>
          <t>愛知黎明高等学校</t>
        </is>
      </c>
      <c r="E759" s="6" t="inlineStr">
        <is>
          <t>0567-68-2233</t>
        </is>
      </c>
      <c r="F759" s="7" t="inlineStr">
        <is>
          <t>高</t>
        </is>
      </c>
      <c r="G759" s="5" t="inlineStr">
        <is>
          <t>普通科・専門学科</t>
        </is>
      </c>
      <c r="H759" s="8" t="n"/>
      <c r="I759" s="9" t="n"/>
      <c r="J759" s="9" t="inlineStr">
        <is>
          <t>未架電</t>
        </is>
      </c>
      <c r="K759" s="8" t="n"/>
      <c r="L759" s="9" t="n"/>
      <c r="M759" s="10" t="inlineStr">
        <is>
          <t>複数サイトで一致、公式未確認。定時制あり</t>
        </is>
      </c>
      <c r="N759" s="11" t="inlineStr">
        <is>
          <t>https://www.mapion.co.jp/phonebook/M11004/23235/ILSP0000040620_ipclm/ ; https://school.js88.com/scl_h/22011520</t>
        </is>
      </c>
      <c r="O759" s="12" t="inlineStr">
        <is>
          <t>開く</t>
        </is>
      </c>
    </row>
    <row r="760">
      <c r="A760" s="4" t="n">
        <v>756</v>
      </c>
      <c r="B760" s="5" t="inlineStr">
        <is>
          <t>愛知県</t>
        </is>
      </c>
      <c r="C760" s="5" t="inlineStr">
        <is>
          <t>安城市</t>
        </is>
      </c>
      <c r="D760" s="5" t="inlineStr">
        <is>
          <t>安城学園高等学校</t>
        </is>
      </c>
      <c r="E760" s="6" t="inlineStr">
        <is>
          <t>0566-76-5105</t>
        </is>
      </c>
      <c r="F760" s="7" t="inlineStr">
        <is>
          <t>高</t>
        </is>
      </c>
      <c r="G760" s="5" t="inlineStr">
        <is>
          <t>普通科・専門学科</t>
        </is>
      </c>
      <c r="H760" s="8" t="n"/>
      <c r="I760" s="9" t="n"/>
      <c r="J760" s="9" t="inlineStr">
        <is>
          <t>未架電</t>
        </is>
      </c>
      <c r="K760" s="8" t="n"/>
      <c r="L760" s="9" t="n"/>
      <c r="M760" s="10" t="inlineStr">
        <is>
          <t>公式サイトで確認。法人本部（0566-77-7788）とは別</t>
        </is>
      </c>
      <c r="N760" s="11" t="inlineStr">
        <is>
          <t>https://www.angaku.jp/contact</t>
        </is>
      </c>
      <c r="O760" s="12" t="inlineStr">
        <is>
          <t>開く</t>
        </is>
      </c>
    </row>
    <row r="761">
      <c r="A761" s="4" t="n">
        <v>757</v>
      </c>
      <c r="B761" s="5" t="inlineStr">
        <is>
          <t>愛知県</t>
        </is>
      </c>
      <c r="C761" s="5" t="inlineStr">
        <is>
          <t>長久手市</t>
        </is>
      </c>
      <c r="D761" s="5" t="inlineStr">
        <is>
          <t>栄徳高等学校</t>
        </is>
      </c>
      <c r="E761" s="6" t="inlineStr">
        <is>
          <t>0561-62-5000</t>
        </is>
      </c>
      <c r="F761" s="7" t="inlineStr">
        <is>
          <t>高</t>
        </is>
      </c>
      <c r="G761" s="5" t="inlineStr">
        <is>
          <t>普通科</t>
        </is>
      </c>
      <c r="H761" s="8" t="n"/>
      <c r="I761" s="9" t="n"/>
      <c r="J761" s="9" t="inlineStr">
        <is>
          <t>未架電</t>
        </is>
      </c>
      <c r="K761" s="8" t="n"/>
      <c r="L761" s="9" t="n"/>
      <c r="M761" s="10" t="inlineStr">
        <is>
          <t>公式サイトに「代表」と記載</t>
        </is>
      </c>
      <c r="N761" s="11" t="inlineStr">
        <is>
          <t>https://www.eitoku-h.ed.jp/</t>
        </is>
      </c>
      <c r="O761" s="12" t="inlineStr">
        <is>
          <t>開く</t>
        </is>
      </c>
    </row>
    <row r="762">
      <c r="A762" s="4" t="n">
        <v>758</v>
      </c>
      <c r="B762" s="5" t="inlineStr">
        <is>
          <t>愛知県</t>
        </is>
      </c>
      <c r="C762" s="5" t="inlineStr">
        <is>
          <t>名古屋市昭和区</t>
        </is>
      </c>
      <c r="D762" s="5" t="inlineStr">
        <is>
          <t>桜花学園高等学校</t>
        </is>
      </c>
      <c r="E762" s="6" t="inlineStr">
        <is>
          <t>052-741-1221</t>
        </is>
      </c>
      <c r="F762" s="7" t="inlineStr">
        <is>
          <t>高</t>
        </is>
      </c>
      <c r="G762" s="5" t="inlineStr">
        <is>
          <t>普通科</t>
        </is>
      </c>
      <c r="H762" s="8" t="n"/>
      <c r="I762" s="9" t="n"/>
      <c r="J762" s="9" t="inlineStr">
        <is>
          <t>未架電</t>
        </is>
      </c>
      <c r="K762" s="8" t="n"/>
      <c r="L762" s="9" t="n"/>
      <c r="M762" s="10" t="inlineStr">
        <is>
          <t>公式サイトで確認</t>
        </is>
      </c>
      <c r="N762" s="11" t="inlineStr">
        <is>
          <t>https://ohka-hs.com/profile/</t>
        </is>
      </c>
      <c r="O762" s="12" t="inlineStr">
        <is>
          <t>開く</t>
        </is>
      </c>
    </row>
    <row r="763">
      <c r="A763" s="4" t="n">
        <v>759</v>
      </c>
      <c r="B763" s="5" t="inlineStr">
        <is>
          <t>愛知県</t>
        </is>
      </c>
      <c r="C763" s="5" t="inlineStr">
        <is>
          <t>岡崎市</t>
        </is>
      </c>
      <c r="D763" s="5" t="inlineStr">
        <is>
          <t>岡崎城西高等学校</t>
        </is>
      </c>
      <c r="E763" s="6" t="inlineStr">
        <is>
          <t>0564-31-4165</t>
        </is>
      </c>
      <c r="F763" s="7" t="inlineStr">
        <is>
          <t>高</t>
        </is>
      </c>
      <c r="G763" s="5" t="inlineStr">
        <is>
          <t>普通科</t>
        </is>
      </c>
      <c r="H763" s="8" t="n"/>
      <c r="I763" s="9" t="n"/>
      <c r="J763" s="9" t="inlineStr">
        <is>
          <t>未架電</t>
        </is>
      </c>
      <c r="K763" s="8" t="n"/>
      <c r="L763" s="9" t="n"/>
      <c r="M763" s="10" t="inlineStr">
        <is>
          <t>公式サイトで確認（安城学園岡崎城西）</t>
        </is>
      </c>
      <c r="N763" s="11" t="inlineStr">
        <is>
          <t>https://www.johsei.jp/contact/</t>
        </is>
      </c>
      <c r="O763" s="12" t="inlineStr">
        <is>
          <t>開く</t>
        </is>
      </c>
    </row>
    <row r="764">
      <c r="A764" s="4" t="n">
        <v>760</v>
      </c>
      <c r="B764" s="5" t="inlineStr">
        <is>
          <t>愛知県</t>
        </is>
      </c>
      <c r="C764" s="5" t="inlineStr">
        <is>
          <t>名古屋市守山区</t>
        </is>
      </c>
      <c r="D764" s="5" t="inlineStr">
        <is>
          <t>菊華高等学校</t>
        </is>
      </c>
      <c r="E764" s="6" t="inlineStr">
        <is>
          <t>052-791-8261</t>
        </is>
      </c>
      <c r="F764" s="7" t="inlineStr">
        <is>
          <t>高</t>
        </is>
      </c>
      <c r="G764" s="5" t="inlineStr">
        <is>
          <t>普通科・専門学科</t>
        </is>
      </c>
      <c r="H764" s="8" t="n"/>
      <c r="I764" s="9" t="n"/>
      <c r="J764" s="9" t="inlineStr">
        <is>
          <t>未架電</t>
        </is>
      </c>
      <c r="K764" s="8" t="n"/>
      <c r="L764" s="9" t="n"/>
      <c r="M764" s="10" t="inlineStr">
        <is>
          <t>全日制の本校の番号（公式サイト）</t>
        </is>
      </c>
      <c r="N764" s="11" t="inlineStr">
        <is>
          <t>https://kikuka.ed.jp/</t>
        </is>
      </c>
      <c r="O764" s="12" t="inlineStr">
        <is>
          <t>開く</t>
        </is>
      </c>
    </row>
    <row r="765">
      <c r="A765" s="4" t="n">
        <v>761</v>
      </c>
      <c r="B765" s="5" t="inlineStr">
        <is>
          <t>愛知県</t>
        </is>
      </c>
      <c r="C765" s="5" t="inlineStr">
        <is>
          <t>名古屋市瑞穂区</t>
        </is>
      </c>
      <c r="D765" s="5" t="inlineStr">
        <is>
          <t>享栄高等学校</t>
        </is>
      </c>
      <c r="E765" s="6" t="inlineStr">
        <is>
          <t>052-841-8151</t>
        </is>
      </c>
      <c r="F765" s="7" t="inlineStr">
        <is>
          <t>高</t>
        </is>
      </c>
      <c r="G765" s="5" t="inlineStr">
        <is>
          <t>普通科・専門学科</t>
        </is>
      </c>
      <c r="H765" s="8" t="n"/>
      <c r="I765" s="9" t="n"/>
      <c r="J765" s="9" t="inlineStr">
        <is>
          <t>未架電</t>
        </is>
      </c>
      <c r="K765" s="8" t="n"/>
      <c r="L765" s="9" t="n"/>
      <c r="M765" s="10" t="inlineStr">
        <is>
          <t>公式サイトに「代表」と記載</t>
        </is>
      </c>
      <c r="N765" s="11" t="inlineStr">
        <is>
          <t>https://www.kyoei-h.ed.jp/contact/</t>
        </is>
      </c>
      <c r="O765" s="12" t="inlineStr">
        <is>
          <t>開く</t>
        </is>
      </c>
    </row>
    <row r="766">
      <c r="A766" s="4" t="n">
        <v>762</v>
      </c>
      <c r="B766" s="5" t="inlineStr">
        <is>
          <t>愛知県</t>
        </is>
      </c>
      <c r="C766" s="5" t="inlineStr">
        <is>
          <t>名古屋市東区</t>
        </is>
      </c>
      <c r="D766" s="5" t="inlineStr">
        <is>
          <t>金城学院高等学校</t>
        </is>
      </c>
      <c r="E766" s="6" t="inlineStr">
        <is>
          <t>052-931-6236</t>
        </is>
      </c>
      <c r="F766" s="7" t="inlineStr">
        <is>
          <t>高</t>
        </is>
      </c>
      <c r="G766" s="5" t="inlineStr">
        <is>
          <t>普通科</t>
        </is>
      </c>
      <c r="H766" s="8" t="n"/>
      <c r="I766" s="9" t="n"/>
      <c r="J766" s="9" t="inlineStr">
        <is>
          <t>未架電</t>
        </is>
      </c>
      <c r="K766" s="8" t="n"/>
      <c r="L766" s="9" t="n"/>
      <c r="M766" s="10" t="inlineStr">
        <is>
          <t>高校の番号（公式サイト）。中学校は052-931-0821、大学は別番号</t>
        </is>
      </c>
      <c r="N766" s="11" t="inlineStr">
        <is>
          <t>https://www.hs.kinjo-u.ac.jp/contact/</t>
        </is>
      </c>
      <c r="O766" s="12" t="inlineStr">
        <is>
          <t>開く</t>
        </is>
      </c>
    </row>
    <row r="767">
      <c r="A767" s="4" t="n">
        <v>763</v>
      </c>
      <c r="B767" s="5" t="inlineStr">
        <is>
          <t>愛知県</t>
        </is>
      </c>
      <c r="C767" s="5" t="inlineStr">
        <is>
          <t>名古屋市西区</t>
        </is>
      </c>
      <c r="D767" s="5" t="inlineStr">
        <is>
          <t>啓明学館高等学校</t>
        </is>
      </c>
      <c r="E767" s="6" t="inlineStr">
        <is>
          <t>052-571-2561</t>
        </is>
      </c>
      <c r="F767" s="13" t="inlineStr">
        <is>
          <t>中</t>
        </is>
      </c>
      <c r="G767" s="5" t="inlineStr">
        <is>
          <t>普通科・専門学科</t>
        </is>
      </c>
      <c r="H767" s="8" t="n"/>
      <c r="I767" s="9" t="n"/>
      <c r="J767" s="9" t="inlineStr">
        <is>
          <t>未架電</t>
        </is>
      </c>
      <c r="K767" s="8" t="n"/>
      <c r="L767" s="9" t="n"/>
      <c r="M767" s="10" t="inlineStr">
        <is>
          <t>公式サイトの事務所の番号（「代表」の表記なし）。職員室は052-571-7366</t>
        </is>
      </c>
      <c r="N767" s="11" t="inlineStr">
        <is>
          <t>https://keimeigakkan-h.ed.jp/</t>
        </is>
      </c>
      <c r="O767" s="12" t="inlineStr">
        <is>
          <t>開く</t>
        </is>
      </c>
    </row>
    <row r="768">
      <c r="A768" s="4" t="n">
        <v>764</v>
      </c>
      <c r="B768" s="5" t="inlineStr">
        <is>
          <t>愛知県</t>
        </is>
      </c>
      <c r="C768" s="5" t="inlineStr">
        <is>
          <t>豊橋市</t>
        </is>
      </c>
      <c r="D768" s="5" t="inlineStr">
        <is>
          <t>桜丘高等学校（愛知県）</t>
        </is>
      </c>
      <c r="E768" s="6" t="inlineStr">
        <is>
          <t>0570-039-396</t>
        </is>
      </c>
      <c r="F768" s="13" t="inlineStr">
        <is>
          <t>中</t>
        </is>
      </c>
      <c r="G768" s="5" t="inlineStr">
        <is>
          <t>普通科</t>
        </is>
      </c>
      <c r="H768" s="8" t="n"/>
      <c r="I768" s="9" t="n"/>
      <c r="J768" s="9" t="inlineStr">
        <is>
          <t>未架電</t>
        </is>
      </c>
      <c r="K768" s="8" t="n"/>
      <c r="L768" s="9" t="n"/>
      <c r="M768" s="10" t="inlineStr">
        <is>
          <t>公式サイトのナビダイヤル（学園・高校共通、通話料がかかる番号）。旧番号0532-61-6421が一部サイトに残る</t>
        </is>
      </c>
      <c r="N768" s="11" t="inlineStr">
        <is>
          <t>https://www.sakuragaoka-gakuen.ed.jp/h/</t>
        </is>
      </c>
      <c r="O768" s="12" t="inlineStr">
        <is>
          <t>開く</t>
        </is>
      </c>
    </row>
    <row r="769">
      <c r="A769" s="4" t="n">
        <v>765</v>
      </c>
      <c r="B769" s="5" t="inlineStr">
        <is>
          <t>愛知県</t>
        </is>
      </c>
      <c r="C769" s="5" t="inlineStr">
        <is>
          <t>名古屋市東区</t>
        </is>
      </c>
      <c r="D769" s="5" t="inlineStr">
        <is>
          <t>至学館高等学校</t>
        </is>
      </c>
      <c r="E769" s="6" t="inlineStr">
        <is>
          <t>052-723-0851</t>
        </is>
      </c>
      <c r="F769" s="7" t="inlineStr">
        <is>
          <t>高</t>
        </is>
      </c>
      <c r="G769" s="5" t="inlineStr">
        <is>
          <t>普通科・専門学科</t>
        </is>
      </c>
      <c r="H769" s="8" t="n"/>
      <c r="I769" s="9" t="n"/>
      <c r="J769" s="9" t="inlineStr">
        <is>
          <t>未架電</t>
        </is>
      </c>
      <c r="K769" s="8" t="n"/>
      <c r="L769" s="9" t="n"/>
      <c r="M769" s="10" t="inlineStr">
        <is>
          <t>公式サイトで確認</t>
        </is>
      </c>
      <c r="N769" s="11" t="inlineStr">
        <is>
          <t>https://www.shigakukan-h.ed.jp/</t>
        </is>
      </c>
      <c r="O769" s="12" t="inlineStr">
        <is>
          <t>開く</t>
        </is>
      </c>
    </row>
    <row r="770">
      <c r="A770" s="4" t="n">
        <v>766</v>
      </c>
      <c r="B770" s="5" t="inlineStr">
        <is>
          <t>愛知県</t>
        </is>
      </c>
      <c r="C770" s="5" t="inlineStr">
        <is>
          <t>一宮市</t>
        </is>
      </c>
      <c r="D770" s="5" t="inlineStr">
        <is>
          <t>修文学院高等学校</t>
        </is>
      </c>
      <c r="E770" s="6" t="inlineStr">
        <is>
          <t>0586-45-2102</t>
        </is>
      </c>
      <c r="F770" s="7" t="inlineStr">
        <is>
          <t>高</t>
        </is>
      </c>
      <c r="G770" s="5" t="inlineStr">
        <is>
          <t>普通科・専門学科</t>
        </is>
      </c>
      <c r="H770" s="8" t="n"/>
      <c r="I770" s="9" t="n"/>
      <c r="J770" s="9" t="inlineStr">
        <is>
          <t>未架電</t>
        </is>
      </c>
      <c r="K770" s="8" t="n"/>
      <c r="L770" s="9" t="n"/>
      <c r="M770" s="10" t="inlineStr">
        <is>
          <t>公式サイトで確認。【校名変更】2022年に修文女子高校から改称・共学化</t>
        </is>
      </c>
      <c r="N770" s="11" t="inlineStr">
        <is>
          <t>https://www.gakuin-hs.shubun.ac.jp/contact</t>
        </is>
      </c>
      <c r="O770" s="12" t="inlineStr">
        <is>
          <t>開く</t>
        </is>
      </c>
    </row>
    <row r="771">
      <c r="A771" s="4" t="n">
        <v>767</v>
      </c>
      <c r="B771" s="5" t="inlineStr">
        <is>
          <t>愛知県</t>
        </is>
      </c>
      <c r="C771" s="5" t="inlineStr">
        <is>
          <t>名古屋市千種区</t>
        </is>
      </c>
      <c r="D771" s="5" t="inlineStr">
        <is>
          <t>椙山女学園高等学校</t>
        </is>
      </c>
      <c r="E771" s="6" t="inlineStr">
        <is>
          <t>052-751-8131</t>
        </is>
      </c>
      <c r="F771" s="7" t="inlineStr">
        <is>
          <t>高</t>
        </is>
      </c>
      <c r="G771" s="5" t="inlineStr">
        <is>
          <t>普通科</t>
        </is>
      </c>
      <c r="H771" s="8" t="n"/>
      <c r="I771" s="9" t="n"/>
      <c r="J771" s="9" t="inlineStr">
        <is>
          <t>未架電</t>
        </is>
      </c>
      <c r="K771" s="8" t="n"/>
      <c r="L771" s="9" t="n"/>
      <c r="M771" s="10" t="inlineStr">
        <is>
          <t>公式サイトに「代表」と記載</t>
        </is>
      </c>
      <c r="N771" s="11" t="inlineStr">
        <is>
          <t>https://www.sugiyama-u.ac.jp/high/index.html</t>
        </is>
      </c>
      <c r="O771" s="12" t="inlineStr">
        <is>
          <t>開く</t>
        </is>
      </c>
    </row>
    <row r="772">
      <c r="A772" s="4" t="n">
        <v>768</v>
      </c>
      <c r="B772" s="5" t="inlineStr">
        <is>
          <t>愛知県</t>
        </is>
      </c>
      <c r="C772" s="5" t="inlineStr">
        <is>
          <t>瀬戸市</t>
        </is>
      </c>
      <c r="D772" s="5" t="inlineStr">
        <is>
          <t>聖カピタニオ女子高等学校</t>
        </is>
      </c>
      <c r="E772" s="6" t="inlineStr">
        <is>
          <t>0561-82-7711</t>
        </is>
      </c>
      <c r="F772" s="7" t="inlineStr">
        <is>
          <t>高</t>
        </is>
      </c>
      <c r="G772" s="5" t="inlineStr">
        <is>
          <t>普通科</t>
        </is>
      </c>
      <c r="H772" s="8" t="n"/>
      <c r="I772" s="9" t="n"/>
      <c r="J772" s="9" t="inlineStr">
        <is>
          <t>未架電</t>
        </is>
      </c>
      <c r="K772" s="8" t="n"/>
      <c r="L772" s="9" t="n"/>
      <c r="M772" s="10" t="inlineStr">
        <is>
          <t>公式サイトで確認</t>
        </is>
      </c>
      <c r="N772" s="11" t="inlineStr">
        <is>
          <t>https://www.st-capitanio.ed.jp/access/access.html</t>
        </is>
      </c>
      <c r="O772" s="12" t="inlineStr">
        <is>
          <t>開く</t>
        </is>
      </c>
    </row>
    <row r="773">
      <c r="A773" s="4" t="n">
        <v>769</v>
      </c>
      <c r="B773" s="5" t="inlineStr">
        <is>
          <t>愛知県</t>
        </is>
      </c>
      <c r="C773" s="5" t="inlineStr">
        <is>
          <t>扶桑町</t>
        </is>
      </c>
      <c r="D773" s="5" t="inlineStr">
        <is>
          <t>誠信高等学校</t>
        </is>
      </c>
      <c r="E773" s="6" t="inlineStr">
        <is>
          <t>0587-93-5380</t>
        </is>
      </c>
      <c r="F773" s="7" t="inlineStr">
        <is>
          <t>高</t>
        </is>
      </c>
      <c r="G773" s="5" t="inlineStr">
        <is>
          <t>普通科</t>
        </is>
      </c>
      <c r="H773" s="8" t="n"/>
      <c r="I773" s="9" t="n"/>
      <c r="J773" s="9" t="inlineStr">
        <is>
          <t>未架電</t>
        </is>
      </c>
      <c r="K773" s="8" t="n"/>
      <c r="L773" s="9" t="n"/>
      <c r="M773" s="10" t="inlineStr">
        <is>
          <t>公式サイトに「代表」と記載。0587-93-8172はFAXなので注意</t>
        </is>
      </c>
      <c r="N773" s="11" t="inlineStr">
        <is>
          <t>https://www.a-seishin.ed.jp/contact/</t>
        </is>
      </c>
      <c r="O773" s="12" t="inlineStr">
        <is>
          <t>開く</t>
        </is>
      </c>
    </row>
    <row r="774">
      <c r="A774" s="4" t="n">
        <v>770</v>
      </c>
      <c r="B774" s="5" t="inlineStr">
        <is>
          <t>愛知県</t>
        </is>
      </c>
      <c r="C774" s="5" t="inlineStr">
        <is>
          <t>豊明市</t>
        </is>
      </c>
      <c r="D774" s="5" t="inlineStr">
        <is>
          <t>星城高等学校</t>
        </is>
      </c>
      <c r="E774" s="6" t="inlineStr">
        <is>
          <t>0562-97-3111</t>
        </is>
      </c>
      <c r="F774" s="7" t="inlineStr">
        <is>
          <t>高</t>
        </is>
      </c>
      <c r="G774" s="5" t="inlineStr">
        <is>
          <t>普通科</t>
        </is>
      </c>
      <c r="H774" s="8" t="n"/>
      <c r="I774" s="9" t="n"/>
      <c r="J774" s="9" t="inlineStr">
        <is>
          <t>未架電</t>
        </is>
      </c>
      <c r="K774" s="8" t="n"/>
      <c r="L774" s="9" t="n"/>
      <c r="M774" s="10" t="inlineStr">
        <is>
          <t>公式サイトに「代表」と記載</t>
        </is>
      </c>
      <c r="N774" s="11" t="inlineStr">
        <is>
          <t>https://www.seijoh.ed.jp/</t>
        </is>
      </c>
      <c r="O774" s="12" t="inlineStr">
        <is>
          <t>開く</t>
        </is>
      </c>
    </row>
    <row r="775">
      <c r="A775" s="4" t="n">
        <v>771</v>
      </c>
      <c r="B775" s="5" t="inlineStr">
        <is>
          <t>愛知県</t>
        </is>
      </c>
      <c r="C775" s="5" t="inlineStr">
        <is>
          <t>愛西市</t>
        </is>
      </c>
      <c r="D775" s="5" t="inlineStr">
        <is>
          <t>清林館高等学校</t>
        </is>
      </c>
      <c r="E775" s="6" t="inlineStr">
        <is>
          <t>0567-28-3010</t>
        </is>
      </c>
      <c r="F775" s="7" t="inlineStr">
        <is>
          <t>高</t>
        </is>
      </c>
      <c r="G775" s="5" t="inlineStr">
        <is>
          <t>普通科</t>
        </is>
      </c>
      <c r="H775" s="8" t="n"/>
      <c r="I775" s="9" t="n"/>
      <c r="J775" s="9" t="inlineStr">
        <is>
          <t>未架電</t>
        </is>
      </c>
      <c r="K775" s="8" t="n"/>
      <c r="L775" s="9" t="n"/>
      <c r="M775" s="10" t="inlineStr">
        <is>
          <t>公式サイトで確認</t>
        </is>
      </c>
      <c r="N775" s="11" t="inlineStr">
        <is>
          <t>https://www.seirinkan.ed.jp/high/access</t>
        </is>
      </c>
      <c r="O775" s="12" t="inlineStr">
        <is>
          <t>開く</t>
        </is>
      </c>
    </row>
    <row r="776">
      <c r="A776" s="4" t="n">
        <v>772</v>
      </c>
      <c r="B776" s="5" t="inlineStr">
        <is>
          <t>愛知県</t>
        </is>
      </c>
      <c r="C776" s="5" t="inlineStr">
        <is>
          <t>瀬戸市</t>
        </is>
      </c>
      <c r="D776" s="5" t="inlineStr">
        <is>
          <t>聖霊高等学校</t>
        </is>
      </c>
      <c r="E776" s="6" t="inlineStr">
        <is>
          <t>0561-21-3121</t>
        </is>
      </c>
      <c r="F776" s="7" t="inlineStr">
        <is>
          <t>高</t>
        </is>
      </c>
      <c r="G776" s="5" t="inlineStr">
        <is>
          <t>普通科</t>
        </is>
      </c>
      <c r="H776" s="8" t="n"/>
      <c r="I776" s="9" t="n"/>
      <c r="J776" s="9" t="inlineStr">
        <is>
          <t>未架電</t>
        </is>
      </c>
      <c r="K776" s="8" t="n"/>
      <c r="L776" s="9" t="n"/>
      <c r="M776" s="10" t="inlineStr">
        <is>
          <t>公式サイトで確認。中高共通</t>
        </is>
      </c>
      <c r="N776" s="11" t="inlineStr">
        <is>
          <t>https://www.seto-seirei-js.ed.jp/</t>
        </is>
      </c>
      <c r="O776" s="12" t="inlineStr">
        <is>
          <t>開く</t>
        </is>
      </c>
    </row>
    <row r="777">
      <c r="A777" s="4" t="n">
        <v>773</v>
      </c>
      <c r="B777" s="5" t="inlineStr">
        <is>
          <t>愛知県</t>
        </is>
      </c>
      <c r="C777" s="5" t="inlineStr">
        <is>
          <t>一宮市</t>
        </is>
      </c>
      <c r="D777" s="5" t="inlineStr">
        <is>
          <t>大成高等学校（愛知県）</t>
        </is>
      </c>
      <c r="E777" s="6" t="inlineStr">
        <is>
          <t>0586-77-9900</t>
        </is>
      </c>
      <c r="F777" s="7" t="inlineStr">
        <is>
          <t>高</t>
        </is>
      </c>
      <c r="G777" s="5" t="inlineStr">
        <is>
          <t>普通科</t>
        </is>
      </c>
      <c r="H777" s="8" t="n"/>
      <c r="I777" s="9" t="n"/>
      <c r="J777" s="9" t="inlineStr">
        <is>
          <t>未架電</t>
        </is>
      </c>
      <c r="K777" s="8" t="n"/>
      <c r="L777" s="9" t="n"/>
      <c r="M777" s="10" t="inlineStr">
        <is>
          <t>公式サイトと一宮市のサイトで一致</t>
        </is>
      </c>
      <c r="N777" s="11" t="inlineStr">
        <is>
          <t>https://www.aichi-shinwa-taisei.ed.jp/high/ ; https://www.city.ichinomiya.aichi.jp/shisetsu/hoikugakko/1008935/1009298.html</t>
        </is>
      </c>
      <c r="O777" s="12" t="inlineStr">
        <is>
          <t>開く</t>
        </is>
      </c>
    </row>
    <row r="778">
      <c r="A778" s="4" t="n">
        <v>774</v>
      </c>
      <c r="B778" s="5" t="inlineStr">
        <is>
          <t>愛知県</t>
        </is>
      </c>
      <c r="C778" s="5" t="inlineStr">
        <is>
          <t>江南市</t>
        </is>
      </c>
      <c r="D778" s="5" t="inlineStr">
        <is>
          <t>滝高等学校</t>
        </is>
      </c>
      <c r="E778" s="6" t="inlineStr">
        <is>
          <t>0587-56-2127</t>
        </is>
      </c>
      <c r="F778" s="7" t="inlineStr">
        <is>
          <t>高</t>
        </is>
      </c>
      <c r="G778" s="5" t="inlineStr">
        <is>
          <t>普通科</t>
        </is>
      </c>
      <c r="H778" s="8" t="n"/>
      <c r="I778" s="9" t="n"/>
      <c r="J778" s="9" t="inlineStr">
        <is>
          <t>未架電</t>
        </is>
      </c>
      <c r="K778" s="8" t="n"/>
      <c r="L778" s="9" t="n"/>
      <c r="M778" s="10" t="inlineStr">
        <is>
          <t>公式サイトで確認</t>
        </is>
      </c>
      <c r="N778" s="11" t="inlineStr">
        <is>
          <t>https://www.taki-hj.ac.jp/guide/access.html</t>
        </is>
      </c>
      <c r="O778" s="12" t="inlineStr">
        <is>
          <t>開く</t>
        </is>
      </c>
    </row>
    <row r="779">
      <c r="A779" s="4" t="n">
        <v>775</v>
      </c>
      <c r="B779" s="5" t="inlineStr">
        <is>
          <t>愛知県</t>
        </is>
      </c>
      <c r="C779" s="5" t="inlineStr">
        <is>
          <t>名古屋市南区</t>
        </is>
      </c>
      <c r="D779" s="5" t="inlineStr">
        <is>
          <t>大同大学大同高等学校</t>
        </is>
      </c>
      <c r="E779" s="6" t="inlineStr">
        <is>
          <t>052-611-0511</t>
        </is>
      </c>
      <c r="F779" s="7" t="inlineStr">
        <is>
          <t>高</t>
        </is>
      </c>
      <c r="G779" s="5" t="inlineStr">
        <is>
          <t>普通科・専門学科</t>
        </is>
      </c>
      <c r="H779" s="8" t="n"/>
      <c r="I779" s="9" t="n"/>
      <c r="J779" s="9" t="inlineStr">
        <is>
          <t>未架電</t>
        </is>
      </c>
      <c r="K779" s="8" t="n"/>
      <c r="L779" s="9" t="n"/>
      <c r="M779" s="10" t="inlineStr">
        <is>
          <t>公式サイトに「代表」と記載</t>
        </is>
      </c>
      <c r="N779" s="11" t="inlineStr">
        <is>
          <t>https://www.daido-h.ed.jp/access/</t>
        </is>
      </c>
      <c r="O779" s="12" t="inlineStr">
        <is>
          <t>開く</t>
        </is>
      </c>
    </row>
    <row r="780">
      <c r="A780" s="4" t="n">
        <v>776</v>
      </c>
      <c r="B780" s="5" t="inlineStr">
        <is>
          <t>愛知県</t>
        </is>
      </c>
      <c r="C780" s="5" t="inlineStr">
        <is>
          <t>名古屋市昭和区</t>
        </is>
      </c>
      <c r="D780" s="5" t="inlineStr">
        <is>
          <t>中京大学附属中京高等学校</t>
        </is>
      </c>
      <c r="E780" s="6" t="inlineStr">
        <is>
          <t>052-761-5311</t>
        </is>
      </c>
      <c r="F780" s="7" t="inlineStr">
        <is>
          <t>高</t>
        </is>
      </c>
      <c r="G780" s="5" t="inlineStr">
        <is>
          <t>普通科</t>
        </is>
      </c>
      <c r="H780" s="8" t="n"/>
      <c r="I780" s="9" t="n"/>
      <c r="J780" s="9" t="inlineStr">
        <is>
          <t>未架電</t>
        </is>
      </c>
      <c r="K780" s="8" t="n"/>
      <c r="L780" s="9" t="n"/>
      <c r="M780" s="10" t="inlineStr">
        <is>
          <t>公式サイトに「代表」と記載。通信制課程も同じ番号</t>
        </is>
      </c>
      <c r="N780" s="11" t="inlineStr">
        <is>
          <t>https://www.chukyo.ed.jp/contact/</t>
        </is>
      </c>
      <c r="O780" s="12" t="inlineStr">
        <is>
          <t>開く</t>
        </is>
      </c>
    </row>
    <row r="781">
      <c r="A781" s="4" t="n">
        <v>777</v>
      </c>
      <c r="B781" s="5" t="inlineStr">
        <is>
          <t>愛知県</t>
        </is>
      </c>
      <c r="C781" s="5" t="inlineStr">
        <is>
          <t>日進市</t>
        </is>
      </c>
      <c r="D781" s="5" t="inlineStr">
        <is>
          <t>中部大学第一高等学校</t>
        </is>
      </c>
      <c r="E781" s="6" t="inlineStr">
        <is>
          <t>0561-73-8111</t>
        </is>
      </c>
      <c r="F781" s="7" t="inlineStr">
        <is>
          <t>高</t>
        </is>
      </c>
      <c r="G781" s="5" t="inlineStr">
        <is>
          <t>普通科・専門学科</t>
        </is>
      </c>
      <c r="H781" s="8" t="n"/>
      <c r="I781" s="9" t="n"/>
      <c r="J781" s="9" t="inlineStr">
        <is>
          <t>未架電</t>
        </is>
      </c>
      <c r="K781" s="8" t="n"/>
      <c r="L781" s="9" t="n"/>
      <c r="M781" s="10" t="inlineStr">
        <is>
          <t>2つのサイトで一致、公式未確認</t>
        </is>
      </c>
      <c r="N781" s="11" t="inlineStr">
        <is>
          <t>https://www.mapion.co.jp/phonebook/M11004/23230/ILSP0000041881_ipclm/ ; https://www.gakkou.net/kou/view/index_303623.html</t>
        </is>
      </c>
      <c r="O781" s="12" t="inlineStr">
        <is>
          <t>開く</t>
        </is>
      </c>
    </row>
    <row r="782">
      <c r="A782" s="4" t="n">
        <v>778</v>
      </c>
      <c r="B782" s="5" t="inlineStr">
        <is>
          <t>愛知県</t>
        </is>
      </c>
      <c r="C782" s="5" t="inlineStr">
        <is>
          <t>春日井市</t>
        </is>
      </c>
      <c r="D782" s="5" t="inlineStr">
        <is>
          <t>中部大学春日丘高等学校</t>
        </is>
      </c>
      <c r="E782" s="6" t="inlineStr">
        <is>
          <t>0568-51-1131</t>
        </is>
      </c>
      <c r="F782" s="7" t="inlineStr">
        <is>
          <t>高</t>
        </is>
      </c>
      <c r="G782" s="5" t="inlineStr">
        <is>
          <t>普通科</t>
        </is>
      </c>
      <c r="H782" s="8" t="n"/>
      <c r="I782" s="9" t="n"/>
      <c r="J782" s="9" t="inlineStr">
        <is>
          <t>未架電</t>
        </is>
      </c>
      <c r="K782" s="8" t="n"/>
      <c r="L782" s="9" t="n"/>
      <c r="M782" s="10" t="inlineStr">
        <is>
          <t>公式サイトで確認。中学校は0568-51-1115</t>
        </is>
      </c>
      <c r="N782" s="11" t="inlineStr">
        <is>
          <t>https://www.haruhigaoka.ed.jp/senior/ ; https://www.city.kasugai.lg.jp/shisei/shisetsu/kosodate/1010552/1010560.html</t>
        </is>
      </c>
      <c r="O782" s="12" t="inlineStr">
        <is>
          <t>開く</t>
        </is>
      </c>
    </row>
    <row r="783">
      <c r="A783" s="4" t="n">
        <v>779</v>
      </c>
      <c r="B783" s="5" t="inlineStr">
        <is>
          <t>愛知県</t>
        </is>
      </c>
      <c r="C783" s="5" t="inlineStr">
        <is>
          <t>新城市</t>
        </is>
      </c>
      <c r="D783" s="5" t="inlineStr">
        <is>
          <t>黄柳野高等学校</t>
        </is>
      </c>
      <c r="E783" s="6" t="inlineStr">
        <is>
          <t>0536-34-0330</t>
        </is>
      </c>
      <c r="F783" s="7" t="inlineStr">
        <is>
          <t>高</t>
        </is>
      </c>
      <c r="G783" s="5" t="inlineStr">
        <is>
          <t>普通科</t>
        </is>
      </c>
      <c r="H783" s="8" t="n"/>
      <c r="I783" s="9" t="n"/>
      <c r="J783" s="9" t="inlineStr">
        <is>
          <t>未架電</t>
        </is>
      </c>
      <c r="K783" s="8" t="n"/>
      <c r="L783" s="9" t="n"/>
      <c r="M783" s="10" t="inlineStr">
        <is>
          <t>複数サイトで一致、公式未確認</t>
        </is>
      </c>
      <c r="N783" s="11" t="inlineStr">
        <is>
          <t>https://www.mapion.co.jp/phonebook/M11004/23221/ILSP0000041060_ipclm/ ; https://www.navitime.co.jp/poi?spot=00004-23108700184</t>
        </is>
      </c>
      <c r="O783" s="12" t="inlineStr">
        <is>
          <t>開く</t>
        </is>
      </c>
    </row>
    <row r="784">
      <c r="A784" s="4" t="n">
        <v>780</v>
      </c>
      <c r="B784" s="5" t="inlineStr">
        <is>
          <t>愛知県</t>
        </is>
      </c>
      <c r="C784" s="5" t="inlineStr">
        <is>
          <t>名古屋市天白区</t>
        </is>
      </c>
      <c r="D784" s="5" t="inlineStr">
        <is>
          <t>東海学園高等学校</t>
        </is>
      </c>
      <c r="E784" s="6" t="inlineStr">
        <is>
          <t>052-801-6222</t>
        </is>
      </c>
      <c r="F784" s="7" t="inlineStr">
        <is>
          <t>高</t>
        </is>
      </c>
      <c r="G784" s="5" t="inlineStr">
        <is>
          <t>普通科</t>
        </is>
      </c>
      <c r="H784" s="8" t="n"/>
      <c r="I784" s="9" t="n"/>
      <c r="J784" s="9" t="inlineStr">
        <is>
          <t>未架電</t>
        </is>
      </c>
      <c r="K784" s="8" t="n"/>
      <c r="L784" s="9" t="n"/>
      <c r="M784" s="10" t="inlineStr">
        <is>
          <t>公式サイトで確認。東海高校（東区）とは別の学校</t>
        </is>
      </c>
      <c r="N784" s="11" t="inlineStr">
        <is>
          <t>https://tokaigakuen.ed.jp/</t>
        </is>
      </c>
      <c r="O784" s="12" t="inlineStr">
        <is>
          <t>開く</t>
        </is>
      </c>
    </row>
    <row r="785">
      <c r="A785" s="4" t="n">
        <v>781</v>
      </c>
      <c r="B785" s="5" t="inlineStr">
        <is>
          <t>愛知県</t>
        </is>
      </c>
      <c r="C785" s="5" t="inlineStr">
        <is>
          <t>名古屋市東区</t>
        </is>
      </c>
      <c r="D785" s="5" t="inlineStr">
        <is>
          <t>東海高等学校</t>
        </is>
      </c>
      <c r="E785" s="6" t="inlineStr">
        <is>
          <t>052-936-5111</t>
        </is>
      </c>
      <c r="F785" s="7" t="inlineStr">
        <is>
          <t>高</t>
        </is>
      </c>
      <c r="G785" s="5" t="inlineStr">
        <is>
          <t>普通科</t>
        </is>
      </c>
      <c r="H785" s="8" t="n"/>
      <c r="I785" s="9" t="n"/>
      <c r="J785" s="9" t="inlineStr">
        <is>
          <t>未架電</t>
        </is>
      </c>
      <c r="K785" s="8" t="n"/>
      <c r="L785" s="9" t="n"/>
      <c r="M785" s="10" t="inlineStr">
        <is>
          <t>中高共通の代表（事務所）。高校の直通は052-936-5112。東海学園（天白区）とは別の学校</t>
        </is>
      </c>
      <c r="N785" s="11" t="inlineStr">
        <is>
          <t>https://www.tokai-jh.ed.jp/profile/06.html</t>
        </is>
      </c>
      <c r="O785" s="12" t="inlineStr">
        <is>
          <t>開く</t>
        </is>
      </c>
    </row>
    <row r="786">
      <c r="A786" s="4" t="n">
        <v>782</v>
      </c>
      <c r="B786" s="5" t="inlineStr">
        <is>
          <t>愛知県</t>
        </is>
      </c>
      <c r="C786" s="5" t="inlineStr">
        <is>
          <t>名古屋市名東区</t>
        </is>
      </c>
      <c r="D786" s="5" t="inlineStr">
        <is>
          <t>東邦高等学校</t>
        </is>
      </c>
      <c r="E786" s="6" t="inlineStr">
        <is>
          <t>052-782-1171</t>
        </is>
      </c>
      <c r="F786" s="7" t="inlineStr">
        <is>
          <t>高</t>
        </is>
      </c>
      <c r="G786" s="5" t="inlineStr">
        <is>
          <t>普通科・専門学科</t>
        </is>
      </c>
      <c r="H786" s="8" t="n"/>
      <c r="I786" s="9" t="n"/>
      <c r="J786" s="9" t="inlineStr">
        <is>
          <t>未架電</t>
        </is>
      </c>
      <c r="K786" s="8" t="n"/>
      <c r="L786" s="9" t="n"/>
      <c r="M786" s="10" t="inlineStr">
        <is>
          <t>公式サイトに「代表」と記載。052-782-1241は愛知東邦大学の番号</t>
        </is>
      </c>
      <c r="N786" s="11" t="inlineStr">
        <is>
          <t>https://www.toho-h.ed.jp/</t>
        </is>
      </c>
      <c r="O786" s="12" t="inlineStr">
        <is>
          <t>開く</t>
        </is>
      </c>
    </row>
    <row r="787">
      <c r="A787" s="4" t="n">
        <v>783</v>
      </c>
      <c r="B787" s="5" t="inlineStr">
        <is>
          <t>愛知県</t>
        </is>
      </c>
      <c r="C787" s="5" t="inlineStr">
        <is>
          <t>豊田市</t>
        </is>
      </c>
      <c r="D787" s="5" t="inlineStr">
        <is>
          <t>杜若高等学校</t>
        </is>
      </c>
      <c r="E787" s="6" t="inlineStr">
        <is>
          <t>0565-45-5000</t>
        </is>
      </c>
      <c r="F787" s="7" t="inlineStr">
        <is>
          <t>高</t>
        </is>
      </c>
      <c r="G787" s="5" t="inlineStr">
        <is>
          <t>普通科</t>
        </is>
      </c>
      <c r="H787" s="8" t="n"/>
      <c r="I787" s="9" t="n"/>
      <c r="J787" s="9" t="inlineStr">
        <is>
          <t>未架電</t>
        </is>
      </c>
      <c r="K787" s="8" t="n"/>
      <c r="L787" s="9" t="n"/>
      <c r="M787" s="10" t="inlineStr">
        <is>
          <t>公式サイトで確認</t>
        </is>
      </c>
      <c r="N787" s="11" t="inlineStr">
        <is>
          <t>https://www.tojaku-h.ed.jp/</t>
        </is>
      </c>
      <c r="O787" s="12" t="inlineStr">
        <is>
          <t>開く</t>
        </is>
      </c>
    </row>
    <row r="788">
      <c r="A788" s="4" t="n">
        <v>784</v>
      </c>
      <c r="B788" s="5" t="inlineStr">
        <is>
          <t>愛知県</t>
        </is>
      </c>
      <c r="C788" s="5" t="inlineStr">
        <is>
          <t>豊川市</t>
        </is>
      </c>
      <c r="D788" s="5" t="inlineStr">
        <is>
          <t>豊川高等学校</t>
        </is>
      </c>
      <c r="E788" s="6" t="inlineStr">
        <is>
          <t>0533-86-4121</t>
        </is>
      </c>
      <c r="F788" s="7" t="inlineStr">
        <is>
          <t>高</t>
        </is>
      </c>
      <c r="G788" s="5" t="inlineStr">
        <is>
          <t>普通科</t>
        </is>
      </c>
      <c r="H788" s="8" t="n"/>
      <c r="I788" s="9" t="n"/>
      <c r="J788" s="9" t="inlineStr">
        <is>
          <t>未架電</t>
        </is>
      </c>
      <c r="K788" s="8" t="n"/>
      <c r="L788" s="9" t="n"/>
      <c r="M788" s="10" t="inlineStr">
        <is>
          <t>公式サイトに「学校代表」と記載</t>
        </is>
      </c>
      <c r="N788" s="11" t="inlineStr">
        <is>
          <t>https://toyokawa.ed.jp/contact</t>
        </is>
      </c>
      <c r="O788" s="12" t="inlineStr">
        <is>
          <t>開く</t>
        </is>
      </c>
    </row>
    <row r="789">
      <c r="A789" s="4" t="n">
        <v>785</v>
      </c>
      <c r="B789" s="5" t="inlineStr">
        <is>
          <t>愛知県</t>
        </is>
      </c>
      <c r="C789" s="5" t="inlineStr">
        <is>
          <t>豊田市</t>
        </is>
      </c>
      <c r="D789" s="5" t="inlineStr">
        <is>
          <t>豊田大谷高等学校</t>
        </is>
      </c>
      <c r="E789" s="6" t="inlineStr">
        <is>
          <t>0565-48-3511</t>
        </is>
      </c>
      <c r="F789" s="7" t="inlineStr">
        <is>
          <t>高</t>
        </is>
      </c>
      <c r="G789" s="5" t="inlineStr">
        <is>
          <t>普通科</t>
        </is>
      </c>
      <c r="H789" s="8" t="n"/>
      <c r="I789" s="9" t="n"/>
      <c r="J789" s="9" t="inlineStr">
        <is>
          <t>未架電</t>
        </is>
      </c>
      <c r="K789" s="8" t="n"/>
      <c r="L789" s="9" t="n"/>
      <c r="M789" s="10" t="inlineStr">
        <is>
          <t>2つのサイトで一致（代表として掲載）、公式未確認</t>
        </is>
      </c>
      <c r="N789" s="11" t="inlineStr">
        <is>
          <t>https://www.navita.co.jp/s/11101207/ ; https://www.mapion.co.jp/phonebook/M11004/23211/ILSP0000041953_ipclm/</t>
        </is>
      </c>
      <c r="O789" s="12" t="inlineStr">
        <is>
          <t>開く</t>
        </is>
      </c>
    </row>
    <row r="790">
      <c r="A790" s="4" t="n">
        <v>786</v>
      </c>
      <c r="B790" s="5" t="inlineStr">
        <is>
          <t>愛知県</t>
        </is>
      </c>
      <c r="C790" s="5" t="inlineStr">
        <is>
          <t>豊橋市</t>
        </is>
      </c>
      <c r="D790" s="5" t="inlineStr">
        <is>
          <t>豊橋中央高等学校</t>
        </is>
      </c>
      <c r="E790" s="6" t="inlineStr">
        <is>
          <t>0532-54-1301</t>
        </is>
      </c>
      <c r="F790" s="7" t="inlineStr">
        <is>
          <t>高</t>
        </is>
      </c>
      <c r="G790" s="5" t="inlineStr">
        <is>
          <t>普通科・専門学科</t>
        </is>
      </c>
      <c r="H790" s="8" t="n"/>
      <c r="I790" s="9" t="n"/>
      <c r="J790" s="9" t="inlineStr">
        <is>
          <t>未架電</t>
        </is>
      </c>
      <c r="K790" s="8" t="n"/>
      <c r="L790" s="9" t="n"/>
      <c r="M790" s="10" t="inlineStr">
        <is>
          <t>公式サイトで確認</t>
        </is>
      </c>
      <c r="N790" s="11" t="inlineStr">
        <is>
          <t>https://toyohashi-chuo.ed.jp/?page_id=53</t>
        </is>
      </c>
      <c r="O790" s="12" t="inlineStr">
        <is>
          <t>開く</t>
        </is>
      </c>
    </row>
    <row r="791">
      <c r="A791" s="4" t="n">
        <v>787</v>
      </c>
      <c r="B791" s="5" t="inlineStr">
        <is>
          <t>愛知県</t>
        </is>
      </c>
      <c r="C791" s="5" t="inlineStr">
        <is>
          <t>名古屋市中村区</t>
        </is>
      </c>
      <c r="D791" s="5" t="inlineStr">
        <is>
          <t>同朋高等学校</t>
        </is>
      </c>
      <c r="E791" s="6" t="inlineStr">
        <is>
          <t>052-411-1159</t>
        </is>
      </c>
      <c r="F791" s="13" t="inlineStr">
        <is>
          <t>中</t>
        </is>
      </c>
      <c r="G791" s="5" t="inlineStr">
        <is>
          <t>普通科・専門学科</t>
        </is>
      </c>
      <c r="H791" s="8" t="n"/>
      <c r="I791" s="9" t="n"/>
      <c r="J791" s="9" t="inlineStr">
        <is>
          <t>未架電</t>
        </is>
      </c>
      <c r="K791" s="8" t="n"/>
      <c r="L791" s="9" t="n"/>
      <c r="M791" s="10" t="inlineStr">
        <is>
          <t>公式サイトの職員室の番号。入試広報室は052-411-1216。ほかの番号を載せるサイトもあり</t>
        </is>
      </c>
      <c r="N791" s="11" t="inlineStr">
        <is>
          <t>https://www.doho-h.ed.jp/</t>
        </is>
      </c>
      <c r="O791" s="12" t="inlineStr">
        <is>
          <t>開く</t>
        </is>
      </c>
    </row>
    <row r="792">
      <c r="A792" s="4" t="n">
        <v>788</v>
      </c>
      <c r="B792" s="5" t="inlineStr">
        <is>
          <t>愛知県</t>
        </is>
      </c>
      <c r="C792" s="5" t="inlineStr">
        <is>
          <t>名古屋市瑞穂区</t>
        </is>
      </c>
      <c r="D792" s="5" t="inlineStr">
        <is>
          <t>名古屋葵大学高等学校</t>
        </is>
      </c>
      <c r="E792" s="6" t="inlineStr">
        <is>
          <t>052-841-8181</t>
        </is>
      </c>
      <c r="F792" s="7" t="inlineStr">
        <is>
          <t>高</t>
        </is>
      </c>
      <c r="G792" s="5" t="inlineStr">
        <is>
          <t>普通科</t>
        </is>
      </c>
      <c r="H792" s="8" t="n"/>
      <c r="I792" s="9" t="n"/>
      <c r="J792" s="9" t="inlineStr">
        <is>
          <t>未架電</t>
        </is>
      </c>
      <c r="K792" s="8" t="n"/>
      <c r="L792" s="9" t="n"/>
      <c r="M792" s="10" t="inlineStr">
        <is>
          <t>公式サイトで確認。中高共通。【校名変更】2025年4月に名古屋女子大学高校から改称</t>
        </is>
      </c>
      <c r="N792" s="11" t="inlineStr">
        <is>
          <t>https://www.nagoya-aoi.ed.jp/contact/</t>
        </is>
      </c>
      <c r="O792" s="12" t="inlineStr">
        <is>
          <t>開く</t>
        </is>
      </c>
    </row>
    <row r="793">
      <c r="A793" s="4" t="n">
        <v>789</v>
      </c>
      <c r="B793" s="5" t="inlineStr">
        <is>
          <t>愛知県</t>
        </is>
      </c>
      <c r="C793" s="5" t="inlineStr">
        <is>
          <t>名古屋市瑞穂区</t>
        </is>
      </c>
      <c r="D793" s="5" t="inlineStr">
        <is>
          <t>名古屋大谷高等学校</t>
        </is>
      </c>
      <c r="E793" s="6" t="inlineStr">
        <is>
          <t>052-852-1121</t>
        </is>
      </c>
      <c r="F793" s="7" t="inlineStr">
        <is>
          <t>高</t>
        </is>
      </c>
      <c r="G793" s="5" t="inlineStr">
        <is>
          <t>普通科・専門学科</t>
        </is>
      </c>
      <c r="H793" s="8" t="n"/>
      <c r="I793" s="9" t="n"/>
      <c r="J793" s="9" t="inlineStr">
        <is>
          <t>未架電</t>
        </is>
      </c>
      <c r="K793" s="8" t="n"/>
      <c r="L793" s="9" t="n"/>
      <c r="M793" s="10" t="inlineStr">
        <is>
          <t>公式サイトで確認</t>
        </is>
      </c>
      <c r="N793" s="11" t="inlineStr">
        <is>
          <t>https://nagoyaotani.owari.ac.jp/access/</t>
        </is>
      </c>
      <c r="O793" s="12" t="inlineStr">
        <is>
          <t>開く</t>
        </is>
      </c>
    </row>
    <row r="794">
      <c r="A794" s="4" t="n">
        <v>790</v>
      </c>
      <c r="B794" s="5" t="inlineStr">
        <is>
          <t>愛知県</t>
        </is>
      </c>
      <c r="C794" s="5" t="inlineStr">
        <is>
          <t>名古屋市千種区</t>
        </is>
      </c>
      <c r="D794" s="5" t="inlineStr">
        <is>
          <t>名古屋経済大学市邨高等学校</t>
        </is>
      </c>
      <c r="E794" s="6" t="inlineStr">
        <is>
          <t>052-721-0161</t>
        </is>
      </c>
      <c r="F794" s="7" t="inlineStr">
        <is>
          <t>高</t>
        </is>
      </c>
      <c r="G794" s="5" t="inlineStr">
        <is>
          <t>普通科</t>
        </is>
      </c>
      <c r="H794" s="8" t="n"/>
      <c r="I794" s="9" t="n"/>
      <c r="J794" s="9" t="inlineStr">
        <is>
          <t>未架電</t>
        </is>
      </c>
      <c r="K794" s="8" t="n"/>
      <c r="L794" s="9" t="n"/>
      <c r="M794" s="10" t="inlineStr">
        <is>
          <t>公式資料に「代表」と記載</t>
        </is>
      </c>
      <c r="N794" s="11" t="inlineStr">
        <is>
          <t>https://ichimura.ed.jp/access/</t>
        </is>
      </c>
      <c r="O794" s="12" t="inlineStr">
        <is>
          <t>開く</t>
        </is>
      </c>
    </row>
    <row r="795">
      <c r="A795" s="4" t="n">
        <v>791</v>
      </c>
      <c r="B795" s="5" t="inlineStr">
        <is>
          <t>愛知県</t>
        </is>
      </c>
      <c r="C795" s="5" t="inlineStr">
        <is>
          <t>名古屋市瑞穂区</t>
        </is>
      </c>
      <c r="D795" s="5" t="inlineStr">
        <is>
          <t>名古屋経済大学高蔵高等学校</t>
        </is>
      </c>
      <c r="E795" s="6" t="inlineStr">
        <is>
          <t>052-853-0050</t>
        </is>
      </c>
      <c r="F795" s="7" t="inlineStr">
        <is>
          <t>高</t>
        </is>
      </c>
      <c r="G795" s="5" t="inlineStr">
        <is>
          <t>普通科・専門学科</t>
        </is>
      </c>
      <c r="H795" s="8" t="n"/>
      <c r="I795" s="9" t="n"/>
      <c r="J795" s="9" t="inlineStr">
        <is>
          <t>未架電</t>
        </is>
      </c>
      <c r="K795" s="8" t="n"/>
      <c r="L795" s="9" t="n"/>
      <c r="M795" s="10" t="inlineStr">
        <is>
          <t>公式サイトで確認。中高共通</t>
        </is>
      </c>
      <c r="N795" s="11" t="inlineStr">
        <is>
          <t>https://www.takakura-hj.info/access</t>
        </is>
      </c>
      <c r="O795" s="12" t="inlineStr">
        <is>
          <t>開く</t>
        </is>
      </c>
    </row>
    <row r="796">
      <c r="A796" s="4" t="n">
        <v>792</v>
      </c>
      <c r="B796" s="5" t="inlineStr">
        <is>
          <t>愛知県</t>
        </is>
      </c>
      <c r="C796" s="5" t="inlineStr">
        <is>
          <t>名古屋市昭和区</t>
        </is>
      </c>
      <c r="D796" s="5" t="inlineStr">
        <is>
          <t>名古屋工業高等学校</t>
        </is>
      </c>
      <c r="E796" s="6" t="inlineStr">
        <is>
          <t>052-871-2681</t>
        </is>
      </c>
      <c r="F796" s="7" t="inlineStr">
        <is>
          <t>高</t>
        </is>
      </c>
      <c r="G796" s="5" t="inlineStr">
        <is>
          <t>専門学科</t>
        </is>
      </c>
      <c r="H796" s="8" t="n"/>
      <c r="I796" s="9" t="n"/>
      <c r="J796" s="9" t="inlineStr">
        <is>
          <t>未架電</t>
        </is>
      </c>
      <c r="K796" s="8" t="n"/>
      <c r="L796" s="9" t="n"/>
      <c r="M796" s="10" t="inlineStr">
        <is>
          <t>公式サイトと愛知県私学協会の資料で一致（私立）</t>
        </is>
      </c>
      <c r="N796" s="11" t="inlineStr">
        <is>
          <t>https://nagoya-th.ed.jp/ ; https://www.aichi-shigaku.gr.jp/guidebook2025/pageindices/index68.html</t>
        </is>
      </c>
      <c r="O796" s="12" t="inlineStr">
        <is>
          <t>開く</t>
        </is>
      </c>
    </row>
    <row r="797">
      <c r="A797" s="4" t="n">
        <v>793</v>
      </c>
      <c r="B797" s="5" t="inlineStr">
        <is>
          <t>愛知県</t>
        </is>
      </c>
      <c r="C797" s="5" t="inlineStr">
        <is>
          <t>名古屋市東区</t>
        </is>
      </c>
      <c r="D797" s="5" t="inlineStr">
        <is>
          <t>名古屋高等学校</t>
        </is>
      </c>
      <c r="E797" s="6" t="inlineStr">
        <is>
          <t>052-721-5271</t>
        </is>
      </c>
      <c r="F797" s="7" t="inlineStr">
        <is>
          <t>高</t>
        </is>
      </c>
      <c r="G797" s="5" t="inlineStr">
        <is>
          <t>普通科</t>
        </is>
      </c>
      <c r="H797" s="8" t="n"/>
      <c r="I797" s="9" t="n"/>
      <c r="J797" s="9" t="inlineStr">
        <is>
          <t>未架電</t>
        </is>
      </c>
      <c r="K797" s="8" t="n"/>
      <c r="L797" s="9" t="n"/>
      <c r="M797" s="10" t="inlineStr">
        <is>
          <t>公式サイトで確認。052-722-2835は同窓会の番号</t>
        </is>
      </c>
      <c r="N797" s="11" t="inlineStr">
        <is>
          <t>https://www.meigaku.ac.jp/access/</t>
        </is>
      </c>
      <c r="O797" s="12" t="inlineStr">
        <is>
          <t>開く</t>
        </is>
      </c>
    </row>
    <row r="798">
      <c r="A798" s="4" t="n">
        <v>794</v>
      </c>
      <c r="B798" s="5" t="inlineStr">
        <is>
          <t>愛知県</t>
        </is>
      </c>
      <c r="C798" s="5" t="inlineStr">
        <is>
          <t>名古屋市昭和区</t>
        </is>
      </c>
      <c r="D798" s="5" t="inlineStr">
        <is>
          <t>名古屋国際高等学校</t>
        </is>
      </c>
      <c r="E798" s="6" t="inlineStr">
        <is>
          <t>052-858-2200</t>
        </is>
      </c>
      <c r="F798" s="13" t="inlineStr">
        <is>
          <t>中</t>
        </is>
      </c>
      <c r="G798" s="5" t="inlineStr">
        <is>
          <t>普通科・専門学科</t>
        </is>
      </c>
      <c r="H798" s="8" t="n"/>
      <c r="I798" s="9" t="n"/>
      <c r="J798" s="9" t="inlineStr">
        <is>
          <t>未架電</t>
        </is>
      </c>
      <c r="K798" s="8" t="n"/>
      <c r="L798" s="9" t="n"/>
      <c r="M798" s="10" t="inlineStr">
        <is>
          <t>中高代表として掲載。高校の番号として052-853-5151を載せるサイトもあり食い違い</t>
        </is>
      </c>
      <c r="N798" s="11" t="inlineStr">
        <is>
          <t>https://www.unesco-school.mext.go.jp/schools/list/nagoya-international-junior-senior-high-school/ ; https://www.aichi.sc/gakkou/kokusai/</t>
        </is>
      </c>
      <c r="O798" s="12" t="inlineStr">
        <is>
          <t>開く</t>
        </is>
      </c>
    </row>
    <row r="799">
      <c r="A799" s="4" t="n">
        <v>795</v>
      </c>
      <c r="B799" s="5" t="inlineStr">
        <is>
          <t>愛知県</t>
        </is>
      </c>
      <c r="C799" s="5" t="inlineStr">
        <is>
          <t>名古屋市中区</t>
        </is>
      </c>
      <c r="D799" s="5" t="inlineStr">
        <is>
          <t>名古屋たちばな高等学校</t>
        </is>
      </c>
      <c r="E799" s="6" t="inlineStr">
        <is>
          <t>052-322-1911</t>
        </is>
      </c>
      <c r="F799" s="7" t="inlineStr">
        <is>
          <t>高</t>
        </is>
      </c>
      <c r="G799" s="5" t="inlineStr">
        <is>
          <t>専門学科</t>
        </is>
      </c>
      <c r="H799" s="8" t="n"/>
      <c r="I799" s="9" t="n"/>
      <c r="J799" s="9" t="inlineStr">
        <is>
          <t>未架電</t>
        </is>
      </c>
      <c r="K799" s="8" t="n"/>
      <c r="L799" s="9" t="n"/>
      <c r="M799" s="10" t="inlineStr">
        <is>
          <t>公式サイトで確認</t>
        </is>
      </c>
      <c r="N799" s="11" t="inlineStr">
        <is>
          <t>https://tachibana-hs.ed.jp/</t>
        </is>
      </c>
      <c r="O799" s="12" t="inlineStr">
        <is>
          <t>開く</t>
        </is>
      </c>
    </row>
    <row r="800">
      <c r="A800" s="4" t="n">
        <v>796</v>
      </c>
      <c r="B800" s="5" t="inlineStr">
        <is>
          <t>愛知県</t>
        </is>
      </c>
      <c r="C800" s="5" t="inlineStr">
        <is>
          <t>名古屋市昭和区</t>
        </is>
      </c>
      <c r="D800" s="5" t="inlineStr">
        <is>
          <t>南山高等学校 女子部</t>
        </is>
      </c>
      <c r="E800" s="6" t="inlineStr">
        <is>
          <t>052-831-0704</t>
        </is>
      </c>
      <c r="F800" s="7" t="inlineStr">
        <is>
          <t>高</t>
        </is>
      </c>
      <c r="G800" s="5" t="inlineStr">
        <is>
          <t>普通科</t>
        </is>
      </c>
      <c r="H800" s="8" t="n"/>
      <c r="I800" s="9" t="n"/>
      <c r="J800" s="9" t="inlineStr">
        <is>
          <t>未架電</t>
        </is>
      </c>
      <c r="K800" s="8" t="n"/>
      <c r="L800" s="9" t="n"/>
      <c r="M800" s="10" t="inlineStr">
        <is>
          <t>公式サイトで確認。中高共通。男子部とは別番号</t>
        </is>
      </c>
      <c r="N800" s="11" t="inlineStr">
        <is>
          <t>https://www.nanzan-girls.ed.jp/access.html</t>
        </is>
      </c>
      <c r="O800" s="12" t="inlineStr">
        <is>
          <t>開く</t>
        </is>
      </c>
    </row>
    <row r="801">
      <c r="A801" s="4" t="n">
        <v>797</v>
      </c>
      <c r="B801" s="5" t="inlineStr">
        <is>
          <t>愛知県</t>
        </is>
      </c>
      <c r="C801" s="5" t="inlineStr">
        <is>
          <t>名古屋市昭和区</t>
        </is>
      </c>
      <c r="D801" s="5" t="inlineStr">
        <is>
          <t>南山高等学校 男子部</t>
        </is>
      </c>
      <c r="E801" s="6" t="inlineStr">
        <is>
          <t>052-831-6455</t>
        </is>
      </c>
      <c r="F801" s="7" t="inlineStr">
        <is>
          <t>高</t>
        </is>
      </c>
      <c r="G801" s="5" t="inlineStr">
        <is>
          <t>普通科</t>
        </is>
      </c>
      <c r="H801" s="8" t="n"/>
      <c r="I801" s="9" t="n"/>
      <c r="J801" s="9" t="inlineStr">
        <is>
          <t>未架電</t>
        </is>
      </c>
      <c r="K801" s="8" t="n"/>
      <c r="L801" s="9" t="n"/>
      <c r="M801" s="10" t="inlineStr">
        <is>
          <t>公式サイトで確認。女子部とは別番号</t>
        </is>
      </c>
      <c r="N801" s="11" t="inlineStr">
        <is>
          <t>https://www.nanzan-boys.ed.jp/</t>
        </is>
      </c>
      <c r="O801" s="12" t="inlineStr">
        <is>
          <t>開く</t>
        </is>
      </c>
    </row>
    <row r="802">
      <c r="A802" s="4" t="n">
        <v>798</v>
      </c>
      <c r="B802" s="5" t="inlineStr">
        <is>
          <t>愛知県</t>
        </is>
      </c>
      <c r="C802" s="5" t="inlineStr">
        <is>
          <t>美浜町</t>
        </is>
      </c>
      <c r="D802" s="5" t="inlineStr">
        <is>
          <t>日本福祉大学付属高等学校</t>
        </is>
      </c>
      <c r="E802" s="6" t="inlineStr">
        <is>
          <t>0569-87-2311</t>
        </is>
      </c>
      <c r="F802" s="7" t="inlineStr">
        <is>
          <t>高</t>
        </is>
      </c>
      <c r="G802" s="5" t="inlineStr">
        <is>
          <t>普通科</t>
        </is>
      </c>
      <c r="H802" s="8" t="n"/>
      <c r="I802" s="9" t="n"/>
      <c r="J802" s="9" t="inlineStr">
        <is>
          <t>未架電</t>
        </is>
      </c>
      <c r="K802" s="8" t="n"/>
      <c r="L802" s="9" t="n"/>
      <c r="M802" s="10" t="inlineStr">
        <is>
          <t>公式サイトで確認。大学の代表（0569-87-2211）とは別</t>
        </is>
      </c>
      <c r="N802" s="11" t="inlineStr">
        <is>
          <t>https://www.n-fukushi.ac.jp/koukou/</t>
        </is>
      </c>
      <c r="O802" s="12" t="inlineStr">
        <is>
          <t>開く</t>
        </is>
      </c>
    </row>
    <row r="803">
      <c r="A803" s="4" t="n">
        <v>799</v>
      </c>
      <c r="B803" s="5" t="inlineStr">
        <is>
          <t>愛知県</t>
        </is>
      </c>
      <c r="C803" s="5" t="inlineStr">
        <is>
          <t>岡崎市</t>
        </is>
      </c>
      <c r="D803" s="5" t="inlineStr">
        <is>
          <t>人間環境大学附属岡崎高等学校</t>
        </is>
      </c>
      <c r="E803" s="6" t="inlineStr">
        <is>
          <t>0564-22-0274</t>
        </is>
      </c>
      <c r="F803" s="7" t="inlineStr">
        <is>
          <t>高</t>
        </is>
      </c>
      <c r="G803" s="5" t="inlineStr">
        <is>
          <t>普通科</t>
        </is>
      </c>
      <c r="H803" s="8" t="n"/>
      <c r="I803" s="9" t="n"/>
      <c r="J803" s="9" t="inlineStr">
        <is>
          <t>未架電</t>
        </is>
      </c>
      <c r="K803" s="8" t="n"/>
      <c r="L803" s="9" t="n"/>
      <c r="M803" s="10" t="inlineStr">
        <is>
          <t>公式サイトで確認。2022年に旧校名から改称</t>
        </is>
      </c>
      <c r="N803" s="11" t="inlineStr">
        <is>
          <t>https://www.jinkan-okazaki.ed.jp/about/</t>
        </is>
      </c>
      <c r="O803" s="12" t="inlineStr">
        <is>
          <t>開く</t>
        </is>
      </c>
    </row>
    <row r="804">
      <c r="A804" s="4" t="n">
        <v>800</v>
      </c>
      <c r="B804" s="5" t="inlineStr">
        <is>
          <t>愛知県</t>
        </is>
      </c>
      <c r="C804" s="5" t="inlineStr">
        <is>
          <t>岡崎市</t>
        </is>
      </c>
      <c r="D804" s="5" t="inlineStr">
        <is>
          <t>光ヶ丘女子高等学校</t>
        </is>
      </c>
      <c r="E804" s="6" t="inlineStr">
        <is>
          <t>0564-51-5651</t>
        </is>
      </c>
      <c r="F804" s="7" t="inlineStr">
        <is>
          <t>高</t>
        </is>
      </c>
      <c r="G804" s="5" t="inlineStr">
        <is>
          <t>普通科・専門学科</t>
        </is>
      </c>
      <c r="H804" s="8" t="n"/>
      <c r="I804" s="9" t="n"/>
      <c r="J804" s="9" t="inlineStr">
        <is>
          <t>未架電</t>
        </is>
      </c>
      <c r="K804" s="8" t="n"/>
      <c r="L804" s="9" t="n"/>
      <c r="M804" s="10" t="inlineStr">
        <is>
          <t>公式サイトで確認</t>
        </is>
      </c>
      <c r="N804" s="11" t="inlineStr">
        <is>
          <t>https://hikarigaoka-h.ed.jp/</t>
        </is>
      </c>
      <c r="O804" s="12" t="inlineStr">
        <is>
          <t>開く</t>
        </is>
      </c>
    </row>
    <row r="805">
      <c r="A805" s="4" t="n">
        <v>801</v>
      </c>
      <c r="B805" s="5" t="inlineStr">
        <is>
          <t>愛知県</t>
        </is>
      </c>
      <c r="C805" s="5" t="inlineStr">
        <is>
          <t>豊橋市</t>
        </is>
      </c>
      <c r="D805" s="5" t="inlineStr">
        <is>
          <t>藤ノ花女子高等学校</t>
        </is>
      </c>
      <c r="E805" s="6" t="inlineStr">
        <is>
          <t>0532-61-5468</t>
        </is>
      </c>
      <c r="F805" s="7" t="inlineStr">
        <is>
          <t>高</t>
        </is>
      </c>
      <c r="G805" s="5" t="inlineStr">
        <is>
          <t>普通科・専門学科</t>
        </is>
      </c>
      <c r="H805" s="8" t="n"/>
      <c r="I805" s="9" t="n"/>
      <c r="J805" s="9" t="inlineStr">
        <is>
          <t>未架電</t>
        </is>
      </c>
      <c r="K805" s="8" t="n"/>
      <c r="L805" s="9" t="n"/>
      <c r="M805" s="10" t="inlineStr">
        <is>
          <t>公式サイトで確認</t>
        </is>
      </c>
      <c r="N805" s="11" t="inlineStr">
        <is>
          <t>https://www.fujinohana-h.ed.jp/</t>
        </is>
      </c>
      <c r="O805" s="12" t="inlineStr">
        <is>
          <t>開く</t>
        </is>
      </c>
    </row>
    <row r="806">
      <c r="A806" s="4" t="n">
        <v>802</v>
      </c>
      <c r="B806" s="5" t="inlineStr">
        <is>
          <t>愛知県</t>
        </is>
      </c>
      <c r="C806" s="5" t="inlineStr">
        <is>
          <t>小牧市</t>
        </is>
      </c>
      <c r="D806" s="5" t="inlineStr">
        <is>
          <t>誉高等学校</t>
        </is>
      </c>
      <c r="E806" s="6" t="inlineStr">
        <is>
          <t>0568-79-7700</t>
        </is>
      </c>
      <c r="F806" s="7" t="inlineStr">
        <is>
          <t>高</t>
        </is>
      </c>
      <c r="G806" s="5" t="inlineStr">
        <is>
          <t>普通科</t>
        </is>
      </c>
      <c r="H806" s="8" t="n"/>
      <c r="I806" s="9" t="n"/>
      <c r="J806" s="9" t="inlineStr">
        <is>
          <t>未架電</t>
        </is>
      </c>
      <c r="K806" s="8" t="n"/>
      <c r="L806" s="9" t="n"/>
      <c r="M806" s="10" t="inlineStr">
        <is>
          <t>小牧市のサイトほかで一致、公式未確認</t>
        </is>
      </c>
      <c r="N806" s="11" t="inlineStr">
        <is>
          <t>https://www.mapion.co.jp/phonebook/M11004/23219/ILSP0000041861_ipclm/ ; https://www.city.komaki.aichi.jp/admin/soshiki/fumei/highscool/4872.html</t>
        </is>
      </c>
      <c r="O806" s="12" t="inlineStr">
        <is>
          <t>開く</t>
        </is>
      </c>
    </row>
    <row r="807">
      <c r="A807" s="4" t="n">
        <v>803</v>
      </c>
      <c r="B807" s="5" t="inlineStr">
        <is>
          <t>愛知県</t>
        </is>
      </c>
      <c r="C807" s="5" t="inlineStr">
        <is>
          <t>名古屋市中村区</t>
        </is>
      </c>
      <c r="D807" s="5" t="inlineStr">
        <is>
          <t>名城大学附属高等学校</t>
        </is>
      </c>
      <c r="E807" s="6" t="inlineStr">
        <is>
          <t>052-481-7436</t>
        </is>
      </c>
      <c r="F807" s="7" t="inlineStr">
        <is>
          <t>高</t>
        </is>
      </c>
      <c r="G807" s="5" t="inlineStr">
        <is>
          <t>普通科・総合学科</t>
        </is>
      </c>
      <c r="H807" s="8" t="n"/>
      <c r="I807" s="9" t="n"/>
      <c r="J807" s="9" t="inlineStr">
        <is>
          <t>未架電</t>
        </is>
      </c>
      <c r="K807" s="8" t="n"/>
      <c r="L807" s="9" t="n"/>
      <c r="M807" s="10" t="inlineStr">
        <is>
          <t>公式サイトで確認</t>
        </is>
      </c>
      <c r="N807" s="11" t="inlineStr">
        <is>
          <t>https://www.meijo-h.ed.jp/profile/</t>
        </is>
      </c>
      <c r="O807" s="12" t="inlineStr">
        <is>
          <t>開く</t>
        </is>
      </c>
    </row>
  </sheetData>
  <autoFilter ref="A4:O807"/>
  <conditionalFormatting sqref="A5:O807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807" showDropDown="0" showInputMessage="0" showErrorMessage="0" allowBlank="1" type="list">
      <formula1>"未架電,不在・折返し待ち,担当者不在,資料送付,アポ獲得,検討中,NG,番号不明"</formula1>
    </dataValidation>
    <dataValidation sqref="H5:H807 K5:K807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  <hyperlink xmlns:r="http://schemas.openxmlformats.org/officeDocument/2006/relationships" ref="O85" r:id="rId81"/>
    <hyperlink xmlns:r="http://schemas.openxmlformats.org/officeDocument/2006/relationships" ref="O86" r:id="rId82"/>
    <hyperlink xmlns:r="http://schemas.openxmlformats.org/officeDocument/2006/relationships" ref="O87" r:id="rId83"/>
    <hyperlink xmlns:r="http://schemas.openxmlformats.org/officeDocument/2006/relationships" ref="O88" r:id="rId84"/>
    <hyperlink xmlns:r="http://schemas.openxmlformats.org/officeDocument/2006/relationships" ref="O89" r:id="rId85"/>
    <hyperlink xmlns:r="http://schemas.openxmlformats.org/officeDocument/2006/relationships" ref="O90" r:id="rId86"/>
    <hyperlink xmlns:r="http://schemas.openxmlformats.org/officeDocument/2006/relationships" ref="O91" r:id="rId87"/>
    <hyperlink xmlns:r="http://schemas.openxmlformats.org/officeDocument/2006/relationships" ref="O92" r:id="rId88"/>
    <hyperlink xmlns:r="http://schemas.openxmlformats.org/officeDocument/2006/relationships" ref="O93" r:id="rId89"/>
    <hyperlink xmlns:r="http://schemas.openxmlformats.org/officeDocument/2006/relationships" ref="O94" r:id="rId90"/>
    <hyperlink xmlns:r="http://schemas.openxmlformats.org/officeDocument/2006/relationships" ref="O95" r:id="rId91"/>
    <hyperlink xmlns:r="http://schemas.openxmlformats.org/officeDocument/2006/relationships" ref="O96" r:id="rId92"/>
    <hyperlink xmlns:r="http://schemas.openxmlformats.org/officeDocument/2006/relationships" ref="O97" r:id="rId93"/>
    <hyperlink xmlns:r="http://schemas.openxmlformats.org/officeDocument/2006/relationships" ref="O98" r:id="rId94"/>
    <hyperlink xmlns:r="http://schemas.openxmlformats.org/officeDocument/2006/relationships" ref="O99" r:id="rId95"/>
    <hyperlink xmlns:r="http://schemas.openxmlformats.org/officeDocument/2006/relationships" ref="O100" r:id="rId96"/>
    <hyperlink xmlns:r="http://schemas.openxmlformats.org/officeDocument/2006/relationships" ref="O101" r:id="rId97"/>
    <hyperlink xmlns:r="http://schemas.openxmlformats.org/officeDocument/2006/relationships" ref="O102" r:id="rId98"/>
    <hyperlink xmlns:r="http://schemas.openxmlformats.org/officeDocument/2006/relationships" ref="O103" r:id="rId99"/>
    <hyperlink xmlns:r="http://schemas.openxmlformats.org/officeDocument/2006/relationships" ref="O104" r:id="rId100"/>
    <hyperlink xmlns:r="http://schemas.openxmlformats.org/officeDocument/2006/relationships" ref="O105" r:id="rId101"/>
    <hyperlink xmlns:r="http://schemas.openxmlformats.org/officeDocument/2006/relationships" ref="O106" r:id="rId102"/>
    <hyperlink xmlns:r="http://schemas.openxmlformats.org/officeDocument/2006/relationships" ref="O107" r:id="rId103"/>
    <hyperlink xmlns:r="http://schemas.openxmlformats.org/officeDocument/2006/relationships" ref="O108" r:id="rId104"/>
    <hyperlink xmlns:r="http://schemas.openxmlformats.org/officeDocument/2006/relationships" ref="O109" r:id="rId105"/>
    <hyperlink xmlns:r="http://schemas.openxmlformats.org/officeDocument/2006/relationships" ref="O110" r:id="rId106"/>
    <hyperlink xmlns:r="http://schemas.openxmlformats.org/officeDocument/2006/relationships" ref="O111" r:id="rId107"/>
    <hyperlink xmlns:r="http://schemas.openxmlformats.org/officeDocument/2006/relationships" ref="O112" r:id="rId108"/>
    <hyperlink xmlns:r="http://schemas.openxmlformats.org/officeDocument/2006/relationships" ref="O113" r:id="rId109"/>
    <hyperlink xmlns:r="http://schemas.openxmlformats.org/officeDocument/2006/relationships" ref="O114" r:id="rId110"/>
    <hyperlink xmlns:r="http://schemas.openxmlformats.org/officeDocument/2006/relationships" ref="O115" r:id="rId111"/>
    <hyperlink xmlns:r="http://schemas.openxmlformats.org/officeDocument/2006/relationships" ref="O116" r:id="rId112"/>
    <hyperlink xmlns:r="http://schemas.openxmlformats.org/officeDocument/2006/relationships" ref="O117" r:id="rId113"/>
    <hyperlink xmlns:r="http://schemas.openxmlformats.org/officeDocument/2006/relationships" ref="O118" r:id="rId114"/>
    <hyperlink xmlns:r="http://schemas.openxmlformats.org/officeDocument/2006/relationships" ref="O119" r:id="rId115"/>
    <hyperlink xmlns:r="http://schemas.openxmlformats.org/officeDocument/2006/relationships" ref="O120" r:id="rId116"/>
    <hyperlink xmlns:r="http://schemas.openxmlformats.org/officeDocument/2006/relationships" ref="O121" r:id="rId117"/>
    <hyperlink xmlns:r="http://schemas.openxmlformats.org/officeDocument/2006/relationships" ref="O122" r:id="rId118"/>
    <hyperlink xmlns:r="http://schemas.openxmlformats.org/officeDocument/2006/relationships" ref="O123" r:id="rId119"/>
    <hyperlink xmlns:r="http://schemas.openxmlformats.org/officeDocument/2006/relationships" ref="O124" r:id="rId120"/>
    <hyperlink xmlns:r="http://schemas.openxmlformats.org/officeDocument/2006/relationships" ref="O125" r:id="rId121"/>
    <hyperlink xmlns:r="http://schemas.openxmlformats.org/officeDocument/2006/relationships" ref="O126" r:id="rId122"/>
    <hyperlink xmlns:r="http://schemas.openxmlformats.org/officeDocument/2006/relationships" ref="O127" r:id="rId123"/>
    <hyperlink xmlns:r="http://schemas.openxmlformats.org/officeDocument/2006/relationships" ref="O128" r:id="rId124"/>
    <hyperlink xmlns:r="http://schemas.openxmlformats.org/officeDocument/2006/relationships" ref="O129" r:id="rId125"/>
    <hyperlink xmlns:r="http://schemas.openxmlformats.org/officeDocument/2006/relationships" ref="O130" r:id="rId126"/>
    <hyperlink xmlns:r="http://schemas.openxmlformats.org/officeDocument/2006/relationships" ref="O131" r:id="rId127"/>
    <hyperlink xmlns:r="http://schemas.openxmlformats.org/officeDocument/2006/relationships" ref="O132" r:id="rId128"/>
    <hyperlink xmlns:r="http://schemas.openxmlformats.org/officeDocument/2006/relationships" ref="O133" r:id="rId129"/>
    <hyperlink xmlns:r="http://schemas.openxmlformats.org/officeDocument/2006/relationships" ref="O134" r:id="rId130"/>
    <hyperlink xmlns:r="http://schemas.openxmlformats.org/officeDocument/2006/relationships" ref="O135" r:id="rId131"/>
    <hyperlink xmlns:r="http://schemas.openxmlformats.org/officeDocument/2006/relationships" ref="O136" r:id="rId132"/>
    <hyperlink xmlns:r="http://schemas.openxmlformats.org/officeDocument/2006/relationships" ref="O137" r:id="rId133"/>
    <hyperlink xmlns:r="http://schemas.openxmlformats.org/officeDocument/2006/relationships" ref="O138" r:id="rId134"/>
    <hyperlink xmlns:r="http://schemas.openxmlformats.org/officeDocument/2006/relationships" ref="O139" r:id="rId135"/>
    <hyperlink xmlns:r="http://schemas.openxmlformats.org/officeDocument/2006/relationships" ref="O140" r:id="rId136"/>
    <hyperlink xmlns:r="http://schemas.openxmlformats.org/officeDocument/2006/relationships" ref="O141" r:id="rId137"/>
    <hyperlink xmlns:r="http://schemas.openxmlformats.org/officeDocument/2006/relationships" ref="O142" r:id="rId138"/>
    <hyperlink xmlns:r="http://schemas.openxmlformats.org/officeDocument/2006/relationships" ref="O143" r:id="rId139"/>
    <hyperlink xmlns:r="http://schemas.openxmlformats.org/officeDocument/2006/relationships" ref="O144" r:id="rId140"/>
    <hyperlink xmlns:r="http://schemas.openxmlformats.org/officeDocument/2006/relationships" ref="O145" r:id="rId141"/>
    <hyperlink xmlns:r="http://schemas.openxmlformats.org/officeDocument/2006/relationships" ref="O146" r:id="rId142"/>
    <hyperlink xmlns:r="http://schemas.openxmlformats.org/officeDocument/2006/relationships" ref="O147" r:id="rId143"/>
    <hyperlink xmlns:r="http://schemas.openxmlformats.org/officeDocument/2006/relationships" ref="O148" r:id="rId144"/>
    <hyperlink xmlns:r="http://schemas.openxmlformats.org/officeDocument/2006/relationships" ref="O149" r:id="rId145"/>
    <hyperlink xmlns:r="http://schemas.openxmlformats.org/officeDocument/2006/relationships" ref="O150" r:id="rId146"/>
    <hyperlink xmlns:r="http://schemas.openxmlformats.org/officeDocument/2006/relationships" ref="O151" r:id="rId147"/>
    <hyperlink xmlns:r="http://schemas.openxmlformats.org/officeDocument/2006/relationships" ref="O152" r:id="rId148"/>
    <hyperlink xmlns:r="http://schemas.openxmlformats.org/officeDocument/2006/relationships" ref="O153" r:id="rId149"/>
    <hyperlink xmlns:r="http://schemas.openxmlformats.org/officeDocument/2006/relationships" ref="O154" r:id="rId150"/>
    <hyperlink xmlns:r="http://schemas.openxmlformats.org/officeDocument/2006/relationships" ref="O155" r:id="rId151"/>
    <hyperlink xmlns:r="http://schemas.openxmlformats.org/officeDocument/2006/relationships" ref="O156" r:id="rId152"/>
    <hyperlink xmlns:r="http://schemas.openxmlformats.org/officeDocument/2006/relationships" ref="O157" r:id="rId153"/>
    <hyperlink xmlns:r="http://schemas.openxmlformats.org/officeDocument/2006/relationships" ref="O158" r:id="rId154"/>
    <hyperlink xmlns:r="http://schemas.openxmlformats.org/officeDocument/2006/relationships" ref="O159" r:id="rId155"/>
    <hyperlink xmlns:r="http://schemas.openxmlformats.org/officeDocument/2006/relationships" ref="O160" r:id="rId156"/>
    <hyperlink xmlns:r="http://schemas.openxmlformats.org/officeDocument/2006/relationships" ref="O161" r:id="rId157"/>
    <hyperlink xmlns:r="http://schemas.openxmlformats.org/officeDocument/2006/relationships" ref="O162" r:id="rId158"/>
    <hyperlink xmlns:r="http://schemas.openxmlformats.org/officeDocument/2006/relationships" ref="O163" r:id="rId159"/>
    <hyperlink xmlns:r="http://schemas.openxmlformats.org/officeDocument/2006/relationships" ref="O164" r:id="rId160"/>
    <hyperlink xmlns:r="http://schemas.openxmlformats.org/officeDocument/2006/relationships" ref="O165" r:id="rId161"/>
    <hyperlink xmlns:r="http://schemas.openxmlformats.org/officeDocument/2006/relationships" ref="O166" r:id="rId162"/>
    <hyperlink xmlns:r="http://schemas.openxmlformats.org/officeDocument/2006/relationships" ref="O167" r:id="rId163"/>
    <hyperlink xmlns:r="http://schemas.openxmlformats.org/officeDocument/2006/relationships" ref="O168" r:id="rId164"/>
    <hyperlink xmlns:r="http://schemas.openxmlformats.org/officeDocument/2006/relationships" ref="O169" r:id="rId165"/>
    <hyperlink xmlns:r="http://schemas.openxmlformats.org/officeDocument/2006/relationships" ref="O170" r:id="rId166"/>
    <hyperlink xmlns:r="http://schemas.openxmlformats.org/officeDocument/2006/relationships" ref="O171" r:id="rId167"/>
    <hyperlink xmlns:r="http://schemas.openxmlformats.org/officeDocument/2006/relationships" ref="O172" r:id="rId168"/>
    <hyperlink xmlns:r="http://schemas.openxmlformats.org/officeDocument/2006/relationships" ref="O173" r:id="rId169"/>
    <hyperlink xmlns:r="http://schemas.openxmlformats.org/officeDocument/2006/relationships" ref="O174" r:id="rId170"/>
    <hyperlink xmlns:r="http://schemas.openxmlformats.org/officeDocument/2006/relationships" ref="O175" r:id="rId171"/>
    <hyperlink xmlns:r="http://schemas.openxmlformats.org/officeDocument/2006/relationships" ref="O176" r:id="rId172"/>
    <hyperlink xmlns:r="http://schemas.openxmlformats.org/officeDocument/2006/relationships" ref="O177" r:id="rId173"/>
    <hyperlink xmlns:r="http://schemas.openxmlformats.org/officeDocument/2006/relationships" ref="O178" r:id="rId174"/>
    <hyperlink xmlns:r="http://schemas.openxmlformats.org/officeDocument/2006/relationships" ref="O179" r:id="rId175"/>
    <hyperlink xmlns:r="http://schemas.openxmlformats.org/officeDocument/2006/relationships" ref="O180" r:id="rId176"/>
    <hyperlink xmlns:r="http://schemas.openxmlformats.org/officeDocument/2006/relationships" ref="O181" r:id="rId177"/>
    <hyperlink xmlns:r="http://schemas.openxmlformats.org/officeDocument/2006/relationships" ref="O182" r:id="rId178"/>
    <hyperlink xmlns:r="http://schemas.openxmlformats.org/officeDocument/2006/relationships" ref="O183" r:id="rId179"/>
    <hyperlink xmlns:r="http://schemas.openxmlformats.org/officeDocument/2006/relationships" ref="O184" r:id="rId180"/>
    <hyperlink xmlns:r="http://schemas.openxmlformats.org/officeDocument/2006/relationships" ref="O185" r:id="rId181"/>
    <hyperlink xmlns:r="http://schemas.openxmlformats.org/officeDocument/2006/relationships" ref="O186" r:id="rId182"/>
    <hyperlink xmlns:r="http://schemas.openxmlformats.org/officeDocument/2006/relationships" ref="O187" r:id="rId183"/>
    <hyperlink xmlns:r="http://schemas.openxmlformats.org/officeDocument/2006/relationships" ref="O188" r:id="rId184"/>
    <hyperlink xmlns:r="http://schemas.openxmlformats.org/officeDocument/2006/relationships" ref="O189" r:id="rId185"/>
    <hyperlink xmlns:r="http://schemas.openxmlformats.org/officeDocument/2006/relationships" ref="O190" r:id="rId186"/>
    <hyperlink xmlns:r="http://schemas.openxmlformats.org/officeDocument/2006/relationships" ref="O191" r:id="rId187"/>
    <hyperlink xmlns:r="http://schemas.openxmlformats.org/officeDocument/2006/relationships" ref="O192" r:id="rId188"/>
    <hyperlink xmlns:r="http://schemas.openxmlformats.org/officeDocument/2006/relationships" ref="O193" r:id="rId189"/>
    <hyperlink xmlns:r="http://schemas.openxmlformats.org/officeDocument/2006/relationships" ref="O194" r:id="rId190"/>
    <hyperlink xmlns:r="http://schemas.openxmlformats.org/officeDocument/2006/relationships" ref="O195" r:id="rId191"/>
    <hyperlink xmlns:r="http://schemas.openxmlformats.org/officeDocument/2006/relationships" ref="O196" r:id="rId192"/>
    <hyperlink xmlns:r="http://schemas.openxmlformats.org/officeDocument/2006/relationships" ref="O197" r:id="rId193"/>
    <hyperlink xmlns:r="http://schemas.openxmlformats.org/officeDocument/2006/relationships" ref="O198" r:id="rId194"/>
    <hyperlink xmlns:r="http://schemas.openxmlformats.org/officeDocument/2006/relationships" ref="O199" r:id="rId195"/>
    <hyperlink xmlns:r="http://schemas.openxmlformats.org/officeDocument/2006/relationships" ref="O200" r:id="rId196"/>
    <hyperlink xmlns:r="http://schemas.openxmlformats.org/officeDocument/2006/relationships" ref="O201" r:id="rId197"/>
    <hyperlink xmlns:r="http://schemas.openxmlformats.org/officeDocument/2006/relationships" ref="O202" r:id="rId198"/>
    <hyperlink xmlns:r="http://schemas.openxmlformats.org/officeDocument/2006/relationships" ref="O203" r:id="rId199"/>
    <hyperlink xmlns:r="http://schemas.openxmlformats.org/officeDocument/2006/relationships" ref="O204" r:id="rId200"/>
    <hyperlink xmlns:r="http://schemas.openxmlformats.org/officeDocument/2006/relationships" ref="O205" r:id="rId201"/>
    <hyperlink xmlns:r="http://schemas.openxmlformats.org/officeDocument/2006/relationships" ref="O206" r:id="rId202"/>
    <hyperlink xmlns:r="http://schemas.openxmlformats.org/officeDocument/2006/relationships" ref="O207" r:id="rId203"/>
    <hyperlink xmlns:r="http://schemas.openxmlformats.org/officeDocument/2006/relationships" ref="O208" r:id="rId204"/>
    <hyperlink xmlns:r="http://schemas.openxmlformats.org/officeDocument/2006/relationships" ref="O209" r:id="rId205"/>
    <hyperlink xmlns:r="http://schemas.openxmlformats.org/officeDocument/2006/relationships" ref="O210" r:id="rId206"/>
    <hyperlink xmlns:r="http://schemas.openxmlformats.org/officeDocument/2006/relationships" ref="O211" r:id="rId207"/>
    <hyperlink xmlns:r="http://schemas.openxmlformats.org/officeDocument/2006/relationships" ref="O212" r:id="rId208"/>
    <hyperlink xmlns:r="http://schemas.openxmlformats.org/officeDocument/2006/relationships" ref="O213" r:id="rId209"/>
    <hyperlink xmlns:r="http://schemas.openxmlformats.org/officeDocument/2006/relationships" ref="O214" r:id="rId210"/>
    <hyperlink xmlns:r="http://schemas.openxmlformats.org/officeDocument/2006/relationships" ref="O215" r:id="rId211"/>
    <hyperlink xmlns:r="http://schemas.openxmlformats.org/officeDocument/2006/relationships" ref="O216" r:id="rId212"/>
    <hyperlink xmlns:r="http://schemas.openxmlformats.org/officeDocument/2006/relationships" ref="O217" r:id="rId213"/>
    <hyperlink xmlns:r="http://schemas.openxmlformats.org/officeDocument/2006/relationships" ref="O218" r:id="rId214"/>
    <hyperlink xmlns:r="http://schemas.openxmlformats.org/officeDocument/2006/relationships" ref="O219" r:id="rId215"/>
    <hyperlink xmlns:r="http://schemas.openxmlformats.org/officeDocument/2006/relationships" ref="O220" r:id="rId216"/>
    <hyperlink xmlns:r="http://schemas.openxmlformats.org/officeDocument/2006/relationships" ref="O221" r:id="rId217"/>
    <hyperlink xmlns:r="http://schemas.openxmlformats.org/officeDocument/2006/relationships" ref="O222" r:id="rId218"/>
    <hyperlink xmlns:r="http://schemas.openxmlformats.org/officeDocument/2006/relationships" ref="O223" r:id="rId219"/>
    <hyperlink xmlns:r="http://schemas.openxmlformats.org/officeDocument/2006/relationships" ref="O224" r:id="rId220"/>
    <hyperlink xmlns:r="http://schemas.openxmlformats.org/officeDocument/2006/relationships" ref="O225" r:id="rId221"/>
    <hyperlink xmlns:r="http://schemas.openxmlformats.org/officeDocument/2006/relationships" ref="O226" r:id="rId222"/>
    <hyperlink xmlns:r="http://schemas.openxmlformats.org/officeDocument/2006/relationships" ref="O227" r:id="rId223"/>
    <hyperlink xmlns:r="http://schemas.openxmlformats.org/officeDocument/2006/relationships" ref="O228" r:id="rId224"/>
    <hyperlink xmlns:r="http://schemas.openxmlformats.org/officeDocument/2006/relationships" ref="O229" r:id="rId225"/>
    <hyperlink xmlns:r="http://schemas.openxmlformats.org/officeDocument/2006/relationships" ref="O230" r:id="rId226"/>
    <hyperlink xmlns:r="http://schemas.openxmlformats.org/officeDocument/2006/relationships" ref="O231" r:id="rId227"/>
    <hyperlink xmlns:r="http://schemas.openxmlformats.org/officeDocument/2006/relationships" ref="O232" r:id="rId228"/>
    <hyperlink xmlns:r="http://schemas.openxmlformats.org/officeDocument/2006/relationships" ref="O233" r:id="rId229"/>
    <hyperlink xmlns:r="http://schemas.openxmlformats.org/officeDocument/2006/relationships" ref="O234" r:id="rId230"/>
    <hyperlink xmlns:r="http://schemas.openxmlformats.org/officeDocument/2006/relationships" ref="O235" r:id="rId231"/>
    <hyperlink xmlns:r="http://schemas.openxmlformats.org/officeDocument/2006/relationships" ref="O236" r:id="rId232"/>
    <hyperlink xmlns:r="http://schemas.openxmlformats.org/officeDocument/2006/relationships" ref="O237" r:id="rId233"/>
    <hyperlink xmlns:r="http://schemas.openxmlformats.org/officeDocument/2006/relationships" ref="O238" r:id="rId234"/>
    <hyperlink xmlns:r="http://schemas.openxmlformats.org/officeDocument/2006/relationships" ref="O239" r:id="rId235"/>
    <hyperlink xmlns:r="http://schemas.openxmlformats.org/officeDocument/2006/relationships" ref="O240" r:id="rId236"/>
    <hyperlink xmlns:r="http://schemas.openxmlformats.org/officeDocument/2006/relationships" ref="O241" r:id="rId237"/>
    <hyperlink xmlns:r="http://schemas.openxmlformats.org/officeDocument/2006/relationships" ref="O242" r:id="rId238"/>
    <hyperlink xmlns:r="http://schemas.openxmlformats.org/officeDocument/2006/relationships" ref="O243" r:id="rId239"/>
    <hyperlink xmlns:r="http://schemas.openxmlformats.org/officeDocument/2006/relationships" ref="O244" r:id="rId240"/>
    <hyperlink xmlns:r="http://schemas.openxmlformats.org/officeDocument/2006/relationships" ref="O245" r:id="rId241"/>
    <hyperlink xmlns:r="http://schemas.openxmlformats.org/officeDocument/2006/relationships" ref="O246" r:id="rId242"/>
    <hyperlink xmlns:r="http://schemas.openxmlformats.org/officeDocument/2006/relationships" ref="O247" r:id="rId243"/>
    <hyperlink xmlns:r="http://schemas.openxmlformats.org/officeDocument/2006/relationships" ref="O248" r:id="rId244"/>
    <hyperlink xmlns:r="http://schemas.openxmlformats.org/officeDocument/2006/relationships" ref="O249" r:id="rId245"/>
    <hyperlink xmlns:r="http://schemas.openxmlformats.org/officeDocument/2006/relationships" ref="O250" r:id="rId246"/>
    <hyperlink xmlns:r="http://schemas.openxmlformats.org/officeDocument/2006/relationships" ref="O251" r:id="rId247"/>
    <hyperlink xmlns:r="http://schemas.openxmlformats.org/officeDocument/2006/relationships" ref="O252" r:id="rId248"/>
    <hyperlink xmlns:r="http://schemas.openxmlformats.org/officeDocument/2006/relationships" ref="O253" r:id="rId249"/>
    <hyperlink xmlns:r="http://schemas.openxmlformats.org/officeDocument/2006/relationships" ref="O254" r:id="rId250"/>
    <hyperlink xmlns:r="http://schemas.openxmlformats.org/officeDocument/2006/relationships" ref="O255" r:id="rId251"/>
    <hyperlink xmlns:r="http://schemas.openxmlformats.org/officeDocument/2006/relationships" ref="O256" r:id="rId252"/>
    <hyperlink xmlns:r="http://schemas.openxmlformats.org/officeDocument/2006/relationships" ref="O257" r:id="rId253"/>
    <hyperlink xmlns:r="http://schemas.openxmlformats.org/officeDocument/2006/relationships" ref="O258" r:id="rId254"/>
    <hyperlink xmlns:r="http://schemas.openxmlformats.org/officeDocument/2006/relationships" ref="O259" r:id="rId255"/>
    <hyperlink xmlns:r="http://schemas.openxmlformats.org/officeDocument/2006/relationships" ref="O260" r:id="rId256"/>
    <hyperlink xmlns:r="http://schemas.openxmlformats.org/officeDocument/2006/relationships" ref="O261" r:id="rId257"/>
    <hyperlink xmlns:r="http://schemas.openxmlformats.org/officeDocument/2006/relationships" ref="O262" r:id="rId258"/>
    <hyperlink xmlns:r="http://schemas.openxmlformats.org/officeDocument/2006/relationships" ref="O263" r:id="rId259"/>
    <hyperlink xmlns:r="http://schemas.openxmlformats.org/officeDocument/2006/relationships" ref="O264" r:id="rId260"/>
    <hyperlink xmlns:r="http://schemas.openxmlformats.org/officeDocument/2006/relationships" ref="O265" r:id="rId261"/>
    <hyperlink xmlns:r="http://schemas.openxmlformats.org/officeDocument/2006/relationships" ref="O266" r:id="rId262"/>
    <hyperlink xmlns:r="http://schemas.openxmlformats.org/officeDocument/2006/relationships" ref="O267" r:id="rId263"/>
    <hyperlink xmlns:r="http://schemas.openxmlformats.org/officeDocument/2006/relationships" ref="O268" r:id="rId264"/>
    <hyperlink xmlns:r="http://schemas.openxmlformats.org/officeDocument/2006/relationships" ref="O269" r:id="rId265"/>
    <hyperlink xmlns:r="http://schemas.openxmlformats.org/officeDocument/2006/relationships" ref="O270" r:id="rId266"/>
    <hyperlink xmlns:r="http://schemas.openxmlformats.org/officeDocument/2006/relationships" ref="O271" r:id="rId267"/>
    <hyperlink xmlns:r="http://schemas.openxmlformats.org/officeDocument/2006/relationships" ref="O272" r:id="rId268"/>
    <hyperlink xmlns:r="http://schemas.openxmlformats.org/officeDocument/2006/relationships" ref="O273" r:id="rId269"/>
    <hyperlink xmlns:r="http://schemas.openxmlformats.org/officeDocument/2006/relationships" ref="O274" r:id="rId270"/>
    <hyperlink xmlns:r="http://schemas.openxmlformats.org/officeDocument/2006/relationships" ref="O275" r:id="rId271"/>
    <hyperlink xmlns:r="http://schemas.openxmlformats.org/officeDocument/2006/relationships" ref="O276" r:id="rId272"/>
    <hyperlink xmlns:r="http://schemas.openxmlformats.org/officeDocument/2006/relationships" ref="O277" r:id="rId273"/>
    <hyperlink xmlns:r="http://schemas.openxmlformats.org/officeDocument/2006/relationships" ref="O278" r:id="rId274"/>
    <hyperlink xmlns:r="http://schemas.openxmlformats.org/officeDocument/2006/relationships" ref="O279" r:id="rId275"/>
    <hyperlink xmlns:r="http://schemas.openxmlformats.org/officeDocument/2006/relationships" ref="O280" r:id="rId276"/>
    <hyperlink xmlns:r="http://schemas.openxmlformats.org/officeDocument/2006/relationships" ref="O281" r:id="rId277"/>
    <hyperlink xmlns:r="http://schemas.openxmlformats.org/officeDocument/2006/relationships" ref="O282" r:id="rId278"/>
    <hyperlink xmlns:r="http://schemas.openxmlformats.org/officeDocument/2006/relationships" ref="O283" r:id="rId279"/>
    <hyperlink xmlns:r="http://schemas.openxmlformats.org/officeDocument/2006/relationships" ref="O284" r:id="rId280"/>
    <hyperlink xmlns:r="http://schemas.openxmlformats.org/officeDocument/2006/relationships" ref="O285" r:id="rId281"/>
    <hyperlink xmlns:r="http://schemas.openxmlformats.org/officeDocument/2006/relationships" ref="O286" r:id="rId282"/>
    <hyperlink xmlns:r="http://schemas.openxmlformats.org/officeDocument/2006/relationships" ref="O287" r:id="rId283"/>
    <hyperlink xmlns:r="http://schemas.openxmlformats.org/officeDocument/2006/relationships" ref="O288" r:id="rId284"/>
    <hyperlink xmlns:r="http://schemas.openxmlformats.org/officeDocument/2006/relationships" ref="O289" r:id="rId285"/>
    <hyperlink xmlns:r="http://schemas.openxmlformats.org/officeDocument/2006/relationships" ref="O290" r:id="rId286"/>
    <hyperlink xmlns:r="http://schemas.openxmlformats.org/officeDocument/2006/relationships" ref="O291" r:id="rId287"/>
    <hyperlink xmlns:r="http://schemas.openxmlformats.org/officeDocument/2006/relationships" ref="O292" r:id="rId288"/>
    <hyperlink xmlns:r="http://schemas.openxmlformats.org/officeDocument/2006/relationships" ref="O293" r:id="rId289"/>
    <hyperlink xmlns:r="http://schemas.openxmlformats.org/officeDocument/2006/relationships" ref="O294" r:id="rId290"/>
    <hyperlink xmlns:r="http://schemas.openxmlformats.org/officeDocument/2006/relationships" ref="O295" r:id="rId291"/>
    <hyperlink xmlns:r="http://schemas.openxmlformats.org/officeDocument/2006/relationships" ref="O296" r:id="rId292"/>
    <hyperlink xmlns:r="http://schemas.openxmlformats.org/officeDocument/2006/relationships" ref="O297" r:id="rId293"/>
    <hyperlink xmlns:r="http://schemas.openxmlformats.org/officeDocument/2006/relationships" ref="O298" r:id="rId294"/>
    <hyperlink xmlns:r="http://schemas.openxmlformats.org/officeDocument/2006/relationships" ref="O299" r:id="rId295"/>
    <hyperlink xmlns:r="http://schemas.openxmlformats.org/officeDocument/2006/relationships" ref="O300" r:id="rId296"/>
    <hyperlink xmlns:r="http://schemas.openxmlformats.org/officeDocument/2006/relationships" ref="O301" r:id="rId297"/>
    <hyperlink xmlns:r="http://schemas.openxmlformats.org/officeDocument/2006/relationships" ref="O302" r:id="rId298"/>
    <hyperlink xmlns:r="http://schemas.openxmlformats.org/officeDocument/2006/relationships" ref="O303" r:id="rId299"/>
    <hyperlink xmlns:r="http://schemas.openxmlformats.org/officeDocument/2006/relationships" ref="O304" r:id="rId300"/>
    <hyperlink xmlns:r="http://schemas.openxmlformats.org/officeDocument/2006/relationships" ref="O305" r:id="rId301"/>
    <hyperlink xmlns:r="http://schemas.openxmlformats.org/officeDocument/2006/relationships" ref="O306" r:id="rId302"/>
    <hyperlink xmlns:r="http://schemas.openxmlformats.org/officeDocument/2006/relationships" ref="O307" r:id="rId303"/>
    <hyperlink xmlns:r="http://schemas.openxmlformats.org/officeDocument/2006/relationships" ref="O308" r:id="rId304"/>
    <hyperlink xmlns:r="http://schemas.openxmlformats.org/officeDocument/2006/relationships" ref="O309" r:id="rId305"/>
    <hyperlink xmlns:r="http://schemas.openxmlformats.org/officeDocument/2006/relationships" ref="O310" r:id="rId306"/>
    <hyperlink xmlns:r="http://schemas.openxmlformats.org/officeDocument/2006/relationships" ref="O311" r:id="rId307"/>
    <hyperlink xmlns:r="http://schemas.openxmlformats.org/officeDocument/2006/relationships" ref="O312" r:id="rId308"/>
    <hyperlink xmlns:r="http://schemas.openxmlformats.org/officeDocument/2006/relationships" ref="O313" r:id="rId309"/>
    <hyperlink xmlns:r="http://schemas.openxmlformats.org/officeDocument/2006/relationships" ref="O314" r:id="rId310"/>
    <hyperlink xmlns:r="http://schemas.openxmlformats.org/officeDocument/2006/relationships" ref="O315" r:id="rId311"/>
    <hyperlink xmlns:r="http://schemas.openxmlformats.org/officeDocument/2006/relationships" ref="O316" r:id="rId312"/>
    <hyperlink xmlns:r="http://schemas.openxmlformats.org/officeDocument/2006/relationships" ref="O317" r:id="rId313"/>
    <hyperlink xmlns:r="http://schemas.openxmlformats.org/officeDocument/2006/relationships" ref="O318" r:id="rId314"/>
    <hyperlink xmlns:r="http://schemas.openxmlformats.org/officeDocument/2006/relationships" ref="O319" r:id="rId315"/>
    <hyperlink xmlns:r="http://schemas.openxmlformats.org/officeDocument/2006/relationships" ref="O320" r:id="rId316"/>
    <hyperlink xmlns:r="http://schemas.openxmlformats.org/officeDocument/2006/relationships" ref="O321" r:id="rId317"/>
    <hyperlink xmlns:r="http://schemas.openxmlformats.org/officeDocument/2006/relationships" ref="O322" r:id="rId318"/>
    <hyperlink xmlns:r="http://schemas.openxmlformats.org/officeDocument/2006/relationships" ref="O323" r:id="rId319"/>
    <hyperlink xmlns:r="http://schemas.openxmlformats.org/officeDocument/2006/relationships" ref="O324" r:id="rId320"/>
    <hyperlink xmlns:r="http://schemas.openxmlformats.org/officeDocument/2006/relationships" ref="O325" r:id="rId321"/>
    <hyperlink xmlns:r="http://schemas.openxmlformats.org/officeDocument/2006/relationships" ref="O326" r:id="rId322"/>
    <hyperlink xmlns:r="http://schemas.openxmlformats.org/officeDocument/2006/relationships" ref="O327" r:id="rId323"/>
    <hyperlink xmlns:r="http://schemas.openxmlformats.org/officeDocument/2006/relationships" ref="O328" r:id="rId324"/>
    <hyperlink xmlns:r="http://schemas.openxmlformats.org/officeDocument/2006/relationships" ref="O329" r:id="rId325"/>
    <hyperlink xmlns:r="http://schemas.openxmlformats.org/officeDocument/2006/relationships" ref="O330" r:id="rId326"/>
    <hyperlink xmlns:r="http://schemas.openxmlformats.org/officeDocument/2006/relationships" ref="O331" r:id="rId327"/>
    <hyperlink xmlns:r="http://schemas.openxmlformats.org/officeDocument/2006/relationships" ref="O332" r:id="rId328"/>
    <hyperlink xmlns:r="http://schemas.openxmlformats.org/officeDocument/2006/relationships" ref="O333" r:id="rId329"/>
    <hyperlink xmlns:r="http://schemas.openxmlformats.org/officeDocument/2006/relationships" ref="O334" r:id="rId330"/>
    <hyperlink xmlns:r="http://schemas.openxmlformats.org/officeDocument/2006/relationships" ref="O335" r:id="rId331"/>
    <hyperlink xmlns:r="http://schemas.openxmlformats.org/officeDocument/2006/relationships" ref="O336" r:id="rId332"/>
    <hyperlink xmlns:r="http://schemas.openxmlformats.org/officeDocument/2006/relationships" ref="O337" r:id="rId333"/>
    <hyperlink xmlns:r="http://schemas.openxmlformats.org/officeDocument/2006/relationships" ref="O338" r:id="rId334"/>
    <hyperlink xmlns:r="http://schemas.openxmlformats.org/officeDocument/2006/relationships" ref="O339" r:id="rId335"/>
    <hyperlink xmlns:r="http://schemas.openxmlformats.org/officeDocument/2006/relationships" ref="O340" r:id="rId336"/>
    <hyperlink xmlns:r="http://schemas.openxmlformats.org/officeDocument/2006/relationships" ref="O341" r:id="rId337"/>
    <hyperlink xmlns:r="http://schemas.openxmlformats.org/officeDocument/2006/relationships" ref="O342" r:id="rId338"/>
    <hyperlink xmlns:r="http://schemas.openxmlformats.org/officeDocument/2006/relationships" ref="O343" r:id="rId339"/>
    <hyperlink xmlns:r="http://schemas.openxmlformats.org/officeDocument/2006/relationships" ref="O344" r:id="rId340"/>
    <hyperlink xmlns:r="http://schemas.openxmlformats.org/officeDocument/2006/relationships" ref="O345" r:id="rId341"/>
    <hyperlink xmlns:r="http://schemas.openxmlformats.org/officeDocument/2006/relationships" ref="O346" r:id="rId342"/>
    <hyperlink xmlns:r="http://schemas.openxmlformats.org/officeDocument/2006/relationships" ref="O347" r:id="rId343"/>
    <hyperlink xmlns:r="http://schemas.openxmlformats.org/officeDocument/2006/relationships" ref="O348" r:id="rId344"/>
    <hyperlink xmlns:r="http://schemas.openxmlformats.org/officeDocument/2006/relationships" ref="O349" r:id="rId345"/>
    <hyperlink xmlns:r="http://schemas.openxmlformats.org/officeDocument/2006/relationships" ref="O350" r:id="rId346"/>
    <hyperlink xmlns:r="http://schemas.openxmlformats.org/officeDocument/2006/relationships" ref="O351" r:id="rId347"/>
    <hyperlink xmlns:r="http://schemas.openxmlformats.org/officeDocument/2006/relationships" ref="O352" r:id="rId348"/>
    <hyperlink xmlns:r="http://schemas.openxmlformats.org/officeDocument/2006/relationships" ref="O353" r:id="rId349"/>
    <hyperlink xmlns:r="http://schemas.openxmlformats.org/officeDocument/2006/relationships" ref="O354" r:id="rId350"/>
    <hyperlink xmlns:r="http://schemas.openxmlformats.org/officeDocument/2006/relationships" ref="O355" r:id="rId351"/>
    <hyperlink xmlns:r="http://schemas.openxmlformats.org/officeDocument/2006/relationships" ref="O356" r:id="rId352"/>
    <hyperlink xmlns:r="http://schemas.openxmlformats.org/officeDocument/2006/relationships" ref="O357" r:id="rId353"/>
    <hyperlink xmlns:r="http://schemas.openxmlformats.org/officeDocument/2006/relationships" ref="O358" r:id="rId354"/>
    <hyperlink xmlns:r="http://schemas.openxmlformats.org/officeDocument/2006/relationships" ref="O359" r:id="rId355"/>
    <hyperlink xmlns:r="http://schemas.openxmlformats.org/officeDocument/2006/relationships" ref="O360" r:id="rId356"/>
    <hyperlink xmlns:r="http://schemas.openxmlformats.org/officeDocument/2006/relationships" ref="O361" r:id="rId357"/>
    <hyperlink xmlns:r="http://schemas.openxmlformats.org/officeDocument/2006/relationships" ref="O362" r:id="rId358"/>
    <hyperlink xmlns:r="http://schemas.openxmlformats.org/officeDocument/2006/relationships" ref="O363" r:id="rId359"/>
    <hyperlink xmlns:r="http://schemas.openxmlformats.org/officeDocument/2006/relationships" ref="O364" r:id="rId360"/>
    <hyperlink xmlns:r="http://schemas.openxmlformats.org/officeDocument/2006/relationships" ref="O365" r:id="rId361"/>
    <hyperlink xmlns:r="http://schemas.openxmlformats.org/officeDocument/2006/relationships" ref="O366" r:id="rId362"/>
    <hyperlink xmlns:r="http://schemas.openxmlformats.org/officeDocument/2006/relationships" ref="O367" r:id="rId363"/>
    <hyperlink xmlns:r="http://schemas.openxmlformats.org/officeDocument/2006/relationships" ref="O368" r:id="rId364"/>
    <hyperlink xmlns:r="http://schemas.openxmlformats.org/officeDocument/2006/relationships" ref="O369" r:id="rId365"/>
    <hyperlink xmlns:r="http://schemas.openxmlformats.org/officeDocument/2006/relationships" ref="O370" r:id="rId366"/>
    <hyperlink xmlns:r="http://schemas.openxmlformats.org/officeDocument/2006/relationships" ref="O371" r:id="rId367"/>
    <hyperlink xmlns:r="http://schemas.openxmlformats.org/officeDocument/2006/relationships" ref="O372" r:id="rId368"/>
    <hyperlink xmlns:r="http://schemas.openxmlformats.org/officeDocument/2006/relationships" ref="O373" r:id="rId369"/>
    <hyperlink xmlns:r="http://schemas.openxmlformats.org/officeDocument/2006/relationships" ref="O374" r:id="rId370"/>
    <hyperlink xmlns:r="http://schemas.openxmlformats.org/officeDocument/2006/relationships" ref="O375" r:id="rId371"/>
    <hyperlink xmlns:r="http://schemas.openxmlformats.org/officeDocument/2006/relationships" ref="O376" r:id="rId372"/>
    <hyperlink xmlns:r="http://schemas.openxmlformats.org/officeDocument/2006/relationships" ref="O377" r:id="rId373"/>
    <hyperlink xmlns:r="http://schemas.openxmlformats.org/officeDocument/2006/relationships" ref="O378" r:id="rId374"/>
    <hyperlink xmlns:r="http://schemas.openxmlformats.org/officeDocument/2006/relationships" ref="O379" r:id="rId375"/>
    <hyperlink xmlns:r="http://schemas.openxmlformats.org/officeDocument/2006/relationships" ref="O380" r:id="rId376"/>
    <hyperlink xmlns:r="http://schemas.openxmlformats.org/officeDocument/2006/relationships" ref="O381" r:id="rId377"/>
    <hyperlink xmlns:r="http://schemas.openxmlformats.org/officeDocument/2006/relationships" ref="O382" r:id="rId378"/>
    <hyperlink xmlns:r="http://schemas.openxmlformats.org/officeDocument/2006/relationships" ref="O383" r:id="rId379"/>
    <hyperlink xmlns:r="http://schemas.openxmlformats.org/officeDocument/2006/relationships" ref="O384" r:id="rId380"/>
    <hyperlink xmlns:r="http://schemas.openxmlformats.org/officeDocument/2006/relationships" ref="O385" r:id="rId381"/>
    <hyperlink xmlns:r="http://schemas.openxmlformats.org/officeDocument/2006/relationships" ref="O386" r:id="rId382"/>
    <hyperlink xmlns:r="http://schemas.openxmlformats.org/officeDocument/2006/relationships" ref="O387" r:id="rId383"/>
    <hyperlink xmlns:r="http://schemas.openxmlformats.org/officeDocument/2006/relationships" ref="O388" r:id="rId384"/>
    <hyperlink xmlns:r="http://schemas.openxmlformats.org/officeDocument/2006/relationships" ref="O389" r:id="rId385"/>
    <hyperlink xmlns:r="http://schemas.openxmlformats.org/officeDocument/2006/relationships" ref="O390" r:id="rId386"/>
    <hyperlink xmlns:r="http://schemas.openxmlformats.org/officeDocument/2006/relationships" ref="O391" r:id="rId387"/>
    <hyperlink xmlns:r="http://schemas.openxmlformats.org/officeDocument/2006/relationships" ref="O392" r:id="rId388"/>
    <hyperlink xmlns:r="http://schemas.openxmlformats.org/officeDocument/2006/relationships" ref="O393" r:id="rId389"/>
    <hyperlink xmlns:r="http://schemas.openxmlformats.org/officeDocument/2006/relationships" ref="O394" r:id="rId390"/>
    <hyperlink xmlns:r="http://schemas.openxmlformats.org/officeDocument/2006/relationships" ref="O395" r:id="rId391"/>
    <hyperlink xmlns:r="http://schemas.openxmlformats.org/officeDocument/2006/relationships" ref="O396" r:id="rId392"/>
    <hyperlink xmlns:r="http://schemas.openxmlformats.org/officeDocument/2006/relationships" ref="O397" r:id="rId393"/>
    <hyperlink xmlns:r="http://schemas.openxmlformats.org/officeDocument/2006/relationships" ref="O398" r:id="rId394"/>
    <hyperlink xmlns:r="http://schemas.openxmlformats.org/officeDocument/2006/relationships" ref="O399" r:id="rId395"/>
    <hyperlink xmlns:r="http://schemas.openxmlformats.org/officeDocument/2006/relationships" ref="O400" r:id="rId396"/>
    <hyperlink xmlns:r="http://schemas.openxmlformats.org/officeDocument/2006/relationships" ref="O401" r:id="rId397"/>
    <hyperlink xmlns:r="http://schemas.openxmlformats.org/officeDocument/2006/relationships" ref="O402" r:id="rId398"/>
    <hyperlink xmlns:r="http://schemas.openxmlformats.org/officeDocument/2006/relationships" ref="O403" r:id="rId399"/>
    <hyperlink xmlns:r="http://schemas.openxmlformats.org/officeDocument/2006/relationships" ref="O404" r:id="rId400"/>
    <hyperlink xmlns:r="http://schemas.openxmlformats.org/officeDocument/2006/relationships" ref="O405" r:id="rId401"/>
    <hyperlink xmlns:r="http://schemas.openxmlformats.org/officeDocument/2006/relationships" ref="O406" r:id="rId402"/>
    <hyperlink xmlns:r="http://schemas.openxmlformats.org/officeDocument/2006/relationships" ref="O407" r:id="rId403"/>
    <hyperlink xmlns:r="http://schemas.openxmlformats.org/officeDocument/2006/relationships" ref="O408" r:id="rId404"/>
    <hyperlink xmlns:r="http://schemas.openxmlformats.org/officeDocument/2006/relationships" ref="O409" r:id="rId405"/>
    <hyperlink xmlns:r="http://schemas.openxmlformats.org/officeDocument/2006/relationships" ref="O410" r:id="rId406"/>
    <hyperlink xmlns:r="http://schemas.openxmlformats.org/officeDocument/2006/relationships" ref="O411" r:id="rId407"/>
    <hyperlink xmlns:r="http://schemas.openxmlformats.org/officeDocument/2006/relationships" ref="O412" r:id="rId408"/>
    <hyperlink xmlns:r="http://schemas.openxmlformats.org/officeDocument/2006/relationships" ref="O413" r:id="rId409"/>
    <hyperlink xmlns:r="http://schemas.openxmlformats.org/officeDocument/2006/relationships" ref="O414" r:id="rId410"/>
    <hyperlink xmlns:r="http://schemas.openxmlformats.org/officeDocument/2006/relationships" ref="O415" r:id="rId411"/>
    <hyperlink xmlns:r="http://schemas.openxmlformats.org/officeDocument/2006/relationships" ref="O416" r:id="rId412"/>
    <hyperlink xmlns:r="http://schemas.openxmlformats.org/officeDocument/2006/relationships" ref="O417" r:id="rId413"/>
    <hyperlink xmlns:r="http://schemas.openxmlformats.org/officeDocument/2006/relationships" ref="O418" r:id="rId414"/>
    <hyperlink xmlns:r="http://schemas.openxmlformats.org/officeDocument/2006/relationships" ref="O419" r:id="rId415"/>
    <hyperlink xmlns:r="http://schemas.openxmlformats.org/officeDocument/2006/relationships" ref="O420" r:id="rId416"/>
    <hyperlink xmlns:r="http://schemas.openxmlformats.org/officeDocument/2006/relationships" ref="O421" r:id="rId417"/>
    <hyperlink xmlns:r="http://schemas.openxmlformats.org/officeDocument/2006/relationships" ref="O422" r:id="rId418"/>
    <hyperlink xmlns:r="http://schemas.openxmlformats.org/officeDocument/2006/relationships" ref="O423" r:id="rId419"/>
    <hyperlink xmlns:r="http://schemas.openxmlformats.org/officeDocument/2006/relationships" ref="O424" r:id="rId420"/>
    <hyperlink xmlns:r="http://schemas.openxmlformats.org/officeDocument/2006/relationships" ref="O425" r:id="rId421"/>
    <hyperlink xmlns:r="http://schemas.openxmlformats.org/officeDocument/2006/relationships" ref="O426" r:id="rId422"/>
    <hyperlink xmlns:r="http://schemas.openxmlformats.org/officeDocument/2006/relationships" ref="O427" r:id="rId423"/>
    <hyperlink xmlns:r="http://schemas.openxmlformats.org/officeDocument/2006/relationships" ref="O428" r:id="rId424"/>
    <hyperlink xmlns:r="http://schemas.openxmlformats.org/officeDocument/2006/relationships" ref="O429" r:id="rId425"/>
    <hyperlink xmlns:r="http://schemas.openxmlformats.org/officeDocument/2006/relationships" ref="O430" r:id="rId426"/>
    <hyperlink xmlns:r="http://schemas.openxmlformats.org/officeDocument/2006/relationships" ref="O431" r:id="rId427"/>
    <hyperlink xmlns:r="http://schemas.openxmlformats.org/officeDocument/2006/relationships" ref="O432" r:id="rId428"/>
    <hyperlink xmlns:r="http://schemas.openxmlformats.org/officeDocument/2006/relationships" ref="O433" r:id="rId429"/>
    <hyperlink xmlns:r="http://schemas.openxmlformats.org/officeDocument/2006/relationships" ref="O434" r:id="rId430"/>
    <hyperlink xmlns:r="http://schemas.openxmlformats.org/officeDocument/2006/relationships" ref="O435" r:id="rId431"/>
    <hyperlink xmlns:r="http://schemas.openxmlformats.org/officeDocument/2006/relationships" ref="O436" r:id="rId432"/>
    <hyperlink xmlns:r="http://schemas.openxmlformats.org/officeDocument/2006/relationships" ref="O437" r:id="rId433"/>
    <hyperlink xmlns:r="http://schemas.openxmlformats.org/officeDocument/2006/relationships" ref="O438" r:id="rId434"/>
    <hyperlink xmlns:r="http://schemas.openxmlformats.org/officeDocument/2006/relationships" ref="O439" r:id="rId435"/>
    <hyperlink xmlns:r="http://schemas.openxmlformats.org/officeDocument/2006/relationships" ref="O440" r:id="rId436"/>
    <hyperlink xmlns:r="http://schemas.openxmlformats.org/officeDocument/2006/relationships" ref="O441" r:id="rId437"/>
    <hyperlink xmlns:r="http://schemas.openxmlformats.org/officeDocument/2006/relationships" ref="O442" r:id="rId438"/>
    <hyperlink xmlns:r="http://schemas.openxmlformats.org/officeDocument/2006/relationships" ref="O443" r:id="rId439"/>
    <hyperlink xmlns:r="http://schemas.openxmlformats.org/officeDocument/2006/relationships" ref="O444" r:id="rId440"/>
    <hyperlink xmlns:r="http://schemas.openxmlformats.org/officeDocument/2006/relationships" ref="O445" r:id="rId441"/>
    <hyperlink xmlns:r="http://schemas.openxmlformats.org/officeDocument/2006/relationships" ref="O446" r:id="rId442"/>
    <hyperlink xmlns:r="http://schemas.openxmlformats.org/officeDocument/2006/relationships" ref="O447" r:id="rId443"/>
    <hyperlink xmlns:r="http://schemas.openxmlformats.org/officeDocument/2006/relationships" ref="O448" r:id="rId444"/>
    <hyperlink xmlns:r="http://schemas.openxmlformats.org/officeDocument/2006/relationships" ref="O449" r:id="rId445"/>
    <hyperlink xmlns:r="http://schemas.openxmlformats.org/officeDocument/2006/relationships" ref="O450" r:id="rId446"/>
    <hyperlink xmlns:r="http://schemas.openxmlformats.org/officeDocument/2006/relationships" ref="O451" r:id="rId447"/>
    <hyperlink xmlns:r="http://schemas.openxmlformats.org/officeDocument/2006/relationships" ref="O452" r:id="rId448"/>
    <hyperlink xmlns:r="http://schemas.openxmlformats.org/officeDocument/2006/relationships" ref="O453" r:id="rId449"/>
    <hyperlink xmlns:r="http://schemas.openxmlformats.org/officeDocument/2006/relationships" ref="O454" r:id="rId450"/>
    <hyperlink xmlns:r="http://schemas.openxmlformats.org/officeDocument/2006/relationships" ref="O455" r:id="rId451"/>
    <hyperlink xmlns:r="http://schemas.openxmlformats.org/officeDocument/2006/relationships" ref="O456" r:id="rId452"/>
    <hyperlink xmlns:r="http://schemas.openxmlformats.org/officeDocument/2006/relationships" ref="O457" r:id="rId453"/>
    <hyperlink xmlns:r="http://schemas.openxmlformats.org/officeDocument/2006/relationships" ref="O458" r:id="rId454"/>
    <hyperlink xmlns:r="http://schemas.openxmlformats.org/officeDocument/2006/relationships" ref="O459" r:id="rId455"/>
    <hyperlink xmlns:r="http://schemas.openxmlformats.org/officeDocument/2006/relationships" ref="O460" r:id="rId456"/>
    <hyperlink xmlns:r="http://schemas.openxmlformats.org/officeDocument/2006/relationships" ref="O461" r:id="rId457"/>
    <hyperlink xmlns:r="http://schemas.openxmlformats.org/officeDocument/2006/relationships" ref="O462" r:id="rId458"/>
    <hyperlink xmlns:r="http://schemas.openxmlformats.org/officeDocument/2006/relationships" ref="O463" r:id="rId459"/>
    <hyperlink xmlns:r="http://schemas.openxmlformats.org/officeDocument/2006/relationships" ref="O464" r:id="rId460"/>
    <hyperlink xmlns:r="http://schemas.openxmlformats.org/officeDocument/2006/relationships" ref="O465" r:id="rId461"/>
    <hyperlink xmlns:r="http://schemas.openxmlformats.org/officeDocument/2006/relationships" ref="O466" r:id="rId462"/>
    <hyperlink xmlns:r="http://schemas.openxmlformats.org/officeDocument/2006/relationships" ref="O467" r:id="rId463"/>
    <hyperlink xmlns:r="http://schemas.openxmlformats.org/officeDocument/2006/relationships" ref="O468" r:id="rId464"/>
    <hyperlink xmlns:r="http://schemas.openxmlformats.org/officeDocument/2006/relationships" ref="O469" r:id="rId465"/>
    <hyperlink xmlns:r="http://schemas.openxmlformats.org/officeDocument/2006/relationships" ref="O470" r:id="rId466"/>
    <hyperlink xmlns:r="http://schemas.openxmlformats.org/officeDocument/2006/relationships" ref="O471" r:id="rId467"/>
    <hyperlink xmlns:r="http://schemas.openxmlformats.org/officeDocument/2006/relationships" ref="O472" r:id="rId468"/>
    <hyperlink xmlns:r="http://schemas.openxmlformats.org/officeDocument/2006/relationships" ref="O473" r:id="rId469"/>
    <hyperlink xmlns:r="http://schemas.openxmlformats.org/officeDocument/2006/relationships" ref="O474" r:id="rId470"/>
    <hyperlink xmlns:r="http://schemas.openxmlformats.org/officeDocument/2006/relationships" ref="O475" r:id="rId471"/>
    <hyperlink xmlns:r="http://schemas.openxmlformats.org/officeDocument/2006/relationships" ref="O476" r:id="rId472"/>
    <hyperlink xmlns:r="http://schemas.openxmlformats.org/officeDocument/2006/relationships" ref="O477" r:id="rId473"/>
    <hyperlink xmlns:r="http://schemas.openxmlformats.org/officeDocument/2006/relationships" ref="O478" r:id="rId474"/>
    <hyperlink xmlns:r="http://schemas.openxmlformats.org/officeDocument/2006/relationships" ref="O479" r:id="rId475"/>
    <hyperlink xmlns:r="http://schemas.openxmlformats.org/officeDocument/2006/relationships" ref="O480" r:id="rId476"/>
    <hyperlink xmlns:r="http://schemas.openxmlformats.org/officeDocument/2006/relationships" ref="O481" r:id="rId477"/>
    <hyperlink xmlns:r="http://schemas.openxmlformats.org/officeDocument/2006/relationships" ref="O482" r:id="rId478"/>
    <hyperlink xmlns:r="http://schemas.openxmlformats.org/officeDocument/2006/relationships" ref="O483" r:id="rId479"/>
    <hyperlink xmlns:r="http://schemas.openxmlformats.org/officeDocument/2006/relationships" ref="O484" r:id="rId480"/>
    <hyperlink xmlns:r="http://schemas.openxmlformats.org/officeDocument/2006/relationships" ref="O485" r:id="rId481"/>
    <hyperlink xmlns:r="http://schemas.openxmlformats.org/officeDocument/2006/relationships" ref="O486" r:id="rId482"/>
    <hyperlink xmlns:r="http://schemas.openxmlformats.org/officeDocument/2006/relationships" ref="O487" r:id="rId483"/>
    <hyperlink xmlns:r="http://schemas.openxmlformats.org/officeDocument/2006/relationships" ref="O488" r:id="rId484"/>
    <hyperlink xmlns:r="http://schemas.openxmlformats.org/officeDocument/2006/relationships" ref="O489" r:id="rId485"/>
    <hyperlink xmlns:r="http://schemas.openxmlformats.org/officeDocument/2006/relationships" ref="O490" r:id="rId486"/>
    <hyperlink xmlns:r="http://schemas.openxmlformats.org/officeDocument/2006/relationships" ref="O491" r:id="rId487"/>
    <hyperlink xmlns:r="http://schemas.openxmlformats.org/officeDocument/2006/relationships" ref="O492" r:id="rId488"/>
    <hyperlink xmlns:r="http://schemas.openxmlformats.org/officeDocument/2006/relationships" ref="O493" r:id="rId489"/>
    <hyperlink xmlns:r="http://schemas.openxmlformats.org/officeDocument/2006/relationships" ref="O494" r:id="rId490"/>
    <hyperlink xmlns:r="http://schemas.openxmlformats.org/officeDocument/2006/relationships" ref="O495" r:id="rId491"/>
    <hyperlink xmlns:r="http://schemas.openxmlformats.org/officeDocument/2006/relationships" ref="O496" r:id="rId492"/>
    <hyperlink xmlns:r="http://schemas.openxmlformats.org/officeDocument/2006/relationships" ref="O497" r:id="rId493"/>
    <hyperlink xmlns:r="http://schemas.openxmlformats.org/officeDocument/2006/relationships" ref="O498" r:id="rId494"/>
    <hyperlink xmlns:r="http://schemas.openxmlformats.org/officeDocument/2006/relationships" ref="O499" r:id="rId495"/>
    <hyperlink xmlns:r="http://schemas.openxmlformats.org/officeDocument/2006/relationships" ref="O500" r:id="rId496"/>
    <hyperlink xmlns:r="http://schemas.openxmlformats.org/officeDocument/2006/relationships" ref="O501" r:id="rId497"/>
    <hyperlink xmlns:r="http://schemas.openxmlformats.org/officeDocument/2006/relationships" ref="O502" r:id="rId498"/>
    <hyperlink xmlns:r="http://schemas.openxmlformats.org/officeDocument/2006/relationships" ref="O503" r:id="rId499"/>
    <hyperlink xmlns:r="http://schemas.openxmlformats.org/officeDocument/2006/relationships" ref="O504" r:id="rId500"/>
    <hyperlink xmlns:r="http://schemas.openxmlformats.org/officeDocument/2006/relationships" ref="O505" r:id="rId501"/>
    <hyperlink xmlns:r="http://schemas.openxmlformats.org/officeDocument/2006/relationships" ref="O506" r:id="rId502"/>
    <hyperlink xmlns:r="http://schemas.openxmlformats.org/officeDocument/2006/relationships" ref="O507" r:id="rId503"/>
    <hyperlink xmlns:r="http://schemas.openxmlformats.org/officeDocument/2006/relationships" ref="O508" r:id="rId504"/>
    <hyperlink xmlns:r="http://schemas.openxmlformats.org/officeDocument/2006/relationships" ref="O509" r:id="rId505"/>
    <hyperlink xmlns:r="http://schemas.openxmlformats.org/officeDocument/2006/relationships" ref="O510" r:id="rId506"/>
    <hyperlink xmlns:r="http://schemas.openxmlformats.org/officeDocument/2006/relationships" ref="O511" r:id="rId507"/>
    <hyperlink xmlns:r="http://schemas.openxmlformats.org/officeDocument/2006/relationships" ref="O512" r:id="rId508"/>
    <hyperlink xmlns:r="http://schemas.openxmlformats.org/officeDocument/2006/relationships" ref="O513" r:id="rId509"/>
    <hyperlink xmlns:r="http://schemas.openxmlformats.org/officeDocument/2006/relationships" ref="O514" r:id="rId510"/>
    <hyperlink xmlns:r="http://schemas.openxmlformats.org/officeDocument/2006/relationships" ref="O515" r:id="rId511"/>
    <hyperlink xmlns:r="http://schemas.openxmlformats.org/officeDocument/2006/relationships" ref="O516" r:id="rId512"/>
    <hyperlink xmlns:r="http://schemas.openxmlformats.org/officeDocument/2006/relationships" ref="O517" r:id="rId513"/>
    <hyperlink xmlns:r="http://schemas.openxmlformats.org/officeDocument/2006/relationships" ref="O518" r:id="rId514"/>
    <hyperlink xmlns:r="http://schemas.openxmlformats.org/officeDocument/2006/relationships" ref="O519" r:id="rId515"/>
    <hyperlink xmlns:r="http://schemas.openxmlformats.org/officeDocument/2006/relationships" ref="O520" r:id="rId516"/>
    <hyperlink xmlns:r="http://schemas.openxmlformats.org/officeDocument/2006/relationships" ref="O521" r:id="rId517"/>
    <hyperlink xmlns:r="http://schemas.openxmlformats.org/officeDocument/2006/relationships" ref="O522" r:id="rId518"/>
    <hyperlink xmlns:r="http://schemas.openxmlformats.org/officeDocument/2006/relationships" ref="O523" r:id="rId519"/>
    <hyperlink xmlns:r="http://schemas.openxmlformats.org/officeDocument/2006/relationships" ref="O524" r:id="rId520"/>
    <hyperlink xmlns:r="http://schemas.openxmlformats.org/officeDocument/2006/relationships" ref="O525" r:id="rId521"/>
    <hyperlink xmlns:r="http://schemas.openxmlformats.org/officeDocument/2006/relationships" ref="O526" r:id="rId522"/>
    <hyperlink xmlns:r="http://schemas.openxmlformats.org/officeDocument/2006/relationships" ref="O527" r:id="rId523"/>
    <hyperlink xmlns:r="http://schemas.openxmlformats.org/officeDocument/2006/relationships" ref="O528" r:id="rId524"/>
    <hyperlink xmlns:r="http://schemas.openxmlformats.org/officeDocument/2006/relationships" ref="O529" r:id="rId525"/>
    <hyperlink xmlns:r="http://schemas.openxmlformats.org/officeDocument/2006/relationships" ref="O530" r:id="rId526"/>
    <hyperlink xmlns:r="http://schemas.openxmlformats.org/officeDocument/2006/relationships" ref="O531" r:id="rId527"/>
    <hyperlink xmlns:r="http://schemas.openxmlformats.org/officeDocument/2006/relationships" ref="O532" r:id="rId528"/>
    <hyperlink xmlns:r="http://schemas.openxmlformats.org/officeDocument/2006/relationships" ref="O533" r:id="rId529"/>
    <hyperlink xmlns:r="http://schemas.openxmlformats.org/officeDocument/2006/relationships" ref="O534" r:id="rId530"/>
    <hyperlink xmlns:r="http://schemas.openxmlformats.org/officeDocument/2006/relationships" ref="O535" r:id="rId531"/>
    <hyperlink xmlns:r="http://schemas.openxmlformats.org/officeDocument/2006/relationships" ref="O536" r:id="rId532"/>
    <hyperlink xmlns:r="http://schemas.openxmlformats.org/officeDocument/2006/relationships" ref="O537" r:id="rId533"/>
    <hyperlink xmlns:r="http://schemas.openxmlformats.org/officeDocument/2006/relationships" ref="O538" r:id="rId534"/>
    <hyperlink xmlns:r="http://schemas.openxmlformats.org/officeDocument/2006/relationships" ref="O539" r:id="rId535"/>
    <hyperlink xmlns:r="http://schemas.openxmlformats.org/officeDocument/2006/relationships" ref="O540" r:id="rId536"/>
    <hyperlink xmlns:r="http://schemas.openxmlformats.org/officeDocument/2006/relationships" ref="O541" r:id="rId537"/>
    <hyperlink xmlns:r="http://schemas.openxmlformats.org/officeDocument/2006/relationships" ref="O542" r:id="rId538"/>
    <hyperlink xmlns:r="http://schemas.openxmlformats.org/officeDocument/2006/relationships" ref="O543" r:id="rId539"/>
    <hyperlink xmlns:r="http://schemas.openxmlformats.org/officeDocument/2006/relationships" ref="O544" r:id="rId540"/>
    <hyperlink xmlns:r="http://schemas.openxmlformats.org/officeDocument/2006/relationships" ref="O545" r:id="rId541"/>
    <hyperlink xmlns:r="http://schemas.openxmlformats.org/officeDocument/2006/relationships" ref="O546" r:id="rId542"/>
    <hyperlink xmlns:r="http://schemas.openxmlformats.org/officeDocument/2006/relationships" ref="O547" r:id="rId543"/>
    <hyperlink xmlns:r="http://schemas.openxmlformats.org/officeDocument/2006/relationships" ref="O548" r:id="rId544"/>
    <hyperlink xmlns:r="http://schemas.openxmlformats.org/officeDocument/2006/relationships" ref="O549" r:id="rId545"/>
    <hyperlink xmlns:r="http://schemas.openxmlformats.org/officeDocument/2006/relationships" ref="O550" r:id="rId546"/>
    <hyperlink xmlns:r="http://schemas.openxmlformats.org/officeDocument/2006/relationships" ref="O551" r:id="rId547"/>
    <hyperlink xmlns:r="http://schemas.openxmlformats.org/officeDocument/2006/relationships" ref="O552" r:id="rId548"/>
    <hyperlink xmlns:r="http://schemas.openxmlformats.org/officeDocument/2006/relationships" ref="O553" r:id="rId549"/>
    <hyperlink xmlns:r="http://schemas.openxmlformats.org/officeDocument/2006/relationships" ref="O554" r:id="rId550"/>
    <hyperlink xmlns:r="http://schemas.openxmlformats.org/officeDocument/2006/relationships" ref="O555" r:id="rId551"/>
    <hyperlink xmlns:r="http://schemas.openxmlformats.org/officeDocument/2006/relationships" ref="O556" r:id="rId552"/>
    <hyperlink xmlns:r="http://schemas.openxmlformats.org/officeDocument/2006/relationships" ref="O557" r:id="rId553"/>
    <hyperlink xmlns:r="http://schemas.openxmlformats.org/officeDocument/2006/relationships" ref="O558" r:id="rId554"/>
    <hyperlink xmlns:r="http://schemas.openxmlformats.org/officeDocument/2006/relationships" ref="O559" r:id="rId555"/>
    <hyperlink xmlns:r="http://schemas.openxmlformats.org/officeDocument/2006/relationships" ref="O560" r:id="rId556"/>
    <hyperlink xmlns:r="http://schemas.openxmlformats.org/officeDocument/2006/relationships" ref="O561" r:id="rId557"/>
    <hyperlink xmlns:r="http://schemas.openxmlformats.org/officeDocument/2006/relationships" ref="O562" r:id="rId558"/>
    <hyperlink xmlns:r="http://schemas.openxmlformats.org/officeDocument/2006/relationships" ref="O563" r:id="rId559"/>
    <hyperlink xmlns:r="http://schemas.openxmlformats.org/officeDocument/2006/relationships" ref="O564" r:id="rId560"/>
    <hyperlink xmlns:r="http://schemas.openxmlformats.org/officeDocument/2006/relationships" ref="O565" r:id="rId561"/>
    <hyperlink xmlns:r="http://schemas.openxmlformats.org/officeDocument/2006/relationships" ref="O566" r:id="rId562"/>
    <hyperlink xmlns:r="http://schemas.openxmlformats.org/officeDocument/2006/relationships" ref="O567" r:id="rId563"/>
    <hyperlink xmlns:r="http://schemas.openxmlformats.org/officeDocument/2006/relationships" ref="O568" r:id="rId564"/>
    <hyperlink xmlns:r="http://schemas.openxmlformats.org/officeDocument/2006/relationships" ref="O569" r:id="rId565"/>
    <hyperlink xmlns:r="http://schemas.openxmlformats.org/officeDocument/2006/relationships" ref="O570" r:id="rId566"/>
    <hyperlink xmlns:r="http://schemas.openxmlformats.org/officeDocument/2006/relationships" ref="O571" r:id="rId567"/>
    <hyperlink xmlns:r="http://schemas.openxmlformats.org/officeDocument/2006/relationships" ref="O572" r:id="rId568"/>
    <hyperlink xmlns:r="http://schemas.openxmlformats.org/officeDocument/2006/relationships" ref="O573" r:id="rId569"/>
    <hyperlink xmlns:r="http://schemas.openxmlformats.org/officeDocument/2006/relationships" ref="O574" r:id="rId570"/>
    <hyperlink xmlns:r="http://schemas.openxmlformats.org/officeDocument/2006/relationships" ref="O575" r:id="rId571"/>
    <hyperlink xmlns:r="http://schemas.openxmlformats.org/officeDocument/2006/relationships" ref="O576" r:id="rId572"/>
    <hyperlink xmlns:r="http://schemas.openxmlformats.org/officeDocument/2006/relationships" ref="O577" r:id="rId573"/>
    <hyperlink xmlns:r="http://schemas.openxmlformats.org/officeDocument/2006/relationships" ref="O578" r:id="rId574"/>
    <hyperlink xmlns:r="http://schemas.openxmlformats.org/officeDocument/2006/relationships" ref="O579" r:id="rId575"/>
    <hyperlink xmlns:r="http://schemas.openxmlformats.org/officeDocument/2006/relationships" ref="O580" r:id="rId576"/>
    <hyperlink xmlns:r="http://schemas.openxmlformats.org/officeDocument/2006/relationships" ref="O581" r:id="rId577"/>
    <hyperlink xmlns:r="http://schemas.openxmlformats.org/officeDocument/2006/relationships" ref="O582" r:id="rId578"/>
    <hyperlink xmlns:r="http://schemas.openxmlformats.org/officeDocument/2006/relationships" ref="O583" r:id="rId579"/>
    <hyperlink xmlns:r="http://schemas.openxmlformats.org/officeDocument/2006/relationships" ref="O584" r:id="rId580"/>
    <hyperlink xmlns:r="http://schemas.openxmlformats.org/officeDocument/2006/relationships" ref="O585" r:id="rId581"/>
    <hyperlink xmlns:r="http://schemas.openxmlformats.org/officeDocument/2006/relationships" ref="O586" r:id="rId582"/>
    <hyperlink xmlns:r="http://schemas.openxmlformats.org/officeDocument/2006/relationships" ref="O587" r:id="rId583"/>
    <hyperlink xmlns:r="http://schemas.openxmlformats.org/officeDocument/2006/relationships" ref="O588" r:id="rId584"/>
    <hyperlink xmlns:r="http://schemas.openxmlformats.org/officeDocument/2006/relationships" ref="O589" r:id="rId585"/>
    <hyperlink xmlns:r="http://schemas.openxmlformats.org/officeDocument/2006/relationships" ref="O590" r:id="rId586"/>
    <hyperlink xmlns:r="http://schemas.openxmlformats.org/officeDocument/2006/relationships" ref="O591" r:id="rId587"/>
    <hyperlink xmlns:r="http://schemas.openxmlformats.org/officeDocument/2006/relationships" ref="O592" r:id="rId588"/>
    <hyperlink xmlns:r="http://schemas.openxmlformats.org/officeDocument/2006/relationships" ref="O593" r:id="rId589"/>
    <hyperlink xmlns:r="http://schemas.openxmlformats.org/officeDocument/2006/relationships" ref="O594" r:id="rId590"/>
    <hyperlink xmlns:r="http://schemas.openxmlformats.org/officeDocument/2006/relationships" ref="O595" r:id="rId591"/>
    <hyperlink xmlns:r="http://schemas.openxmlformats.org/officeDocument/2006/relationships" ref="O596" r:id="rId592"/>
    <hyperlink xmlns:r="http://schemas.openxmlformats.org/officeDocument/2006/relationships" ref="O597" r:id="rId593"/>
    <hyperlink xmlns:r="http://schemas.openxmlformats.org/officeDocument/2006/relationships" ref="O598" r:id="rId594"/>
    <hyperlink xmlns:r="http://schemas.openxmlformats.org/officeDocument/2006/relationships" ref="O599" r:id="rId595"/>
    <hyperlink xmlns:r="http://schemas.openxmlformats.org/officeDocument/2006/relationships" ref="O600" r:id="rId596"/>
    <hyperlink xmlns:r="http://schemas.openxmlformats.org/officeDocument/2006/relationships" ref="O601" r:id="rId597"/>
    <hyperlink xmlns:r="http://schemas.openxmlformats.org/officeDocument/2006/relationships" ref="O602" r:id="rId598"/>
    <hyperlink xmlns:r="http://schemas.openxmlformats.org/officeDocument/2006/relationships" ref="O603" r:id="rId599"/>
    <hyperlink xmlns:r="http://schemas.openxmlformats.org/officeDocument/2006/relationships" ref="O604" r:id="rId600"/>
    <hyperlink xmlns:r="http://schemas.openxmlformats.org/officeDocument/2006/relationships" ref="O605" r:id="rId601"/>
    <hyperlink xmlns:r="http://schemas.openxmlformats.org/officeDocument/2006/relationships" ref="O606" r:id="rId602"/>
    <hyperlink xmlns:r="http://schemas.openxmlformats.org/officeDocument/2006/relationships" ref="O607" r:id="rId603"/>
    <hyperlink xmlns:r="http://schemas.openxmlformats.org/officeDocument/2006/relationships" ref="O608" r:id="rId604"/>
    <hyperlink xmlns:r="http://schemas.openxmlformats.org/officeDocument/2006/relationships" ref="O609" r:id="rId605"/>
    <hyperlink xmlns:r="http://schemas.openxmlformats.org/officeDocument/2006/relationships" ref="O610" r:id="rId606"/>
    <hyperlink xmlns:r="http://schemas.openxmlformats.org/officeDocument/2006/relationships" ref="O611" r:id="rId607"/>
    <hyperlink xmlns:r="http://schemas.openxmlformats.org/officeDocument/2006/relationships" ref="O612" r:id="rId608"/>
    <hyperlink xmlns:r="http://schemas.openxmlformats.org/officeDocument/2006/relationships" ref="O613" r:id="rId609"/>
    <hyperlink xmlns:r="http://schemas.openxmlformats.org/officeDocument/2006/relationships" ref="O614" r:id="rId610"/>
    <hyperlink xmlns:r="http://schemas.openxmlformats.org/officeDocument/2006/relationships" ref="O615" r:id="rId611"/>
    <hyperlink xmlns:r="http://schemas.openxmlformats.org/officeDocument/2006/relationships" ref="O616" r:id="rId612"/>
    <hyperlink xmlns:r="http://schemas.openxmlformats.org/officeDocument/2006/relationships" ref="O617" r:id="rId613"/>
    <hyperlink xmlns:r="http://schemas.openxmlformats.org/officeDocument/2006/relationships" ref="O618" r:id="rId614"/>
    <hyperlink xmlns:r="http://schemas.openxmlformats.org/officeDocument/2006/relationships" ref="O619" r:id="rId615"/>
    <hyperlink xmlns:r="http://schemas.openxmlformats.org/officeDocument/2006/relationships" ref="O620" r:id="rId616"/>
    <hyperlink xmlns:r="http://schemas.openxmlformats.org/officeDocument/2006/relationships" ref="O621" r:id="rId617"/>
    <hyperlink xmlns:r="http://schemas.openxmlformats.org/officeDocument/2006/relationships" ref="O622" r:id="rId618"/>
    <hyperlink xmlns:r="http://schemas.openxmlformats.org/officeDocument/2006/relationships" ref="O623" r:id="rId619"/>
    <hyperlink xmlns:r="http://schemas.openxmlformats.org/officeDocument/2006/relationships" ref="O624" r:id="rId620"/>
    <hyperlink xmlns:r="http://schemas.openxmlformats.org/officeDocument/2006/relationships" ref="O625" r:id="rId621"/>
    <hyperlink xmlns:r="http://schemas.openxmlformats.org/officeDocument/2006/relationships" ref="O626" r:id="rId622"/>
    <hyperlink xmlns:r="http://schemas.openxmlformats.org/officeDocument/2006/relationships" ref="O627" r:id="rId623"/>
    <hyperlink xmlns:r="http://schemas.openxmlformats.org/officeDocument/2006/relationships" ref="O628" r:id="rId624"/>
    <hyperlink xmlns:r="http://schemas.openxmlformats.org/officeDocument/2006/relationships" ref="O629" r:id="rId625"/>
    <hyperlink xmlns:r="http://schemas.openxmlformats.org/officeDocument/2006/relationships" ref="O630" r:id="rId626"/>
    <hyperlink xmlns:r="http://schemas.openxmlformats.org/officeDocument/2006/relationships" ref="O631" r:id="rId627"/>
    <hyperlink xmlns:r="http://schemas.openxmlformats.org/officeDocument/2006/relationships" ref="O632" r:id="rId628"/>
    <hyperlink xmlns:r="http://schemas.openxmlformats.org/officeDocument/2006/relationships" ref="O633" r:id="rId629"/>
    <hyperlink xmlns:r="http://schemas.openxmlformats.org/officeDocument/2006/relationships" ref="O634" r:id="rId630"/>
    <hyperlink xmlns:r="http://schemas.openxmlformats.org/officeDocument/2006/relationships" ref="O635" r:id="rId631"/>
    <hyperlink xmlns:r="http://schemas.openxmlformats.org/officeDocument/2006/relationships" ref="O636" r:id="rId632"/>
    <hyperlink xmlns:r="http://schemas.openxmlformats.org/officeDocument/2006/relationships" ref="O637" r:id="rId633"/>
    <hyperlink xmlns:r="http://schemas.openxmlformats.org/officeDocument/2006/relationships" ref="O638" r:id="rId634"/>
    <hyperlink xmlns:r="http://schemas.openxmlformats.org/officeDocument/2006/relationships" ref="O639" r:id="rId635"/>
    <hyperlink xmlns:r="http://schemas.openxmlformats.org/officeDocument/2006/relationships" ref="O640" r:id="rId636"/>
    <hyperlink xmlns:r="http://schemas.openxmlformats.org/officeDocument/2006/relationships" ref="O641" r:id="rId637"/>
    <hyperlink xmlns:r="http://schemas.openxmlformats.org/officeDocument/2006/relationships" ref="O642" r:id="rId638"/>
    <hyperlink xmlns:r="http://schemas.openxmlformats.org/officeDocument/2006/relationships" ref="O643" r:id="rId639"/>
    <hyperlink xmlns:r="http://schemas.openxmlformats.org/officeDocument/2006/relationships" ref="O644" r:id="rId640"/>
    <hyperlink xmlns:r="http://schemas.openxmlformats.org/officeDocument/2006/relationships" ref="O645" r:id="rId641"/>
    <hyperlink xmlns:r="http://schemas.openxmlformats.org/officeDocument/2006/relationships" ref="O646" r:id="rId642"/>
    <hyperlink xmlns:r="http://schemas.openxmlformats.org/officeDocument/2006/relationships" ref="O647" r:id="rId643"/>
    <hyperlink xmlns:r="http://schemas.openxmlformats.org/officeDocument/2006/relationships" ref="O648" r:id="rId644"/>
    <hyperlink xmlns:r="http://schemas.openxmlformats.org/officeDocument/2006/relationships" ref="O649" r:id="rId645"/>
    <hyperlink xmlns:r="http://schemas.openxmlformats.org/officeDocument/2006/relationships" ref="O650" r:id="rId646"/>
    <hyperlink xmlns:r="http://schemas.openxmlformats.org/officeDocument/2006/relationships" ref="O651" r:id="rId647"/>
    <hyperlink xmlns:r="http://schemas.openxmlformats.org/officeDocument/2006/relationships" ref="O652" r:id="rId648"/>
    <hyperlink xmlns:r="http://schemas.openxmlformats.org/officeDocument/2006/relationships" ref="O653" r:id="rId649"/>
    <hyperlink xmlns:r="http://schemas.openxmlformats.org/officeDocument/2006/relationships" ref="O654" r:id="rId650"/>
    <hyperlink xmlns:r="http://schemas.openxmlformats.org/officeDocument/2006/relationships" ref="O655" r:id="rId651"/>
    <hyperlink xmlns:r="http://schemas.openxmlformats.org/officeDocument/2006/relationships" ref="O656" r:id="rId652"/>
    <hyperlink xmlns:r="http://schemas.openxmlformats.org/officeDocument/2006/relationships" ref="O657" r:id="rId653"/>
    <hyperlink xmlns:r="http://schemas.openxmlformats.org/officeDocument/2006/relationships" ref="O658" r:id="rId654"/>
    <hyperlink xmlns:r="http://schemas.openxmlformats.org/officeDocument/2006/relationships" ref="O659" r:id="rId655"/>
    <hyperlink xmlns:r="http://schemas.openxmlformats.org/officeDocument/2006/relationships" ref="O660" r:id="rId656"/>
    <hyperlink xmlns:r="http://schemas.openxmlformats.org/officeDocument/2006/relationships" ref="O661" r:id="rId657"/>
    <hyperlink xmlns:r="http://schemas.openxmlformats.org/officeDocument/2006/relationships" ref="O662" r:id="rId658"/>
    <hyperlink xmlns:r="http://schemas.openxmlformats.org/officeDocument/2006/relationships" ref="O663" r:id="rId659"/>
    <hyperlink xmlns:r="http://schemas.openxmlformats.org/officeDocument/2006/relationships" ref="O664" r:id="rId660"/>
    <hyperlink xmlns:r="http://schemas.openxmlformats.org/officeDocument/2006/relationships" ref="O665" r:id="rId661"/>
    <hyperlink xmlns:r="http://schemas.openxmlformats.org/officeDocument/2006/relationships" ref="O666" r:id="rId662"/>
    <hyperlink xmlns:r="http://schemas.openxmlformats.org/officeDocument/2006/relationships" ref="O667" r:id="rId663"/>
    <hyperlink xmlns:r="http://schemas.openxmlformats.org/officeDocument/2006/relationships" ref="O668" r:id="rId664"/>
    <hyperlink xmlns:r="http://schemas.openxmlformats.org/officeDocument/2006/relationships" ref="O669" r:id="rId665"/>
    <hyperlink xmlns:r="http://schemas.openxmlformats.org/officeDocument/2006/relationships" ref="O670" r:id="rId666"/>
    <hyperlink xmlns:r="http://schemas.openxmlformats.org/officeDocument/2006/relationships" ref="O671" r:id="rId667"/>
    <hyperlink xmlns:r="http://schemas.openxmlformats.org/officeDocument/2006/relationships" ref="O672" r:id="rId668"/>
    <hyperlink xmlns:r="http://schemas.openxmlformats.org/officeDocument/2006/relationships" ref="O673" r:id="rId669"/>
    <hyperlink xmlns:r="http://schemas.openxmlformats.org/officeDocument/2006/relationships" ref="O674" r:id="rId670"/>
    <hyperlink xmlns:r="http://schemas.openxmlformats.org/officeDocument/2006/relationships" ref="O675" r:id="rId671"/>
    <hyperlink xmlns:r="http://schemas.openxmlformats.org/officeDocument/2006/relationships" ref="O676" r:id="rId672"/>
    <hyperlink xmlns:r="http://schemas.openxmlformats.org/officeDocument/2006/relationships" ref="O677" r:id="rId673"/>
    <hyperlink xmlns:r="http://schemas.openxmlformats.org/officeDocument/2006/relationships" ref="O678" r:id="rId674"/>
    <hyperlink xmlns:r="http://schemas.openxmlformats.org/officeDocument/2006/relationships" ref="O679" r:id="rId675"/>
    <hyperlink xmlns:r="http://schemas.openxmlformats.org/officeDocument/2006/relationships" ref="O680" r:id="rId676"/>
    <hyperlink xmlns:r="http://schemas.openxmlformats.org/officeDocument/2006/relationships" ref="O681" r:id="rId677"/>
    <hyperlink xmlns:r="http://schemas.openxmlformats.org/officeDocument/2006/relationships" ref="O682" r:id="rId678"/>
    <hyperlink xmlns:r="http://schemas.openxmlformats.org/officeDocument/2006/relationships" ref="O683" r:id="rId679"/>
    <hyperlink xmlns:r="http://schemas.openxmlformats.org/officeDocument/2006/relationships" ref="O684" r:id="rId680"/>
    <hyperlink xmlns:r="http://schemas.openxmlformats.org/officeDocument/2006/relationships" ref="O685" r:id="rId681"/>
    <hyperlink xmlns:r="http://schemas.openxmlformats.org/officeDocument/2006/relationships" ref="O686" r:id="rId682"/>
    <hyperlink xmlns:r="http://schemas.openxmlformats.org/officeDocument/2006/relationships" ref="O687" r:id="rId683"/>
    <hyperlink xmlns:r="http://schemas.openxmlformats.org/officeDocument/2006/relationships" ref="O688" r:id="rId684"/>
    <hyperlink xmlns:r="http://schemas.openxmlformats.org/officeDocument/2006/relationships" ref="O689" r:id="rId685"/>
    <hyperlink xmlns:r="http://schemas.openxmlformats.org/officeDocument/2006/relationships" ref="O690" r:id="rId686"/>
    <hyperlink xmlns:r="http://schemas.openxmlformats.org/officeDocument/2006/relationships" ref="O691" r:id="rId687"/>
    <hyperlink xmlns:r="http://schemas.openxmlformats.org/officeDocument/2006/relationships" ref="O692" r:id="rId688"/>
    <hyperlink xmlns:r="http://schemas.openxmlformats.org/officeDocument/2006/relationships" ref="O693" r:id="rId689"/>
    <hyperlink xmlns:r="http://schemas.openxmlformats.org/officeDocument/2006/relationships" ref="O694" r:id="rId690"/>
    <hyperlink xmlns:r="http://schemas.openxmlformats.org/officeDocument/2006/relationships" ref="O695" r:id="rId691"/>
    <hyperlink xmlns:r="http://schemas.openxmlformats.org/officeDocument/2006/relationships" ref="O696" r:id="rId692"/>
    <hyperlink xmlns:r="http://schemas.openxmlformats.org/officeDocument/2006/relationships" ref="O697" r:id="rId693"/>
    <hyperlink xmlns:r="http://schemas.openxmlformats.org/officeDocument/2006/relationships" ref="O698" r:id="rId694"/>
    <hyperlink xmlns:r="http://schemas.openxmlformats.org/officeDocument/2006/relationships" ref="O699" r:id="rId695"/>
    <hyperlink xmlns:r="http://schemas.openxmlformats.org/officeDocument/2006/relationships" ref="O700" r:id="rId696"/>
    <hyperlink xmlns:r="http://schemas.openxmlformats.org/officeDocument/2006/relationships" ref="O701" r:id="rId697"/>
    <hyperlink xmlns:r="http://schemas.openxmlformats.org/officeDocument/2006/relationships" ref="O702" r:id="rId698"/>
    <hyperlink xmlns:r="http://schemas.openxmlformats.org/officeDocument/2006/relationships" ref="O703" r:id="rId699"/>
    <hyperlink xmlns:r="http://schemas.openxmlformats.org/officeDocument/2006/relationships" ref="O704" r:id="rId700"/>
    <hyperlink xmlns:r="http://schemas.openxmlformats.org/officeDocument/2006/relationships" ref="O705" r:id="rId701"/>
    <hyperlink xmlns:r="http://schemas.openxmlformats.org/officeDocument/2006/relationships" ref="O706" r:id="rId702"/>
    <hyperlink xmlns:r="http://schemas.openxmlformats.org/officeDocument/2006/relationships" ref="O707" r:id="rId703"/>
    <hyperlink xmlns:r="http://schemas.openxmlformats.org/officeDocument/2006/relationships" ref="O708" r:id="rId704"/>
    <hyperlink xmlns:r="http://schemas.openxmlformats.org/officeDocument/2006/relationships" ref="O709" r:id="rId705"/>
    <hyperlink xmlns:r="http://schemas.openxmlformats.org/officeDocument/2006/relationships" ref="O710" r:id="rId706"/>
    <hyperlink xmlns:r="http://schemas.openxmlformats.org/officeDocument/2006/relationships" ref="O711" r:id="rId707"/>
    <hyperlink xmlns:r="http://schemas.openxmlformats.org/officeDocument/2006/relationships" ref="O712" r:id="rId708"/>
    <hyperlink xmlns:r="http://schemas.openxmlformats.org/officeDocument/2006/relationships" ref="O713" r:id="rId709"/>
    <hyperlink xmlns:r="http://schemas.openxmlformats.org/officeDocument/2006/relationships" ref="O714" r:id="rId710"/>
    <hyperlink xmlns:r="http://schemas.openxmlformats.org/officeDocument/2006/relationships" ref="O715" r:id="rId711"/>
    <hyperlink xmlns:r="http://schemas.openxmlformats.org/officeDocument/2006/relationships" ref="O716" r:id="rId712"/>
    <hyperlink xmlns:r="http://schemas.openxmlformats.org/officeDocument/2006/relationships" ref="O717" r:id="rId713"/>
    <hyperlink xmlns:r="http://schemas.openxmlformats.org/officeDocument/2006/relationships" ref="O718" r:id="rId714"/>
    <hyperlink xmlns:r="http://schemas.openxmlformats.org/officeDocument/2006/relationships" ref="O719" r:id="rId715"/>
    <hyperlink xmlns:r="http://schemas.openxmlformats.org/officeDocument/2006/relationships" ref="O720" r:id="rId716"/>
    <hyperlink xmlns:r="http://schemas.openxmlformats.org/officeDocument/2006/relationships" ref="O721" r:id="rId717"/>
    <hyperlink xmlns:r="http://schemas.openxmlformats.org/officeDocument/2006/relationships" ref="O722" r:id="rId718"/>
    <hyperlink xmlns:r="http://schemas.openxmlformats.org/officeDocument/2006/relationships" ref="O723" r:id="rId719"/>
    <hyperlink xmlns:r="http://schemas.openxmlformats.org/officeDocument/2006/relationships" ref="O724" r:id="rId720"/>
    <hyperlink xmlns:r="http://schemas.openxmlformats.org/officeDocument/2006/relationships" ref="O725" r:id="rId721"/>
    <hyperlink xmlns:r="http://schemas.openxmlformats.org/officeDocument/2006/relationships" ref="O726" r:id="rId722"/>
    <hyperlink xmlns:r="http://schemas.openxmlformats.org/officeDocument/2006/relationships" ref="O727" r:id="rId723"/>
    <hyperlink xmlns:r="http://schemas.openxmlformats.org/officeDocument/2006/relationships" ref="O728" r:id="rId724"/>
    <hyperlink xmlns:r="http://schemas.openxmlformats.org/officeDocument/2006/relationships" ref="O729" r:id="rId725"/>
    <hyperlink xmlns:r="http://schemas.openxmlformats.org/officeDocument/2006/relationships" ref="O730" r:id="rId726"/>
    <hyperlink xmlns:r="http://schemas.openxmlformats.org/officeDocument/2006/relationships" ref="O731" r:id="rId727"/>
    <hyperlink xmlns:r="http://schemas.openxmlformats.org/officeDocument/2006/relationships" ref="O732" r:id="rId728"/>
    <hyperlink xmlns:r="http://schemas.openxmlformats.org/officeDocument/2006/relationships" ref="O733" r:id="rId729"/>
    <hyperlink xmlns:r="http://schemas.openxmlformats.org/officeDocument/2006/relationships" ref="O734" r:id="rId730"/>
    <hyperlink xmlns:r="http://schemas.openxmlformats.org/officeDocument/2006/relationships" ref="O735" r:id="rId731"/>
    <hyperlink xmlns:r="http://schemas.openxmlformats.org/officeDocument/2006/relationships" ref="O736" r:id="rId732"/>
    <hyperlink xmlns:r="http://schemas.openxmlformats.org/officeDocument/2006/relationships" ref="O737" r:id="rId733"/>
    <hyperlink xmlns:r="http://schemas.openxmlformats.org/officeDocument/2006/relationships" ref="O738" r:id="rId734"/>
    <hyperlink xmlns:r="http://schemas.openxmlformats.org/officeDocument/2006/relationships" ref="O739" r:id="rId735"/>
    <hyperlink xmlns:r="http://schemas.openxmlformats.org/officeDocument/2006/relationships" ref="O740" r:id="rId736"/>
    <hyperlink xmlns:r="http://schemas.openxmlformats.org/officeDocument/2006/relationships" ref="O741" r:id="rId737"/>
    <hyperlink xmlns:r="http://schemas.openxmlformats.org/officeDocument/2006/relationships" ref="O742" r:id="rId738"/>
    <hyperlink xmlns:r="http://schemas.openxmlformats.org/officeDocument/2006/relationships" ref="O743" r:id="rId739"/>
    <hyperlink xmlns:r="http://schemas.openxmlformats.org/officeDocument/2006/relationships" ref="O744" r:id="rId740"/>
    <hyperlink xmlns:r="http://schemas.openxmlformats.org/officeDocument/2006/relationships" ref="O745" r:id="rId741"/>
    <hyperlink xmlns:r="http://schemas.openxmlformats.org/officeDocument/2006/relationships" ref="O746" r:id="rId742"/>
    <hyperlink xmlns:r="http://schemas.openxmlformats.org/officeDocument/2006/relationships" ref="O747" r:id="rId743"/>
    <hyperlink xmlns:r="http://schemas.openxmlformats.org/officeDocument/2006/relationships" ref="O748" r:id="rId744"/>
    <hyperlink xmlns:r="http://schemas.openxmlformats.org/officeDocument/2006/relationships" ref="O749" r:id="rId745"/>
    <hyperlink xmlns:r="http://schemas.openxmlformats.org/officeDocument/2006/relationships" ref="O750" r:id="rId746"/>
    <hyperlink xmlns:r="http://schemas.openxmlformats.org/officeDocument/2006/relationships" ref="O751" r:id="rId747"/>
    <hyperlink xmlns:r="http://schemas.openxmlformats.org/officeDocument/2006/relationships" ref="O752" r:id="rId748"/>
    <hyperlink xmlns:r="http://schemas.openxmlformats.org/officeDocument/2006/relationships" ref="O753" r:id="rId749"/>
    <hyperlink xmlns:r="http://schemas.openxmlformats.org/officeDocument/2006/relationships" ref="O754" r:id="rId750"/>
    <hyperlink xmlns:r="http://schemas.openxmlformats.org/officeDocument/2006/relationships" ref="O755" r:id="rId751"/>
    <hyperlink xmlns:r="http://schemas.openxmlformats.org/officeDocument/2006/relationships" ref="O756" r:id="rId752"/>
    <hyperlink xmlns:r="http://schemas.openxmlformats.org/officeDocument/2006/relationships" ref="O757" r:id="rId753"/>
    <hyperlink xmlns:r="http://schemas.openxmlformats.org/officeDocument/2006/relationships" ref="O758" r:id="rId754"/>
    <hyperlink xmlns:r="http://schemas.openxmlformats.org/officeDocument/2006/relationships" ref="O759" r:id="rId755"/>
    <hyperlink xmlns:r="http://schemas.openxmlformats.org/officeDocument/2006/relationships" ref="O760" r:id="rId756"/>
    <hyperlink xmlns:r="http://schemas.openxmlformats.org/officeDocument/2006/relationships" ref="O761" r:id="rId757"/>
    <hyperlink xmlns:r="http://schemas.openxmlformats.org/officeDocument/2006/relationships" ref="O762" r:id="rId758"/>
    <hyperlink xmlns:r="http://schemas.openxmlformats.org/officeDocument/2006/relationships" ref="O763" r:id="rId759"/>
    <hyperlink xmlns:r="http://schemas.openxmlformats.org/officeDocument/2006/relationships" ref="O764" r:id="rId760"/>
    <hyperlink xmlns:r="http://schemas.openxmlformats.org/officeDocument/2006/relationships" ref="O765" r:id="rId761"/>
    <hyperlink xmlns:r="http://schemas.openxmlformats.org/officeDocument/2006/relationships" ref="O766" r:id="rId762"/>
    <hyperlink xmlns:r="http://schemas.openxmlformats.org/officeDocument/2006/relationships" ref="O767" r:id="rId763"/>
    <hyperlink xmlns:r="http://schemas.openxmlformats.org/officeDocument/2006/relationships" ref="O768" r:id="rId764"/>
    <hyperlink xmlns:r="http://schemas.openxmlformats.org/officeDocument/2006/relationships" ref="O769" r:id="rId765"/>
    <hyperlink xmlns:r="http://schemas.openxmlformats.org/officeDocument/2006/relationships" ref="O770" r:id="rId766"/>
    <hyperlink xmlns:r="http://schemas.openxmlformats.org/officeDocument/2006/relationships" ref="O771" r:id="rId767"/>
    <hyperlink xmlns:r="http://schemas.openxmlformats.org/officeDocument/2006/relationships" ref="O772" r:id="rId768"/>
    <hyperlink xmlns:r="http://schemas.openxmlformats.org/officeDocument/2006/relationships" ref="O773" r:id="rId769"/>
    <hyperlink xmlns:r="http://schemas.openxmlformats.org/officeDocument/2006/relationships" ref="O774" r:id="rId770"/>
    <hyperlink xmlns:r="http://schemas.openxmlformats.org/officeDocument/2006/relationships" ref="O775" r:id="rId771"/>
    <hyperlink xmlns:r="http://schemas.openxmlformats.org/officeDocument/2006/relationships" ref="O776" r:id="rId772"/>
    <hyperlink xmlns:r="http://schemas.openxmlformats.org/officeDocument/2006/relationships" ref="O777" r:id="rId773"/>
    <hyperlink xmlns:r="http://schemas.openxmlformats.org/officeDocument/2006/relationships" ref="O778" r:id="rId774"/>
    <hyperlink xmlns:r="http://schemas.openxmlformats.org/officeDocument/2006/relationships" ref="O779" r:id="rId775"/>
    <hyperlink xmlns:r="http://schemas.openxmlformats.org/officeDocument/2006/relationships" ref="O780" r:id="rId776"/>
    <hyperlink xmlns:r="http://schemas.openxmlformats.org/officeDocument/2006/relationships" ref="O781" r:id="rId777"/>
    <hyperlink xmlns:r="http://schemas.openxmlformats.org/officeDocument/2006/relationships" ref="O782" r:id="rId778"/>
    <hyperlink xmlns:r="http://schemas.openxmlformats.org/officeDocument/2006/relationships" ref="O783" r:id="rId779"/>
    <hyperlink xmlns:r="http://schemas.openxmlformats.org/officeDocument/2006/relationships" ref="O784" r:id="rId780"/>
    <hyperlink xmlns:r="http://schemas.openxmlformats.org/officeDocument/2006/relationships" ref="O785" r:id="rId781"/>
    <hyperlink xmlns:r="http://schemas.openxmlformats.org/officeDocument/2006/relationships" ref="O786" r:id="rId782"/>
    <hyperlink xmlns:r="http://schemas.openxmlformats.org/officeDocument/2006/relationships" ref="O787" r:id="rId783"/>
    <hyperlink xmlns:r="http://schemas.openxmlformats.org/officeDocument/2006/relationships" ref="O788" r:id="rId784"/>
    <hyperlink xmlns:r="http://schemas.openxmlformats.org/officeDocument/2006/relationships" ref="O789" r:id="rId785"/>
    <hyperlink xmlns:r="http://schemas.openxmlformats.org/officeDocument/2006/relationships" ref="O790" r:id="rId786"/>
    <hyperlink xmlns:r="http://schemas.openxmlformats.org/officeDocument/2006/relationships" ref="O791" r:id="rId787"/>
    <hyperlink xmlns:r="http://schemas.openxmlformats.org/officeDocument/2006/relationships" ref="O792" r:id="rId788"/>
    <hyperlink xmlns:r="http://schemas.openxmlformats.org/officeDocument/2006/relationships" ref="O793" r:id="rId789"/>
    <hyperlink xmlns:r="http://schemas.openxmlformats.org/officeDocument/2006/relationships" ref="O794" r:id="rId790"/>
    <hyperlink xmlns:r="http://schemas.openxmlformats.org/officeDocument/2006/relationships" ref="O795" r:id="rId791"/>
    <hyperlink xmlns:r="http://schemas.openxmlformats.org/officeDocument/2006/relationships" ref="O796" r:id="rId792"/>
    <hyperlink xmlns:r="http://schemas.openxmlformats.org/officeDocument/2006/relationships" ref="O797" r:id="rId793"/>
    <hyperlink xmlns:r="http://schemas.openxmlformats.org/officeDocument/2006/relationships" ref="O798" r:id="rId794"/>
    <hyperlink xmlns:r="http://schemas.openxmlformats.org/officeDocument/2006/relationships" ref="O799" r:id="rId795"/>
    <hyperlink xmlns:r="http://schemas.openxmlformats.org/officeDocument/2006/relationships" ref="O800" r:id="rId796"/>
    <hyperlink xmlns:r="http://schemas.openxmlformats.org/officeDocument/2006/relationships" ref="O801" r:id="rId797"/>
    <hyperlink xmlns:r="http://schemas.openxmlformats.org/officeDocument/2006/relationships" ref="O802" r:id="rId798"/>
    <hyperlink xmlns:r="http://schemas.openxmlformats.org/officeDocument/2006/relationships" ref="O803" r:id="rId799"/>
    <hyperlink xmlns:r="http://schemas.openxmlformats.org/officeDocument/2006/relationships" ref="O804" r:id="rId800"/>
    <hyperlink xmlns:r="http://schemas.openxmlformats.org/officeDocument/2006/relationships" ref="O805" r:id="rId801"/>
    <hyperlink xmlns:r="http://schemas.openxmlformats.org/officeDocument/2006/relationships" ref="O806" r:id="rId802"/>
    <hyperlink xmlns:r="http://schemas.openxmlformats.org/officeDocument/2006/relationships" ref="O807" r:id="rId80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都道府県別 進捗集計（架電リストの入力に連動して自動計算）</t>
        </is>
      </c>
    </row>
    <row r="3" ht="30" customHeight="1">
      <c r="A3" s="3" t="inlineStr">
        <is>
          <t>都道府県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6" t="inlineStr">
        <is>
          <t>北海道</t>
        </is>
      </c>
      <c r="B4" s="16">
        <f>COUNTIF('架電リスト'!$B$5:$B$807,A4)</f>
        <v/>
      </c>
      <c r="C4" s="16">
        <f>COUNTIFS('架電リスト'!$B$5:$B$807,A4,'架電リスト'!$E$5:$E$807,"&lt;&gt;")</f>
        <v/>
      </c>
      <c r="D4" s="16">
        <f>B4-COUNTIFS('架電リスト'!$B$5:$B$807,A4,'架電リスト'!$J$5:$J$807,"未架電")-COUNTIFS('架電リスト'!$B$5:$B$807,A4,'架電リスト'!$J$5:$J$807,"")</f>
        <v/>
      </c>
      <c r="E4" s="16">
        <f>COUNTIFS('架電リスト'!$B$5:$B$807,$A4,'架電リスト'!$J$5:$J$807,"不在・折返し待ち")</f>
        <v/>
      </c>
      <c r="F4" s="16">
        <f>COUNTIFS('架電リスト'!$B$5:$B$807,$A4,'架電リスト'!$J$5:$J$807,"担当者不在")</f>
        <v/>
      </c>
      <c r="G4" s="16">
        <f>COUNTIFS('架電リスト'!$B$5:$B$807,$A4,'架電リスト'!$J$5:$J$807,"資料送付")</f>
        <v/>
      </c>
      <c r="H4" s="16">
        <f>COUNTIFS('架電リスト'!$B$5:$B$807,$A4,'架電リスト'!$J$5:$J$807,"アポ獲得")</f>
        <v/>
      </c>
      <c r="I4" s="16">
        <f>COUNTIFS('架電リスト'!$B$5:$B$807,$A4,'架電リスト'!$J$5:$J$807,"検討中")</f>
        <v/>
      </c>
      <c r="J4" s="16">
        <f>COUNTIFS('架電リスト'!$B$5:$B$807,$A4,'架電リスト'!$J$5:$J$807,"NG")</f>
        <v/>
      </c>
      <c r="K4" s="16">
        <f>COUNTIFS('架電リスト'!$B$5:$B$807,$A4,'架電リスト'!$J$5:$J$807,"番号不明")</f>
        <v/>
      </c>
    </row>
    <row r="5">
      <c r="A5" s="16" t="inlineStr">
        <is>
          <t>青森県</t>
        </is>
      </c>
      <c r="B5" s="16">
        <f>COUNTIF('架電リスト'!$B$5:$B$807,A5)</f>
        <v/>
      </c>
      <c r="C5" s="16">
        <f>COUNTIFS('架電リスト'!$B$5:$B$807,A5,'架電リスト'!$E$5:$E$807,"&lt;&gt;")</f>
        <v/>
      </c>
      <c r="D5" s="16">
        <f>B5-COUNTIFS('架電リスト'!$B$5:$B$807,A5,'架電リスト'!$J$5:$J$807,"未架電")-COUNTIFS('架電リスト'!$B$5:$B$807,A5,'架電リスト'!$J$5:$J$807,"")</f>
        <v/>
      </c>
      <c r="E5" s="16">
        <f>COUNTIFS('架電リスト'!$B$5:$B$807,$A5,'架電リスト'!$J$5:$J$807,"不在・折返し待ち")</f>
        <v/>
      </c>
      <c r="F5" s="16">
        <f>COUNTIFS('架電リスト'!$B$5:$B$807,$A5,'架電リスト'!$J$5:$J$807,"担当者不在")</f>
        <v/>
      </c>
      <c r="G5" s="16">
        <f>COUNTIFS('架電リスト'!$B$5:$B$807,$A5,'架電リスト'!$J$5:$J$807,"資料送付")</f>
        <v/>
      </c>
      <c r="H5" s="16">
        <f>COUNTIFS('架電リスト'!$B$5:$B$807,$A5,'架電リスト'!$J$5:$J$807,"アポ獲得")</f>
        <v/>
      </c>
      <c r="I5" s="16">
        <f>COUNTIFS('架電リスト'!$B$5:$B$807,$A5,'架電リスト'!$J$5:$J$807,"検討中")</f>
        <v/>
      </c>
      <c r="J5" s="16">
        <f>COUNTIFS('架電リスト'!$B$5:$B$807,$A5,'架電リスト'!$J$5:$J$807,"NG")</f>
        <v/>
      </c>
      <c r="K5" s="16">
        <f>COUNTIFS('架電リスト'!$B$5:$B$807,$A5,'架電リスト'!$J$5:$J$807,"番号不明")</f>
        <v/>
      </c>
    </row>
    <row r="6">
      <c r="A6" s="16" t="inlineStr">
        <is>
          <t>岩手県</t>
        </is>
      </c>
      <c r="B6" s="16">
        <f>COUNTIF('架電リスト'!$B$5:$B$807,A6)</f>
        <v/>
      </c>
      <c r="C6" s="16">
        <f>COUNTIFS('架電リスト'!$B$5:$B$807,A6,'架電リスト'!$E$5:$E$807,"&lt;&gt;")</f>
        <v/>
      </c>
      <c r="D6" s="16">
        <f>B6-COUNTIFS('架電リスト'!$B$5:$B$807,A6,'架電リスト'!$J$5:$J$807,"未架電")-COUNTIFS('架電リスト'!$B$5:$B$807,A6,'架電リスト'!$J$5:$J$807,"")</f>
        <v/>
      </c>
      <c r="E6" s="16">
        <f>COUNTIFS('架電リスト'!$B$5:$B$807,$A6,'架電リスト'!$J$5:$J$807,"不在・折返し待ち")</f>
        <v/>
      </c>
      <c r="F6" s="16">
        <f>COUNTIFS('架電リスト'!$B$5:$B$807,$A6,'架電リスト'!$J$5:$J$807,"担当者不在")</f>
        <v/>
      </c>
      <c r="G6" s="16">
        <f>COUNTIFS('架電リスト'!$B$5:$B$807,$A6,'架電リスト'!$J$5:$J$807,"資料送付")</f>
        <v/>
      </c>
      <c r="H6" s="16">
        <f>COUNTIFS('架電リスト'!$B$5:$B$807,$A6,'架電リスト'!$J$5:$J$807,"アポ獲得")</f>
        <v/>
      </c>
      <c r="I6" s="16">
        <f>COUNTIFS('架電リスト'!$B$5:$B$807,$A6,'架電リスト'!$J$5:$J$807,"検討中")</f>
        <v/>
      </c>
      <c r="J6" s="16">
        <f>COUNTIFS('架電リスト'!$B$5:$B$807,$A6,'架電リスト'!$J$5:$J$807,"NG")</f>
        <v/>
      </c>
      <c r="K6" s="16">
        <f>COUNTIFS('架電リスト'!$B$5:$B$807,$A6,'架電リスト'!$J$5:$J$807,"番号不明")</f>
        <v/>
      </c>
    </row>
    <row r="7">
      <c r="A7" s="16" t="inlineStr">
        <is>
          <t>宮城県</t>
        </is>
      </c>
      <c r="B7" s="16">
        <f>COUNTIF('架電リスト'!$B$5:$B$807,A7)</f>
        <v/>
      </c>
      <c r="C7" s="16">
        <f>COUNTIFS('架電リスト'!$B$5:$B$807,A7,'架電リスト'!$E$5:$E$807,"&lt;&gt;")</f>
        <v/>
      </c>
      <c r="D7" s="16">
        <f>B7-COUNTIFS('架電リスト'!$B$5:$B$807,A7,'架電リスト'!$J$5:$J$807,"未架電")-COUNTIFS('架電リスト'!$B$5:$B$807,A7,'架電リスト'!$J$5:$J$807,"")</f>
        <v/>
      </c>
      <c r="E7" s="16">
        <f>COUNTIFS('架電リスト'!$B$5:$B$807,$A7,'架電リスト'!$J$5:$J$807,"不在・折返し待ち")</f>
        <v/>
      </c>
      <c r="F7" s="16">
        <f>COUNTIFS('架電リスト'!$B$5:$B$807,$A7,'架電リスト'!$J$5:$J$807,"担当者不在")</f>
        <v/>
      </c>
      <c r="G7" s="16">
        <f>COUNTIFS('架電リスト'!$B$5:$B$807,$A7,'架電リスト'!$J$5:$J$807,"資料送付")</f>
        <v/>
      </c>
      <c r="H7" s="16">
        <f>COUNTIFS('架電リスト'!$B$5:$B$807,$A7,'架電リスト'!$J$5:$J$807,"アポ獲得")</f>
        <v/>
      </c>
      <c r="I7" s="16">
        <f>COUNTIFS('架電リスト'!$B$5:$B$807,$A7,'架電リスト'!$J$5:$J$807,"検討中")</f>
        <v/>
      </c>
      <c r="J7" s="16">
        <f>COUNTIFS('架電リスト'!$B$5:$B$807,$A7,'架電リスト'!$J$5:$J$807,"NG")</f>
        <v/>
      </c>
      <c r="K7" s="16">
        <f>COUNTIFS('架電リスト'!$B$5:$B$807,$A7,'架電リスト'!$J$5:$J$807,"番号不明")</f>
        <v/>
      </c>
    </row>
    <row r="8">
      <c r="A8" s="16" t="inlineStr">
        <is>
          <t>秋田県</t>
        </is>
      </c>
      <c r="B8" s="16">
        <f>COUNTIF('架電リスト'!$B$5:$B$807,A8)</f>
        <v/>
      </c>
      <c r="C8" s="16">
        <f>COUNTIFS('架電リスト'!$B$5:$B$807,A8,'架電リスト'!$E$5:$E$807,"&lt;&gt;")</f>
        <v/>
      </c>
      <c r="D8" s="16">
        <f>B8-COUNTIFS('架電リスト'!$B$5:$B$807,A8,'架電リスト'!$J$5:$J$807,"未架電")-COUNTIFS('架電リスト'!$B$5:$B$807,A8,'架電リスト'!$J$5:$J$807,"")</f>
        <v/>
      </c>
      <c r="E8" s="16">
        <f>COUNTIFS('架電リスト'!$B$5:$B$807,$A8,'架電リスト'!$J$5:$J$807,"不在・折返し待ち")</f>
        <v/>
      </c>
      <c r="F8" s="16">
        <f>COUNTIFS('架電リスト'!$B$5:$B$807,$A8,'架電リスト'!$J$5:$J$807,"担当者不在")</f>
        <v/>
      </c>
      <c r="G8" s="16">
        <f>COUNTIFS('架電リスト'!$B$5:$B$807,$A8,'架電リスト'!$J$5:$J$807,"資料送付")</f>
        <v/>
      </c>
      <c r="H8" s="16">
        <f>COUNTIFS('架電リスト'!$B$5:$B$807,$A8,'架電リスト'!$J$5:$J$807,"アポ獲得")</f>
        <v/>
      </c>
      <c r="I8" s="16">
        <f>COUNTIFS('架電リスト'!$B$5:$B$807,$A8,'架電リスト'!$J$5:$J$807,"検討中")</f>
        <v/>
      </c>
      <c r="J8" s="16">
        <f>COUNTIFS('架電リスト'!$B$5:$B$807,$A8,'架電リスト'!$J$5:$J$807,"NG")</f>
        <v/>
      </c>
      <c r="K8" s="16">
        <f>COUNTIFS('架電リスト'!$B$5:$B$807,$A8,'架電リスト'!$J$5:$J$807,"番号不明")</f>
        <v/>
      </c>
    </row>
    <row r="9">
      <c r="A9" s="16" t="inlineStr">
        <is>
          <t>山形県</t>
        </is>
      </c>
      <c r="B9" s="16">
        <f>COUNTIF('架電リスト'!$B$5:$B$807,A9)</f>
        <v/>
      </c>
      <c r="C9" s="16">
        <f>COUNTIFS('架電リスト'!$B$5:$B$807,A9,'架電リスト'!$E$5:$E$807,"&lt;&gt;")</f>
        <v/>
      </c>
      <c r="D9" s="16">
        <f>B9-COUNTIFS('架電リスト'!$B$5:$B$807,A9,'架電リスト'!$J$5:$J$807,"未架電")-COUNTIFS('架電リスト'!$B$5:$B$807,A9,'架電リスト'!$J$5:$J$807,"")</f>
        <v/>
      </c>
      <c r="E9" s="16">
        <f>COUNTIFS('架電リスト'!$B$5:$B$807,$A9,'架電リスト'!$J$5:$J$807,"不在・折返し待ち")</f>
        <v/>
      </c>
      <c r="F9" s="16">
        <f>COUNTIFS('架電リスト'!$B$5:$B$807,$A9,'架電リスト'!$J$5:$J$807,"担当者不在")</f>
        <v/>
      </c>
      <c r="G9" s="16">
        <f>COUNTIFS('架電リスト'!$B$5:$B$807,$A9,'架電リスト'!$J$5:$J$807,"資料送付")</f>
        <v/>
      </c>
      <c r="H9" s="16">
        <f>COUNTIFS('架電リスト'!$B$5:$B$807,$A9,'架電リスト'!$J$5:$J$807,"アポ獲得")</f>
        <v/>
      </c>
      <c r="I9" s="16">
        <f>COUNTIFS('架電リスト'!$B$5:$B$807,$A9,'架電リスト'!$J$5:$J$807,"検討中")</f>
        <v/>
      </c>
      <c r="J9" s="16">
        <f>COUNTIFS('架電リスト'!$B$5:$B$807,$A9,'架電リスト'!$J$5:$J$807,"NG")</f>
        <v/>
      </c>
      <c r="K9" s="16">
        <f>COUNTIFS('架電リスト'!$B$5:$B$807,$A9,'架電リスト'!$J$5:$J$807,"番号不明")</f>
        <v/>
      </c>
    </row>
    <row r="10">
      <c r="A10" s="16" t="inlineStr">
        <is>
          <t>福島県</t>
        </is>
      </c>
      <c r="B10" s="16">
        <f>COUNTIF('架電リスト'!$B$5:$B$807,A10)</f>
        <v/>
      </c>
      <c r="C10" s="16">
        <f>COUNTIFS('架電リスト'!$B$5:$B$807,A10,'架電リスト'!$E$5:$E$807,"&lt;&gt;")</f>
        <v/>
      </c>
      <c r="D10" s="16">
        <f>B10-COUNTIFS('架電リスト'!$B$5:$B$807,A10,'架電リスト'!$J$5:$J$807,"未架電")-COUNTIFS('架電リスト'!$B$5:$B$807,A10,'架電リスト'!$J$5:$J$807,"")</f>
        <v/>
      </c>
      <c r="E10" s="16">
        <f>COUNTIFS('架電リスト'!$B$5:$B$807,$A10,'架電リスト'!$J$5:$J$807,"不在・折返し待ち")</f>
        <v/>
      </c>
      <c r="F10" s="16">
        <f>COUNTIFS('架電リスト'!$B$5:$B$807,$A10,'架電リスト'!$J$5:$J$807,"担当者不在")</f>
        <v/>
      </c>
      <c r="G10" s="16">
        <f>COUNTIFS('架電リスト'!$B$5:$B$807,$A10,'架電リスト'!$J$5:$J$807,"資料送付")</f>
        <v/>
      </c>
      <c r="H10" s="16">
        <f>COUNTIFS('架電リスト'!$B$5:$B$807,$A10,'架電リスト'!$J$5:$J$807,"アポ獲得")</f>
        <v/>
      </c>
      <c r="I10" s="16">
        <f>COUNTIFS('架電リスト'!$B$5:$B$807,$A10,'架電リスト'!$J$5:$J$807,"検討中")</f>
        <v/>
      </c>
      <c r="J10" s="16">
        <f>COUNTIFS('架電リスト'!$B$5:$B$807,$A10,'架電リスト'!$J$5:$J$807,"NG")</f>
        <v/>
      </c>
      <c r="K10" s="16">
        <f>COUNTIFS('架電リスト'!$B$5:$B$807,$A10,'架電リスト'!$J$5:$J$807,"番号不明")</f>
        <v/>
      </c>
    </row>
    <row r="11">
      <c r="A11" s="16" t="inlineStr">
        <is>
          <t>茨城県</t>
        </is>
      </c>
      <c r="B11" s="16">
        <f>COUNTIF('架電リスト'!$B$5:$B$807,A11)</f>
        <v/>
      </c>
      <c r="C11" s="16">
        <f>COUNTIFS('架電リスト'!$B$5:$B$807,A11,'架電リスト'!$E$5:$E$807,"&lt;&gt;")</f>
        <v/>
      </c>
      <c r="D11" s="16">
        <f>B11-COUNTIFS('架電リスト'!$B$5:$B$807,A11,'架電リスト'!$J$5:$J$807,"未架電")-COUNTIFS('架電リスト'!$B$5:$B$807,A11,'架電リスト'!$J$5:$J$807,"")</f>
        <v/>
      </c>
      <c r="E11" s="16">
        <f>COUNTIFS('架電リスト'!$B$5:$B$807,$A11,'架電リスト'!$J$5:$J$807,"不在・折返し待ち")</f>
        <v/>
      </c>
      <c r="F11" s="16">
        <f>COUNTIFS('架電リスト'!$B$5:$B$807,$A11,'架電リスト'!$J$5:$J$807,"担当者不在")</f>
        <v/>
      </c>
      <c r="G11" s="16">
        <f>COUNTIFS('架電リスト'!$B$5:$B$807,$A11,'架電リスト'!$J$5:$J$807,"資料送付")</f>
        <v/>
      </c>
      <c r="H11" s="16">
        <f>COUNTIFS('架電リスト'!$B$5:$B$807,$A11,'架電リスト'!$J$5:$J$807,"アポ獲得")</f>
        <v/>
      </c>
      <c r="I11" s="16">
        <f>COUNTIFS('架電リスト'!$B$5:$B$807,$A11,'架電リスト'!$J$5:$J$807,"検討中")</f>
        <v/>
      </c>
      <c r="J11" s="16">
        <f>COUNTIFS('架電リスト'!$B$5:$B$807,$A11,'架電リスト'!$J$5:$J$807,"NG")</f>
        <v/>
      </c>
      <c r="K11" s="16">
        <f>COUNTIFS('架電リスト'!$B$5:$B$807,$A11,'架電リスト'!$J$5:$J$807,"番号不明")</f>
        <v/>
      </c>
    </row>
    <row r="12">
      <c r="A12" s="16" t="inlineStr">
        <is>
          <t>栃木県</t>
        </is>
      </c>
      <c r="B12" s="16">
        <f>COUNTIF('架電リスト'!$B$5:$B$807,A12)</f>
        <v/>
      </c>
      <c r="C12" s="16">
        <f>COUNTIFS('架電リスト'!$B$5:$B$807,A12,'架電リスト'!$E$5:$E$807,"&lt;&gt;")</f>
        <v/>
      </c>
      <c r="D12" s="16">
        <f>B12-COUNTIFS('架電リスト'!$B$5:$B$807,A12,'架電リスト'!$J$5:$J$807,"未架電")-COUNTIFS('架電リスト'!$B$5:$B$807,A12,'架電リスト'!$J$5:$J$807,"")</f>
        <v/>
      </c>
      <c r="E12" s="16">
        <f>COUNTIFS('架電リスト'!$B$5:$B$807,$A12,'架電リスト'!$J$5:$J$807,"不在・折返し待ち")</f>
        <v/>
      </c>
      <c r="F12" s="16">
        <f>COUNTIFS('架電リスト'!$B$5:$B$807,$A12,'架電リスト'!$J$5:$J$807,"担当者不在")</f>
        <v/>
      </c>
      <c r="G12" s="16">
        <f>COUNTIFS('架電リスト'!$B$5:$B$807,$A12,'架電リスト'!$J$5:$J$807,"資料送付")</f>
        <v/>
      </c>
      <c r="H12" s="16">
        <f>COUNTIFS('架電リスト'!$B$5:$B$807,$A12,'架電リスト'!$J$5:$J$807,"アポ獲得")</f>
        <v/>
      </c>
      <c r="I12" s="16">
        <f>COUNTIFS('架電リスト'!$B$5:$B$807,$A12,'架電リスト'!$J$5:$J$807,"検討中")</f>
        <v/>
      </c>
      <c r="J12" s="16">
        <f>COUNTIFS('架電リスト'!$B$5:$B$807,$A12,'架電リスト'!$J$5:$J$807,"NG")</f>
        <v/>
      </c>
      <c r="K12" s="16">
        <f>COUNTIFS('架電リスト'!$B$5:$B$807,$A12,'架電リスト'!$J$5:$J$807,"番号不明")</f>
        <v/>
      </c>
    </row>
    <row r="13">
      <c r="A13" s="16" t="inlineStr">
        <is>
          <t>群馬県</t>
        </is>
      </c>
      <c r="B13" s="16">
        <f>COUNTIF('架電リスト'!$B$5:$B$807,A13)</f>
        <v/>
      </c>
      <c r="C13" s="16">
        <f>COUNTIFS('架電リスト'!$B$5:$B$807,A13,'架電リスト'!$E$5:$E$807,"&lt;&gt;")</f>
        <v/>
      </c>
      <c r="D13" s="16">
        <f>B13-COUNTIFS('架電リスト'!$B$5:$B$807,A13,'架電リスト'!$J$5:$J$807,"未架電")-COUNTIFS('架電リスト'!$B$5:$B$807,A13,'架電リスト'!$J$5:$J$807,"")</f>
        <v/>
      </c>
      <c r="E13" s="16">
        <f>COUNTIFS('架電リスト'!$B$5:$B$807,$A13,'架電リスト'!$J$5:$J$807,"不在・折返し待ち")</f>
        <v/>
      </c>
      <c r="F13" s="16">
        <f>COUNTIFS('架電リスト'!$B$5:$B$807,$A13,'架電リスト'!$J$5:$J$807,"担当者不在")</f>
        <v/>
      </c>
      <c r="G13" s="16">
        <f>COUNTIFS('架電リスト'!$B$5:$B$807,$A13,'架電リスト'!$J$5:$J$807,"資料送付")</f>
        <v/>
      </c>
      <c r="H13" s="16">
        <f>COUNTIFS('架電リスト'!$B$5:$B$807,$A13,'架電リスト'!$J$5:$J$807,"アポ獲得")</f>
        <v/>
      </c>
      <c r="I13" s="16">
        <f>COUNTIFS('架電リスト'!$B$5:$B$807,$A13,'架電リスト'!$J$5:$J$807,"検討中")</f>
        <v/>
      </c>
      <c r="J13" s="16">
        <f>COUNTIFS('架電リスト'!$B$5:$B$807,$A13,'架電リスト'!$J$5:$J$807,"NG")</f>
        <v/>
      </c>
      <c r="K13" s="16">
        <f>COUNTIFS('架電リスト'!$B$5:$B$807,$A13,'架電リスト'!$J$5:$J$807,"番号不明")</f>
        <v/>
      </c>
    </row>
    <row r="14">
      <c r="A14" s="16" t="inlineStr">
        <is>
          <t>埼玉県</t>
        </is>
      </c>
      <c r="B14" s="16">
        <f>COUNTIF('架電リスト'!$B$5:$B$807,A14)</f>
        <v/>
      </c>
      <c r="C14" s="16">
        <f>COUNTIFS('架電リスト'!$B$5:$B$807,A14,'架電リスト'!$E$5:$E$807,"&lt;&gt;")</f>
        <v/>
      </c>
      <c r="D14" s="16">
        <f>B14-COUNTIFS('架電リスト'!$B$5:$B$807,A14,'架電リスト'!$J$5:$J$807,"未架電")-COUNTIFS('架電リスト'!$B$5:$B$807,A14,'架電リスト'!$J$5:$J$807,"")</f>
        <v/>
      </c>
      <c r="E14" s="16">
        <f>COUNTIFS('架電リスト'!$B$5:$B$807,$A14,'架電リスト'!$J$5:$J$807,"不在・折返し待ち")</f>
        <v/>
      </c>
      <c r="F14" s="16">
        <f>COUNTIFS('架電リスト'!$B$5:$B$807,$A14,'架電リスト'!$J$5:$J$807,"担当者不在")</f>
        <v/>
      </c>
      <c r="G14" s="16">
        <f>COUNTIFS('架電リスト'!$B$5:$B$807,$A14,'架電リスト'!$J$5:$J$807,"資料送付")</f>
        <v/>
      </c>
      <c r="H14" s="16">
        <f>COUNTIFS('架電リスト'!$B$5:$B$807,$A14,'架電リスト'!$J$5:$J$807,"アポ獲得")</f>
        <v/>
      </c>
      <c r="I14" s="16">
        <f>COUNTIFS('架電リスト'!$B$5:$B$807,$A14,'架電リスト'!$J$5:$J$807,"検討中")</f>
        <v/>
      </c>
      <c r="J14" s="16">
        <f>COUNTIFS('架電リスト'!$B$5:$B$807,$A14,'架電リスト'!$J$5:$J$807,"NG")</f>
        <v/>
      </c>
      <c r="K14" s="16">
        <f>COUNTIFS('架電リスト'!$B$5:$B$807,$A14,'架電リスト'!$J$5:$J$807,"番号不明")</f>
        <v/>
      </c>
    </row>
    <row r="15">
      <c r="A15" s="16" t="inlineStr">
        <is>
          <t>千葉県</t>
        </is>
      </c>
      <c r="B15" s="16">
        <f>COUNTIF('架電リスト'!$B$5:$B$807,A15)</f>
        <v/>
      </c>
      <c r="C15" s="16">
        <f>COUNTIFS('架電リスト'!$B$5:$B$807,A15,'架電リスト'!$E$5:$E$807,"&lt;&gt;")</f>
        <v/>
      </c>
      <c r="D15" s="16">
        <f>B15-COUNTIFS('架電リスト'!$B$5:$B$807,A15,'架電リスト'!$J$5:$J$807,"未架電")-COUNTIFS('架電リスト'!$B$5:$B$807,A15,'架電リスト'!$J$5:$J$807,"")</f>
        <v/>
      </c>
      <c r="E15" s="16">
        <f>COUNTIFS('架電リスト'!$B$5:$B$807,$A15,'架電リスト'!$J$5:$J$807,"不在・折返し待ち")</f>
        <v/>
      </c>
      <c r="F15" s="16">
        <f>COUNTIFS('架電リスト'!$B$5:$B$807,$A15,'架電リスト'!$J$5:$J$807,"担当者不在")</f>
        <v/>
      </c>
      <c r="G15" s="16">
        <f>COUNTIFS('架電リスト'!$B$5:$B$807,$A15,'架電リスト'!$J$5:$J$807,"資料送付")</f>
        <v/>
      </c>
      <c r="H15" s="16">
        <f>COUNTIFS('架電リスト'!$B$5:$B$807,$A15,'架電リスト'!$J$5:$J$807,"アポ獲得")</f>
        <v/>
      </c>
      <c r="I15" s="16">
        <f>COUNTIFS('架電リスト'!$B$5:$B$807,$A15,'架電リスト'!$J$5:$J$807,"検討中")</f>
        <v/>
      </c>
      <c r="J15" s="16">
        <f>COUNTIFS('架電リスト'!$B$5:$B$807,$A15,'架電リスト'!$J$5:$J$807,"NG")</f>
        <v/>
      </c>
      <c r="K15" s="16">
        <f>COUNTIFS('架電リスト'!$B$5:$B$807,$A15,'架電リスト'!$J$5:$J$807,"番号不明")</f>
        <v/>
      </c>
    </row>
    <row r="16">
      <c r="A16" s="16" t="inlineStr">
        <is>
          <t>東京都</t>
        </is>
      </c>
      <c r="B16" s="16">
        <f>COUNTIF('架電リスト'!$B$5:$B$807,A16)</f>
        <v/>
      </c>
      <c r="C16" s="16">
        <f>COUNTIFS('架電リスト'!$B$5:$B$807,A16,'架電リスト'!$E$5:$E$807,"&lt;&gt;")</f>
        <v/>
      </c>
      <c r="D16" s="16">
        <f>B16-COUNTIFS('架電リスト'!$B$5:$B$807,A16,'架電リスト'!$J$5:$J$807,"未架電")-COUNTIFS('架電リスト'!$B$5:$B$807,A16,'架電リスト'!$J$5:$J$807,"")</f>
        <v/>
      </c>
      <c r="E16" s="16">
        <f>COUNTIFS('架電リスト'!$B$5:$B$807,$A16,'架電リスト'!$J$5:$J$807,"不在・折返し待ち")</f>
        <v/>
      </c>
      <c r="F16" s="16">
        <f>COUNTIFS('架電リスト'!$B$5:$B$807,$A16,'架電リスト'!$J$5:$J$807,"担当者不在")</f>
        <v/>
      </c>
      <c r="G16" s="16">
        <f>COUNTIFS('架電リスト'!$B$5:$B$807,$A16,'架電リスト'!$J$5:$J$807,"資料送付")</f>
        <v/>
      </c>
      <c r="H16" s="16">
        <f>COUNTIFS('架電リスト'!$B$5:$B$807,$A16,'架電リスト'!$J$5:$J$807,"アポ獲得")</f>
        <v/>
      </c>
      <c r="I16" s="16">
        <f>COUNTIFS('架電リスト'!$B$5:$B$807,$A16,'架電リスト'!$J$5:$J$807,"検討中")</f>
        <v/>
      </c>
      <c r="J16" s="16">
        <f>COUNTIFS('架電リスト'!$B$5:$B$807,$A16,'架電リスト'!$J$5:$J$807,"NG")</f>
        <v/>
      </c>
      <c r="K16" s="16">
        <f>COUNTIFS('架電リスト'!$B$5:$B$807,$A16,'架電リスト'!$J$5:$J$807,"番号不明")</f>
        <v/>
      </c>
    </row>
    <row r="17">
      <c r="A17" s="16" t="inlineStr">
        <is>
          <t>神奈川県</t>
        </is>
      </c>
      <c r="B17" s="16">
        <f>COUNTIF('架電リスト'!$B$5:$B$807,A17)</f>
        <v/>
      </c>
      <c r="C17" s="16">
        <f>COUNTIFS('架電リスト'!$B$5:$B$807,A17,'架電リスト'!$E$5:$E$807,"&lt;&gt;")</f>
        <v/>
      </c>
      <c r="D17" s="16">
        <f>B17-COUNTIFS('架電リスト'!$B$5:$B$807,A17,'架電リスト'!$J$5:$J$807,"未架電")-COUNTIFS('架電リスト'!$B$5:$B$807,A17,'架電リスト'!$J$5:$J$807,"")</f>
        <v/>
      </c>
      <c r="E17" s="16">
        <f>COUNTIFS('架電リスト'!$B$5:$B$807,$A17,'架電リスト'!$J$5:$J$807,"不在・折返し待ち")</f>
        <v/>
      </c>
      <c r="F17" s="16">
        <f>COUNTIFS('架電リスト'!$B$5:$B$807,$A17,'架電リスト'!$J$5:$J$807,"担当者不在")</f>
        <v/>
      </c>
      <c r="G17" s="16">
        <f>COUNTIFS('架電リスト'!$B$5:$B$807,$A17,'架電リスト'!$J$5:$J$807,"資料送付")</f>
        <v/>
      </c>
      <c r="H17" s="16">
        <f>COUNTIFS('架電リスト'!$B$5:$B$807,$A17,'架電リスト'!$J$5:$J$807,"アポ獲得")</f>
        <v/>
      </c>
      <c r="I17" s="16">
        <f>COUNTIFS('架電リスト'!$B$5:$B$807,$A17,'架電リスト'!$J$5:$J$807,"検討中")</f>
        <v/>
      </c>
      <c r="J17" s="16">
        <f>COUNTIFS('架電リスト'!$B$5:$B$807,$A17,'架電リスト'!$J$5:$J$807,"NG")</f>
        <v/>
      </c>
      <c r="K17" s="16">
        <f>COUNTIFS('架電リスト'!$B$5:$B$807,$A17,'架電リスト'!$J$5:$J$807,"番号不明")</f>
        <v/>
      </c>
    </row>
    <row r="18">
      <c r="A18" s="16" t="inlineStr">
        <is>
          <t>新潟県</t>
        </is>
      </c>
      <c r="B18" s="16">
        <f>COUNTIF('架電リスト'!$B$5:$B$807,A18)</f>
        <v/>
      </c>
      <c r="C18" s="16">
        <f>COUNTIFS('架電リスト'!$B$5:$B$807,A18,'架電リスト'!$E$5:$E$807,"&lt;&gt;")</f>
        <v/>
      </c>
      <c r="D18" s="16">
        <f>B18-COUNTIFS('架電リスト'!$B$5:$B$807,A18,'架電リスト'!$J$5:$J$807,"未架電")-COUNTIFS('架電リスト'!$B$5:$B$807,A18,'架電リスト'!$J$5:$J$807,"")</f>
        <v/>
      </c>
      <c r="E18" s="16">
        <f>COUNTIFS('架電リスト'!$B$5:$B$807,$A18,'架電リスト'!$J$5:$J$807,"不在・折返し待ち")</f>
        <v/>
      </c>
      <c r="F18" s="16">
        <f>COUNTIFS('架電リスト'!$B$5:$B$807,$A18,'架電リスト'!$J$5:$J$807,"担当者不在")</f>
        <v/>
      </c>
      <c r="G18" s="16">
        <f>COUNTIFS('架電リスト'!$B$5:$B$807,$A18,'架電リスト'!$J$5:$J$807,"資料送付")</f>
        <v/>
      </c>
      <c r="H18" s="16">
        <f>COUNTIFS('架電リスト'!$B$5:$B$807,$A18,'架電リスト'!$J$5:$J$807,"アポ獲得")</f>
        <v/>
      </c>
      <c r="I18" s="16">
        <f>COUNTIFS('架電リスト'!$B$5:$B$807,$A18,'架電リスト'!$J$5:$J$807,"検討中")</f>
        <v/>
      </c>
      <c r="J18" s="16">
        <f>COUNTIFS('架電リスト'!$B$5:$B$807,$A18,'架電リスト'!$J$5:$J$807,"NG")</f>
        <v/>
      </c>
      <c r="K18" s="16">
        <f>COUNTIFS('架電リスト'!$B$5:$B$807,$A18,'架電リスト'!$J$5:$J$807,"番号不明")</f>
        <v/>
      </c>
    </row>
    <row r="19">
      <c r="A19" s="16" t="inlineStr">
        <is>
          <t>富山県</t>
        </is>
      </c>
      <c r="B19" s="16">
        <f>COUNTIF('架電リスト'!$B$5:$B$807,A19)</f>
        <v/>
      </c>
      <c r="C19" s="16">
        <f>COUNTIFS('架電リスト'!$B$5:$B$807,A19,'架電リスト'!$E$5:$E$807,"&lt;&gt;")</f>
        <v/>
      </c>
      <c r="D19" s="16">
        <f>B19-COUNTIFS('架電リスト'!$B$5:$B$807,A19,'架電リスト'!$J$5:$J$807,"未架電")-COUNTIFS('架電リスト'!$B$5:$B$807,A19,'架電リスト'!$J$5:$J$807,"")</f>
        <v/>
      </c>
      <c r="E19" s="16">
        <f>COUNTIFS('架電リスト'!$B$5:$B$807,$A19,'架電リスト'!$J$5:$J$807,"不在・折返し待ち")</f>
        <v/>
      </c>
      <c r="F19" s="16">
        <f>COUNTIFS('架電リスト'!$B$5:$B$807,$A19,'架電リスト'!$J$5:$J$807,"担当者不在")</f>
        <v/>
      </c>
      <c r="G19" s="16">
        <f>COUNTIFS('架電リスト'!$B$5:$B$807,$A19,'架電リスト'!$J$5:$J$807,"資料送付")</f>
        <v/>
      </c>
      <c r="H19" s="16">
        <f>COUNTIFS('架電リスト'!$B$5:$B$807,$A19,'架電リスト'!$J$5:$J$807,"アポ獲得")</f>
        <v/>
      </c>
      <c r="I19" s="16">
        <f>COUNTIFS('架電リスト'!$B$5:$B$807,$A19,'架電リスト'!$J$5:$J$807,"検討中")</f>
        <v/>
      </c>
      <c r="J19" s="16">
        <f>COUNTIFS('架電リスト'!$B$5:$B$807,$A19,'架電リスト'!$J$5:$J$807,"NG")</f>
        <v/>
      </c>
      <c r="K19" s="16">
        <f>COUNTIFS('架電リスト'!$B$5:$B$807,$A19,'架電リスト'!$J$5:$J$807,"番号不明")</f>
        <v/>
      </c>
    </row>
    <row r="20">
      <c r="A20" s="16" t="inlineStr">
        <is>
          <t>石川県</t>
        </is>
      </c>
      <c r="B20" s="16">
        <f>COUNTIF('架電リスト'!$B$5:$B$807,A20)</f>
        <v/>
      </c>
      <c r="C20" s="16">
        <f>COUNTIFS('架電リスト'!$B$5:$B$807,A20,'架電リスト'!$E$5:$E$807,"&lt;&gt;")</f>
        <v/>
      </c>
      <c r="D20" s="16">
        <f>B20-COUNTIFS('架電リスト'!$B$5:$B$807,A20,'架電リスト'!$J$5:$J$807,"未架電")-COUNTIFS('架電リスト'!$B$5:$B$807,A20,'架電リスト'!$J$5:$J$807,"")</f>
        <v/>
      </c>
      <c r="E20" s="16">
        <f>COUNTIFS('架電リスト'!$B$5:$B$807,$A20,'架電リスト'!$J$5:$J$807,"不在・折返し待ち")</f>
        <v/>
      </c>
      <c r="F20" s="16">
        <f>COUNTIFS('架電リスト'!$B$5:$B$807,$A20,'架電リスト'!$J$5:$J$807,"担当者不在")</f>
        <v/>
      </c>
      <c r="G20" s="16">
        <f>COUNTIFS('架電リスト'!$B$5:$B$807,$A20,'架電リスト'!$J$5:$J$807,"資料送付")</f>
        <v/>
      </c>
      <c r="H20" s="16">
        <f>COUNTIFS('架電リスト'!$B$5:$B$807,$A20,'架電リスト'!$J$5:$J$807,"アポ獲得")</f>
        <v/>
      </c>
      <c r="I20" s="16">
        <f>COUNTIFS('架電リスト'!$B$5:$B$807,$A20,'架電リスト'!$J$5:$J$807,"検討中")</f>
        <v/>
      </c>
      <c r="J20" s="16">
        <f>COUNTIFS('架電リスト'!$B$5:$B$807,$A20,'架電リスト'!$J$5:$J$807,"NG")</f>
        <v/>
      </c>
      <c r="K20" s="16">
        <f>COUNTIFS('架電リスト'!$B$5:$B$807,$A20,'架電リスト'!$J$5:$J$807,"番号不明")</f>
        <v/>
      </c>
    </row>
    <row r="21">
      <c r="A21" s="16" t="inlineStr">
        <is>
          <t>福井県</t>
        </is>
      </c>
      <c r="B21" s="16">
        <f>COUNTIF('架電リスト'!$B$5:$B$807,A21)</f>
        <v/>
      </c>
      <c r="C21" s="16">
        <f>COUNTIFS('架電リスト'!$B$5:$B$807,A21,'架電リスト'!$E$5:$E$807,"&lt;&gt;")</f>
        <v/>
      </c>
      <c r="D21" s="16">
        <f>B21-COUNTIFS('架電リスト'!$B$5:$B$807,A21,'架電リスト'!$J$5:$J$807,"未架電")-COUNTIFS('架電リスト'!$B$5:$B$807,A21,'架電リスト'!$J$5:$J$807,"")</f>
        <v/>
      </c>
      <c r="E21" s="16">
        <f>COUNTIFS('架電リスト'!$B$5:$B$807,$A21,'架電リスト'!$J$5:$J$807,"不在・折返し待ち")</f>
        <v/>
      </c>
      <c r="F21" s="16">
        <f>COUNTIFS('架電リスト'!$B$5:$B$807,$A21,'架電リスト'!$J$5:$J$807,"担当者不在")</f>
        <v/>
      </c>
      <c r="G21" s="16">
        <f>COUNTIFS('架電リスト'!$B$5:$B$807,$A21,'架電リスト'!$J$5:$J$807,"資料送付")</f>
        <v/>
      </c>
      <c r="H21" s="16">
        <f>COUNTIFS('架電リスト'!$B$5:$B$807,$A21,'架電リスト'!$J$5:$J$807,"アポ獲得")</f>
        <v/>
      </c>
      <c r="I21" s="16">
        <f>COUNTIFS('架電リスト'!$B$5:$B$807,$A21,'架電リスト'!$J$5:$J$807,"検討中")</f>
        <v/>
      </c>
      <c r="J21" s="16">
        <f>COUNTIFS('架電リスト'!$B$5:$B$807,$A21,'架電リスト'!$J$5:$J$807,"NG")</f>
        <v/>
      </c>
      <c r="K21" s="16">
        <f>COUNTIFS('架電リスト'!$B$5:$B$807,$A21,'架電リスト'!$J$5:$J$807,"番号不明")</f>
        <v/>
      </c>
    </row>
    <row r="22">
      <c r="A22" s="16" t="inlineStr">
        <is>
          <t>山梨県</t>
        </is>
      </c>
      <c r="B22" s="16">
        <f>COUNTIF('架電リスト'!$B$5:$B$807,A22)</f>
        <v/>
      </c>
      <c r="C22" s="16">
        <f>COUNTIFS('架電リスト'!$B$5:$B$807,A22,'架電リスト'!$E$5:$E$807,"&lt;&gt;")</f>
        <v/>
      </c>
      <c r="D22" s="16">
        <f>B22-COUNTIFS('架電リスト'!$B$5:$B$807,A22,'架電リスト'!$J$5:$J$807,"未架電")-COUNTIFS('架電リスト'!$B$5:$B$807,A22,'架電リスト'!$J$5:$J$807,"")</f>
        <v/>
      </c>
      <c r="E22" s="16">
        <f>COUNTIFS('架電リスト'!$B$5:$B$807,$A22,'架電リスト'!$J$5:$J$807,"不在・折返し待ち")</f>
        <v/>
      </c>
      <c r="F22" s="16">
        <f>COUNTIFS('架電リスト'!$B$5:$B$807,$A22,'架電リスト'!$J$5:$J$807,"担当者不在")</f>
        <v/>
      </c>
      <c r="G22" s="16">
        <f>COUNTIFS('架電リスト'!$B$5:$B$807,$A22,'架電リスト'!$J$5:$J$807,"資料送付")</f>
        <v/>
      </c>
      <c r="H22" s="16">
        <f>COUNTIFS('架電リスト'!$B$5:$B$807,$A22,'架電リスト'!$J$5:$J$807,"アポ獲得")</f>
        <v/>
      </c>
      <c r="I22" s="16">
        <f>COUNTIFS('架電リスト'!$B$5:$B$807,$A22,'架電リスト'!$J$5:$J$807,"検討中")</f>
        <v/>
      </c>
      <c r="J22" s="16">
        <f>COUNTIFS('架電リスト'!$B$5:$B$807,$A22,'架電リスト'!$J$5:$J$807,"NG")</f>
        <v/>
      </c>
      <c r="K22" s="16">
        <f>COUNTIFS('架電リスト'!$B$5:$B$807,$A22,'架電リスト'!$J$5:$J$807,"番号不明")</f>
        <v/>
      </c>
    </row>
    <row r="23">
      <c r="A23" s="16" t="inlineStr">
        <is>
          <t>長野県</t>
        </is>
      </c>
      <c r="B23" s="16">
        <f>COUNTIF('架電リスト'!$B$5:$B$807,A23)</f>
        <v/>
      </c>
      <c r="C23" s="16">
        <f>COUNTIFS('架電リスト'!$B$5:$B$807,A23,'架電リスト'!$E$5:$E$807,"&lt;&gt;")</f>
        <v/>
      </c>
      <c r="D23" s="16">
        <f>B23-COUNTIFS('架電リスト'!$B$5:$B$807,A23,'架電リスト'!$J$5:$J$807,"未架電")-COUNTIFS('架電リスト'!$B$5:$B$807,A23,'架電リスト'!$J$5:$J$807,"")</f>
        <v/>
      </c>
      <c r="E23" s="16">
        <f>COUNTIFS('架電リスト'!$B$5:$B$807,$A23,'架電リスト'!$J$5:$J$807,"不在・折返し待ち")</f>
        <v/>
      </c>
      <c r="F23" s="16">
        <f>COUNTIFS('架電リスト'!$B$5:$B$807,$A23,'架電リスト'!$J$5:$J$807,"担当者不在")</f>
        <v/>
      </c>
      <c r="G23" s="16">
        <f>COUNTIFS('架電リスト'!$B$5:$B$807,$A23,'架電リスト'!$J$5:$J$807,"資料送付")</f>
        <v/>
      </c>
      <c r="H23" s="16">
        <f>COUNTIFS('架電リスト'!$B$5:$B$807,$A23,'架電リスト'!$J$5:$J$807,"アポ獲得")</f>
        <v/>
      </c>
      <c r="I23" s="16">
        <f>COUNTIFS('架電リスト'!$B$5:$B$807,$A23,'架電リスト'!$J$5:$J$807,"検討中")</f>
        <v/>
      </c>
      <c r="J23" s="16">
        <f>COUNTIFS('架電リスト'!$B$5:$B$807,$A23,'架電リスト'!$J$5:$J$807,"NG")</f>
        <v/>
      </c>
      <c r="K23" s="16">
        <f>COUNTIFS('架電リスト'!$B$5:$B$807,$A23,'架電リスト'!$J$5:$J$807,"番号不明")</f>
        <v/>
      </c>
    </row>
    <row r="24">
      <c r="A24" s="16" t="inlineStr">
        <is>
          <t>静岡県</t>
        </is>
      </c>
      <c r="B24" s="16">
        <f>COUNTIF('架電リスト'!$B$5:$B$807,A24)</f>
        <v/>
      </c>
      <c r="C24" s="16">
        <f>COUNTIFS('架電リスト'!$B$5:$B$807,A24,'架電リスト'!$E$5:$E$807,"&lt;&gt;")</f>
        <v/>
      </c>
      <c r="D24" s="16">
        <f>B24-COUNTIFS('架電リスト'!$B$5:$B$807,A24,'架電リスト'!$J$5:$J$807,"未架電")-COUNTIFS('架電リスト'!$B$5:$B$807,A24,'架電リスト'!$J$5:$J$807,"")</f>
        <v/>
      </c>
      <c r="E24" s="16">
        <f>COUNTIFS('架電リスト'!$B$5:$B$807,$A24,'架電リスト'!$J$5:$J$807,"不在・折返し待ち")</f>
        <v/>
      </c>
      <c r="F24" s="16">
        <f>COUNTIFS('架電リスト'!$B$5:$B$807,$A24,'架電リスト'!$J$5:$J$807,"担当者不在")</f>
        <v/>
      </c>
      <c r="G24" s="16">
        <f>COUNTIFS('架電リスト'!$B$5:$B$807,$A24,'架電リスト'!$J$5:$J$807,"資料送付")</f>
        <v/>
      </c>
      <c r="H24" s="16">
        <f>COUNTIFS('架電リスト'!$B$5:$B$807,$A24,'架電リスト'!$J$5:$J$807,"アポ獲得")</f>
        <v/>
      </c>
      <c r="I24" s="16">
        <f>COUNTIFS('架電リスト'!$B$5:$B$807,$A24,'架電リスト'!$J$5:$J$807,"検討中")</f>
        <v/>
      </c>
      <c r="J24" s="16">
        <f>COUNTIFS('架電リスト'!$B$5:$B$807,$A24,'架電リスト'!$J$5:$J$807,"NG")</f>
        <v/>
      </c>
      <c r="K24" s="16">
        <f>COUNTIFS('架電リスト'!$B$5:$B$807,$A24,'架電リスト'!$J$5:$J$807,"番号不明")</f>
        <v/>
      </c>
    </row>
    <row r="25">
      <c r="A25" s="16" t="inlineStr">
        <is>
          <t>愛知県</t>
        </is>
      </c>
      <c r="B25" s="16">
        <f>COUNTIF('架電リスト'!$B$5:$B$807,A25)</f>
        <v/>
      </c>
      <c r="C25" s="16">
        <f>COUNTIFS('架電リスト'!$B$5:$B$807,A25,'架電リスト'!$E$5:$E$807,"&lt;&gt;")</f>
        <v/>
      </c>
      <c r="D25" s="16">
        <f>B25-COUNTIFS('架電リスト'!$B$5:$B$807,A25,'架電リスト'!$J$5:$J$807,"未架電")-COUNTIFS('架電リスト'!$B$5:$B$807,A25,'架電リスト'!$J$5:$J$807,"")</f>
        <v/>
      </c>
      <c r="E25" s="16">
        <f>COUNTIFS('架電リスト'!$B$5:$B$807,$A25,'架電リスト'!$J$5:$J$807,"不在・折返し待ち")</f>
        <v/>
      </c>
      <c r="F25" s="16">
        <f>COUNTIFS('架電リスト'!$B$5:$B$807,$A25,'架電リスト'!$J$5:$J$807,"担当者不在")</f>
        <v/>
      </c>
      <c r="G25" s="16">
        <f>COUNTIFS('架電リスト'!$B$5:$B$807,$A25,'架電リスト'!$J$5:$J$807,"資料送付")</f>
        <v/>
      </c>
      <c r="H25" s="16">
        <f>COUNTIFS('架電リスト'!$B$5:$B$807,$A25,'架電リスト'!$J$5:$J$807,"アポ獲得")</f>
        <v/>
      </c>
      <c r="I25" s="16">
        <f>COUNTIFS('架電リスト'!$B$5:$B$807,$A25,'架電リスト'!$J$5:$J$807,"検討中")</f>
        <v/>
      </c>
      <c r="J25" s="16">
        <f>COUNTIFS('架電リスト'!$B$5:$B$807,$A25,'架電リスト'!$J$5:$J$807,"NG")</f>
        <v/>
      </c>
      <c r="K25" s="16">
        <f>COUNTIFS('架電リスト'!$B$5:$B$807,$A25,'架電リスト'!$J$5:$J$807,"番号不明")</f>
        <v/>
      </c>
    </row>
    <row r="26">
      <c r="A26" s="17" t="inlineStr">
        <is>
          <t>合計</t>
        </is>
      </c>
      <c r="B26" s="17">
        <f>SUM(B4:B25)</f>
        <v/>
      </c>
      <c r="C26" s="17">
        <f>SUM(C4:C25)</f>
        <v/>
      </c>
      <c r="D26" s="17">
        <f>SUM(D4:D25)</f>
        <v/>
      </c>
      <c r="E26" s="17">
        <f>SUM(E4:E25)</f>
        <v/>
      </c>
      <c r="F26" s="17">
        <f>SUM(F4:F25)</f>
        <v/>
      </c>
      <c r="G26" s="17">
        <f>SUM(G4:G25)</f>
        <v/>
      </c>
      <c r="H26" s="17">
        <f>SUM(H4:H25)</f>
        <v/>
      </c>
      <c r="I26" s="17">
        <f>SUM(I4:I25)</f>
        <v/>
      </c>
      <c r="J26" s="17">
        <f>SUM(J4:J25)</f>
        <v/>
      </c>
      <c r="K26" s="17">
        <f>SUM(K4:K25)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■ 使い方</t>
        </is>
      </c>
    </row>
    <row r="2">
      <c r="A2" s="19" t="inlineStr">
        <is>
          <t>・「架電リスト」の黄色の列（電話番号・架電日・担当者・架電結果・次回連絡日・メモ）に入力してください。</t>
        </is>
      </c>
    </row>
    <row r="3">
      <c r="A3" s="19" t="inlineStr">
        <is>
          <t>・架電結果はプルダウンから選択します（アポ獲得＝緑、NG＝グレーで行が自動着色）。</t>
        </is>
      </c>
    </row>
    <row r="4">
      <c r="A4" s="19" t="inlineStr">
        <is>
          <t>・「学校情報ページ」の「開く」をクリックすると、学校ネットの各校ページが開きます。</t>
        </is>
      </c>
    </row>
    <row r="5">
      <c r="A5" s="19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9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9" t="inlineStr">
        <is>
          <t>・都道府県や市区町村で絞り込む場合は、見出し行の▼（フィルター）を使用してください。</t>
        </is>
      </c>
    </row>
    <row r="8">
      <c r="A8" s="19" t="inlineStr">
        <is>
          <t>・集計シートは入力内容に連動して自動で集計されます。</t>
        </is>
      </c>
    </row>
    <row r="9">
      <c r="A9" s="19" t="inlineStr"/>
    </row>
    <row r="10">
      <c r="A10" s="18" t="inlineStr">
        <is>
          <t>■ 元データについての注意</t>
        </is>
      </c>
    </row>
    <row r="11">
      <c r="A11" s="19" t="inlineStr">
        <is>
          <t>・出典：ご提供いただいた学校ネットの検索結果（私立高校・北海道・東北・関東・中部22都道県、803校）の貼り付けデータ。並び順は都道府県ごとに元データの掲載順です。</t>
        </is>
      </c>
    </row>
    <row r="12">
      <c r="A12" s="19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9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9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2026-10-13T08:54:08Z</dcterms:created>
  <dcterms:modified xsi:type="dcterms:W3CDTF">2026-10-13T08:54:09Z</dcterms:modified>
</cp:coreProperties>
</file>