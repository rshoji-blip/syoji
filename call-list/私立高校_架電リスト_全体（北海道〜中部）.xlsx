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'架電リスト'!$A$4:$O$752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473.html" TargetMode="External" Id="rId706" /><Relationship Type="http://schemas.openxmlformats.org/officeDocument/2006/relationships/hyperlink" Target="https://www.gakkou.net/kou/view/index_303432.html" TargetMode="External" Id="rId707" /><Relationship Type="http://schemas.openxmlformats.org/officeDocument/2006/relationships/hyperlink" Target="https://www.gakkou.net/kou/view/index_303304.html" TargetMode="External" Id="rId708" /><Relationship Type="http://schemas.openxmlformats.org/officeDocument/2006/relationships/hyperlink" Target="https://www.gakkou.net/kou/view/index_303307.html" TargetMode="External" Id="rId709" /><Relationship Type="http://schemas.openxmlformats.org/officeDocument/2006/relationships/hyperlink" Target="https://www.gakkou.net/kou/view/index_306559.html" TargetMode="External" Id="rId710" /><Relationship Type="http://schemas.openxmlformats.org/officeDocument/2006/relationships/hyperlink" Target="https://www.gakkou.net/kou/view/index_303335.html" TargetMode="External" Id="rId711" /><Relationship Type="http://schemas.openxmlformats.org/officeDocument/2006/relationships/hyperlink" Target="https://www.gakkou.net/kou/view/index_303374.html" TargetMode="External" Id="rId712" /><Relationship Type="http://schemas.openxmlformats.org/officeDocument/2006/relationships/hyperlink" Target="https://www.gakkou.net/kou/view/index_303386.html" TargetMode="External" Id="rId713" /><Relationship Type="http://schemas.openxmlformats.org/officeDocument/2006/relationships/hyperlink" Target="https://www.gakkou.net/kou/view/index_303377.html" TargetMode="External" Id="rId714" /><Relationship Type="http://schemas.openxmlformats.org/officeDocument/2006/relationships/hyperlink" Target="https://www.gakkou.net/kou/view/index_303420.html" TargetMode="External" Id="rId715" /><Relationship Type="http://schemas.openxmlformats.org/officeDocument/2006/relationships/hyperlink" Target="https://www.gakkou.net/kou/view/index_303349.html" TargetMode="External" Id="rId716" /><Relationship Type="http://schemas.openxmlformats.org/officeDocument/2006/relationships/hyperlink" Target="https://www.gakkou.net/kou/view/index_303398.html" TargetMode="External" Id="rId717" /><Relationship Type="http://schemas.openxmlformats.org/officeDocument/2006/relationships/hyperlink" Target="https://www.gakkou.net/kou/view/index_303391.html" TargetMode="External" Id="rId718" /><Relationship Type="http://schemas.openxmlformats.org/officeDocument/2006/relationships/hyperlink" Target="https://www.gakkou.net/kou/view/index_303388.html" TargetMode="External" Id="rId719" /><Relationship Type="http://schemas.openxmlformats.org/officeDocument/2006/relationships/hyperlink" Target="https://www.gakkou.net/kou/view/index_303368.html" TargetMode="External" Id="rId720" /><Relationship Type="http://schemas.openxmlformats.org/officeDocument/2006/relationships/hyperlink" Target="https://www.gakkou.net/kou/view/index_303371.html" TargetMode="External" Id="rId721" /><Relationship Type="http://schemas.openxmlformats.org/officeDocument/2006/relationships/hyperlink" Target="https://www.gakkou.net/kou/view/index_303416.html" TargetMode="External" Id="rId722" /><Relationship Type="http://schemas.openxmlformats.org/officeDocument/2006/relationships/hyperlink" Target="https://www.gakkou.net/kou/view/index_303395.html" TargetMode="External" Id="rId723" /><Relationship Type="http://schemas.openxmlformats.org/officeDocument/2006/relationships/hyperlink" Target="https://www.gakkou.net/kou/view/index_303390.html" TargetMode="External" Id="rId724" /><Relationship Type="http://schemas.openxmlformats.org/officeDocument/2006/relationships/hyperlink" Target="https://www.gakkou.net/kou/view/index_303312.html" TargetMode="External" Id="rId725" /><Relationship Type="http://schemas.openxmlformats.org/officeDocument/2006/relationships/hyperlink" Target="https://www.gakkou.net/kou/view/index_303406.html" TargetMode="External" Id="rId726" /><Relationship Type="http://schemas.openxmlformats.org/officeDocument/2006/relationships/hyperlink" Target="https://www.gakkou.net/kou/view/index_303356.html" TargetMode="External" Id="rId727" /><Relationship Type="http://schemas.openxmlformats.org/officeDocument/2006/relationships/hyperlink" Target="https://www.gakkou.net/kou/view/index_303450.html" TargetMode="External" Id="rId728" /><Relationship Type="http://schemas.openxmlformats.org/officeDocument/2006/relationships/hyperlink" Target="https://www.gakkou.net/kou/view/index_303333.html" TargetMode="External" Id="rId729" /><Relationship Type="http://schemas.openxmlformats.org/officeDocument/2006/relationships/hyperlink" Target="https://www.gakkou.net/kou/view/index_303401.html" TargetMode="External" Id="rId730" /><Relationship Type="http://schemas.openxmlformats.org/officeDocument/2006/relationships/hyperlink" Target="https://www.gakkou.net/kou/view/index_303311.html" TargetMode="External" Id="rId731" /><Relationship Type="http://schemas.openxmlformats.org/officeDocument/2006/relationships/hyperlink" Target="https://www.gakkou.net/kou/view/index_303474.html" TargetMode="External" Id="rId732" /><Relationship Type="http://schemas.openxmlformats.org/officeDocument/2006/relationships/hyperlink" Target="https://www.gakkou.net/kou/view/index_303376.html" TargetMode="External" Id="rId733" /><Relationship Type="http://schemas.openxmlformats.org/officeDocument/2006/relationships/hyperlink" Target="https://www.gakkou.net/kou/view/index_303367.html" TargetMode="External" Id="rId734" /><Relationship Type="http://schemas.openxmlformats.org/officeDocument/2006/relationships/hyperlink" Target="https://www.gakkou.net/kou/view/index_303328.html" TargetMode="External" Id="rId735" /><Relationship Type="http://schemas.openxmlformats.org/officeDocument/2006/relationships/hyperlink" Target="https://www.gakkou.net/kou/view/index_303310.html" TargetMode="External" Id="rId736" /><Relationship Type="http://schemas.openxmlformats.org/officeDocument/2006/relationships/hyperlink" Target="https://www.gakkou.net/kou/view/index_303426.html" TargetMode="External" Id="rId737" /><Relationship Type="http://schemas.openxmlformats.org/officeDocument/2006/relationships/hyperlink" Target="https://www.gakkou.net/kou/view/index_303425.html" TargetMode="External" Id="rId738" /><Relationship Type="http://schemas.openxmlformats.org/officeDocument/2006/relationships/hyperlink" Target="https://www.gakkou.net/kou/view/index_303423.html" TargetMode="External" Id="rId739" /><Relationship Type="http://schemas.openxmlformats.org/officeDocument/2006/relationships/hyperlink" Target="https://www.gakkou.net/kou/view/index_306572.html" TargetMode="External" Id="rId740" /><Relationship Type="http://schemas.openxmlformats.org/officeDocument/2006/relationships/hyperlink" Target="https://www.gakkou.net/kou/view/index_303422.html" TargetMode="External" Id="rId741" /><Relationship Type="http://schemas.openxmlformats.org/officeDocument/2006/relationships/hyperlink" Target="https://www.gakkou.net/kou/view/index_303447.html" TargetMode="External" Id="rId742" /><Relationship Type="http://schemas.openxmlformats.org/officeDocument/2006/relationships/hyperlink" Target="https://www.gakkou.net/kou/view/index_303438.html" TargetMode="External" Id="rId743" /><Relationship Type="http://schemas.openxmlformats.org/officeDocument/2006/relationships/hyperlink" Target="https://www.gakkou.net/kou/view/index_303306.html" TargetMode="External" Id="rId744" /><Relationship Type="http://schemas.openxmlformats.org/officeDocument/2006/relationships/hyperlink" Target="https://www.gakkou.net/kou/view/index_303412.html" TargetMode="External" Id="rId745" /><Relationship Type="http://schemas.openxmlformats.org/officeDocument/2006/relationships/hyperlink" Target="https://www.gakkou.net/kou/view/index_303411.html" TargetMode="External" Id="rId746" /><Relationship Type="http://schemas.openxmlformats.org/officeDocument/2006/relationships/hyperlink" Target="https://www.gakkou.net/kou/view/index_303317.html" TargetMode="External" Id="rId747" /><Relationship Type="http://schemas.openxmlformats.org/officeDocument/2006/relationships/hyperlink" Target="https://www.gakkou.net/kou/view/index_303402.html" TargetMode="External" Id="rId748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75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架電リスト（北海道・東北・関東・中部21都道県／748校）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静岡県</t>
        </is>
      </c>
      <c r="C710" s="5" t="inlineStr">
        <is>
          <t>磐田市</t>
        </is>
      </c>
      <c r="D710" s="5" t="inlineStr">
        <is>
          <t>磐田東高等学校</t>
        </is>
      </c>
      <c r="E710" s="6" t="inlineStr">
        <is>
          <t>0538-32-6118</t>
        </is>
      </c>
      <c r="F710" s="7" t="inlineStr">
        <is>
          <t>高</t>
        </is>
      </c>
      <c r="G710" s="5" t="inlineStr">
        <is>
          <t>普通科・専門学科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公式サイトで確認。中高共通</t>
        </is>
      </c>
      <c r="N710" s="11" t="inlineStr">
        <is>
          <t>https://www.iwatahigashi-h.ed.jp/ ; https://www.mapion.co.jp/phonebook/M11004/22211/ILSP0000041612_ipclm/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静岡県</t>
        </is>
      </c>
      <c r="C711" s="5" t="inlineStr">
        <is>
          <t>浜松市中央区</t>
        </is>
      </c>
      <c r="D711" s="5" t="inlineStr">
        <is>
          <t>オイスカ浜松国際高等学校</t>
        </is>
      </c>
      <c r="E711" s="6" t="inlineStr">
        <is>
          <t>053-486-3011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公式サイトで確認。所在地は浜松市中央区</t>
        </is>
      </c>
      <c r="N711" s="11" t="inlineStr">
        <is>
          <t>https://www.oisca.ed.jp/school/access/ ; https://www.minkou.jp/hischool/school/646/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静岡県</t>
        </is>
      </c>
      <c r="C712" s="5" t="inlineStr">
        <is>
          <t>沼津市</t>
        </is>
      </c>
      <c r="D712" s="5" t="inlineStr">
        <is>
          <t>加藤学園暁秀高等学校</t>
        </is>
      </c>
      <c r="E712" s="6" t="inlineStr">
        <is>
          <t>055-924-1900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中高共通。加藤学園高校とは別の学校</t>
        </is>
      </c>
      <c r="N712" s="11" t="inlineStr">
        <is>
          <t>https://www.mapion.co.jp/phonebook/M11004/22203/ILSP0000041290_ipclm/ ; https://school.js88.com/scl_h/22009120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静岡県</t>
        </is>
      </c>
      <c r="C713" s="5" t="inlineStr">
        <is>
          <t>沼津市</t>
        </is>
      </c>
      <c r="D713" s="5" t="inlineStr">
        <is>
          <t>加藤学園高等学校</t>
        </is>
      </c>
      <c r="E713" s="6" t="inlineStr">
        <is>
          <t>055-921-0347</t>
        </is>
      </c>
      <c r="F713" s="7" t="inlineStr">
        <is>
          <t>高</t>
        </is>
      </c>
      <c r="G713" s="5" t="inlineStr">
        <is>
          <t>普通科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公式サイトに「代表」と記載。加藤学園暁秀とは別の学校</t>
        </is>
      </c>
      <c r="N713" s="11" t="inlineStr">
        <is>
          <t>https://www.katogaku.jp/KatohHS/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静岡県</t>
        </is>
      </c>
      <c r="C714" s="5" t="inlineStr">
        <is>
          <t>吉田町</t>
        </is>
      </c>
      <c r="D714" s="5" t="inlineStr">
        <is>
          <t>キラリ高等学校</t>
        </is>
      </c>
      <c r="E714" s="6" t="inlineStr">
        <is>
          <t>0548-33-4976</t>
        </is>
      </c>
      <c r="F714" s="7" t="inlineStr">
        <is>
          <t>高</t>
        </is>
      </c>
      <c r="G714" s="5" t="inlineStr">
        <is>
          <t>普通科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通信制。吉田本校の番号（公式サイト）</t>
        </is>
      </c>
      <c r="N714" s="11" t="inlineStr">
        <is>
          <t>https://www.kirari-highschool.jp/introduction/access/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静岡県</t>
        </is>
      </c>
      <c r="C715" s="5" t="inlineStr">
        <is>
          <t>御殿場市</t>
        </is>
      </c>
      <c r="D715" s="5" t="inlineStr">
        <is>
          <t>御殿場西高等学校</t>
        </is>
      </c>
      <c r="E715" s="6" t="inlineStr">
        <is>
          <t>0550-89-2466</t>
        </is>
      </c>
      <c r="F715" s="7" t="inlineStr">
        <is>
          <t>高</t>
        </is>
      </c>
      <c r="G715" s="5" t="inlineStr">
        <is>
          <t>普通科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公式サイトで確認</t>
        </is>
      </c>
      <c r="N715" s="11" t="inlineStr">
        <is>
          <t>https://gotembanishi-h.ed.jp/access/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静岡県</t>
        </is>
      </c>
      <c r="C716" s="5" t="inlineStr">
        <is>
          <t>静岡市葵区</t>
        </is>
      </c>
      <c r="D716" s="5" t="inlineStr">
        <is>
          <t>静岡英和女学院高等学校</t>
        </is>
      </c>
      <c r="E716" s="6" t="inlineStr">
        <is>
          <t>054-254-7401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中高共通。2つのサイトで一致</t>
        </is>
      </c>
      <c r="N716" s="11" t="inlineStr">
        <is>
          <t>https://www.mapion.co.jp/phonebook/M11004/22101/ILSP0000040742_ipclm/ ; https://shizu-hsmap.com/3460/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静岡県</t>
        </is>
      </c>
      <c r="C717" s="5" t="inlineStr">
        <is>
          <t>静岡市葵区</t>
        </is>
      </c>
      <c r="D717" s="5" t="inlineStr">
        <is>
          <t>静岡学園高等学校</t>
        </is>
      </c>
      <c r="E717" s="6" t="inlineStr">
        <is>
          <t>054-200-0191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公式サイトで確認。中高共通</t>
        </is>
      </c>
      <c r="N717" s="11" t="inlineStr">
        <is>
          <t>https://www.shizugaku.ed.jp/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静岡県</t>
        </is>
      </c>
      <c r="C718" s="5" t="inlineStr">
        <is>
          <t>静岡市葵区</t>
        </is>
      </c>
      <c r="D718" s="5" t="inlineStr">
        <is>
          <t>静岡北高等学校</t>
        </is>
      </c>
      <c r="E718" s="6" t="inlineStr">
        <is>
          <t>054-261-5801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公式サイトに「代表」と記載。中学校は054-267-6151</t>
        </is>
      </c>
      <c r="N718" s="11" t="inlineStr">
        <is>
          <t>https://shizukita.jp/contact/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静岡県</t>
        </is>
      </c>
      <c r="C719" s="5" t="inlineStr">
        <is>
          <t>浜松市中央区</t>
        </is>
      </c>
      <c r="D719" s="5" t="inlineStr">
        <is>
          <t>静岡県西遠女子学園高等学校</t>
        </is>
      </c>
      <c r="E719" s="6" t="inlineStr">
        <is>
          <t>053-461-0374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公式サイトで確認。中高共通。所在地は浜松市中央区</t>
        </is>
      </c>
      <c r="N719" s="11" t="inlineStr">
        <is>
          <t>https://www.seien.ed.jp/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静岡県</t>
        </is>
      </c>
      <c r="C720" s="5" t="inlineStr">
        <is>
          <t>富士市</t>
        </is>
      </c>
      <c r="D720" s="5" t="inlineStr">
        <is>
          <t>静岡県富士見高等学校</t>
        </is>
      </c>
      <c r="E720" s="6" t="inlineStr">
        <is>
          <t>0545-61-0250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公式サイトで確認。中高共通</t>
        </is>
      </c>
      <c r="N720" s="11" t="inlineStr">
        <is>
          <t>https://fujimi.ed.jp/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静岡県</t>
        </is>
      </c>
      <c r="C721" s="5" t="inlineStr">
        <is>
          <t>静岡市清水区</t>
        </is>
      </c>
      <c r="D721" s="5" t="inlineStr">
        <is>
          <t>静岡サレジオ高等学校</t>
        </is>
      </c>
      <c r="E721" s="6" t="inlineStr">
        <is>
          <t>054-345-2296</t>
        </is>
      </c>
      <c r="F721" s="7" t="inlineStr">
        <is>
          <t>高</t>
        </is>
      </c>
      <c r="G721" s="5" t="inlineStr">
        <is>
          <t>普通科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https://ssalesio.ac.jp/high/contact/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静岡県</t>
        </is>
      </c>
      <c r="C722" s="5" t="inlineStr">
        <is>
          <t>静岡市駿河区</t>
        </is>
      </c>
      <c r="D722" s="5" t="inlineStr">
        <is>
          <t>静岡女子高等学校</t>
        </is>
      </c>
      <c r="E722" s="6" t="inlineStr">
        <is>
          <t>054-285-2274</t>
        </is>
      </c>
      <c r="F722" s="7" t="inlineStr">
        <is>
          <t>高</t>
        </is>
      </c>
      <c r="G722" s="5" t="inlineStr">
        <is>
          <t>普通科・専門学科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公式サイトで確認</t>
        </is>
      </c>
      <c r="N722" s="11" t="inlineStr">
        <is>
          <t>https://shizuoka-joshi.ac.jp/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静岡県</t>
        </is>
      </c>
      <c r="C723" s="5" t="inlineStr">
        <is>
          <t>静岡市駿河区</t>
        </is>
      </c>
      <c r="D723" s="5" t="inlineStr">
        <is>
          <t>静岡聖光学院高等学校</t>
        </is>
      </c>
      <c r="E723" s="6" t="inlineStr">
        <is>
          <t>054-285-9136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中高共通。高校募集なし（完全中高一貫）。公式未確認</t>
        </is>
      </c>
      <c r="N723" s="11" t="inlineStr">
        <is>
          <t>https://www.mapion.co.jp/phonebook/M11004/22102/ILSP0000041139_ipclm/ ; https://itp.ne.jp/info/229451737200000899/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静岡県</t>
        </is>
      </c>
      <c r="C724" s="5" t="inlineStr">
        <is>
          <t>静岡市葵区</t>
        </is>
      </c>
      <c r="D724" s="5" t="inlineStr">
        <is>
          <t>静岡大成高等学校</t>
        </is>
      </c>
      <c r="E724" s="6" t="inlineStr">
        <is>
          <t>054-254-7334</t>
        </is>
      </c>
      <c r="F724" s="7" t="inlineStr">
        <is>
          <t>高</t>
        </is>
      </c>
      <c r="G724" s="5" t="inlineStr">
        <is>
          <t>普通科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複数サイトで一致、公式未確認</t>
        </is>
      </c>
      <c r="N724" s="11" t="inlineStr">
        <is>
          <t>https://www.mapion.co.jp/phonebook/M11004/22101/ILSP0000040794_ipclm/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静岡県</t>
        </is>
      </c>
      <c r="C725" s="5" t="inlineStr">
        <is>
          <t>静岡市葵区</t>
        </is>
      </c>
      <c r="D725" s="5" t="inlineStr">
        <is>
          <t>静岡雙葉高等学校</t>
        </is>
      </c>
      <c r="E725" s="6" t="inlineStr">
        <is>
          <t>054-255-0305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公式サイトで確認。中高共通</t>
        </is>
      </c>
      <c r="N725" s="11" t="inlineStr">
        <is>
          <t>https://shizuoka-futaba.ac.jp/graduate/certificate/ ; https://www.mapion.co.jp/phonebook/M11004/22101/ILSP0000041364_ipclm/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静岡県</t>
        </is>
      </c>
      <c r="C726" s="5" t="inlineStr">
        <is>
          <t>島田市</t>
        </is>
      </c>
      <c r="D726" s="5" t="inlineStr">
        <is>
          <t>島田樟誠高等学校</t>
        </is>
      </c>
      <c r="E726" s="6" t="inlineStr">
        <is>
          <t>0547-37-3116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複数サイトで一致、公式未確認</t>
        </is>
      </c>
      <c r="N726" s="11" t="inlineStr">
        <is>
          <t>https://www.mapion.co.jp/phonebook/M11004/22209/ILSP0000041690_ipclm/ ; https://www.minkou.jp/hischool/school/2271/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静岡市清水区</t>
        </is>
      </c>
      <c r="D727" s="5" t="inlineStr">
        <is>
          <t>清水国際高等学校</t>
        </is>
      </c>
      <c r="E727" s="6" t="inlineStr">
        <is>
          <t>054-366-4155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</t>
        </is>
      </c>
      <c r="N727" s="11" t="inlineStr">
        <is>
          <t>https://www.shimizu-kokusai.ac.jp/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静岡市駿河区</t>
        </is>
      </c>
      <c r="D728" s="5" t="inlineStr">
        <is>
          <t>城南静岡高等学校</t>
        </is>
      </c>
      <c r="E728" s="6" t="inlineStr">
        <is>
          <t>054-285-6156</t>
        </is>
      </c>
      <c r="F728" s="7" t="inlineStr">
        <is>
          <t>高</t>
        </is>
      </c>
      <c r="G728" s="5" t="inlineStr">
        <is>
          <t>普通科・専門学科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公式サイトで確認。中高共通</t>
        </is>
      </c>
      <c r="N728" s="11" t="inlineStr">
        <is>
          <t>https://www.johnan.ac.jp/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誠恵高等学校</t>
        </is>
      </c>
      <c r="E729" s="6" t="inlineStr">
        <is>
          <t>055-921-5088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公式サイトに「代表」と記載</t>
        </is>
      </c>
      <c r="N729" s="11" t="inlineStr">
        <is>
          <t>http://www.seikei-on.ac.jp/contact/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藤枝市</t>
        </is>
      </c>
      <c r="D730" s="5" t="inlineStr">
        <is>
          <t>静清高等学校</t>
        </is>
      </c>
      <c r="E730" s="6" t="inlineStr">
        <is>
          <t>054-641-6693</t>
        </is>
      </c>
      <c r="F730" s="7" t="inlineStr">
        <is>
          <t>高</t>
        </is>
      </c>
      <c r="G730" s="5" t="inlineStr">
        <is>
          <t>普通科・専門学科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公式サイトで確認。通信制課程も同じ番号</t>
        </is>
      </c>
      <c r="N730" s="11" t="inlineStr">
        <is>
          <t>https://seisei.ed.jp/access/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富士宮市</t>
        </is>
      </c>
      <c r="D731" s="5" t="inlineStr">
        <is>
          <t>星陵高等学校</t>
        </is>
      </c>
      <c r="E731" s="6" t="inlineStr">
        <is>
          <t>0544-24-4811</t>
        </is>
      </c>
      <c r="F731" s="7" t="inlineStr">
        <is>
          <t>高</t>
        </is>
      </c>
      <c r="G731" s="5" t="inlineStr">
        <is>
          <t>普通科・専門学科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公式サイトで確認（静岡理工科大学星陵中学校・高等学校）</t>
        </is>
      </c>
      <c r="N731" s="11" t="inlineStr">
        <is>
          <t>https://starhill.ed.jp/hs/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浜松市中央区</t>
        </is>
      </c>
      <c r="D732" s="5" t="inlineStr">
        <is>
          <t>聖隷クリストファー高等学校</t>
        </is>
      </c>
      <c r="E732" s="6" t="inlineStr">
        <is>
          <t>053-436-5313</t>
        </is>
      </c>
      <c r="F732" s="7" t="inlineStr">
        <is>
          <t>高</t>
        </is>
      </c>
      <c r="G732" s="5" t="inlineStr">
        <is>
          <t>普通科・専門学科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複数サイトで一致、公式未確認。所在地は浜松市中央区</t>
        </is>
      </c>
      <c r="N732" s="11" t="inlineStr">
        <is>
          <t>https://www.mapion.co.jp/phonebook/M11004/22138/ILSP0000041195_ipclm/ ; https://school.js88.com/scl_h/22009420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長泉町</t>
        </is>
      </c>
      <c r="D733" s="5" t="inlineStr">
        <is>
          <t>知徳高等学校</t>
        </is>
      </c>
      <c r="E733" s="6" t="inlineStr">
        <is>
          <t>055-975-0080</t>
        </is>
      </c>
      <c r="F733" s="7" t="inlineStr">
        <is>
          <t>高</t>
        </is>
      </c>
      <c r="G733" s="5" t="inlineStr">
        <is>
          <t>普通科・専門学科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複数サイトで一致。055-976-0735はFAXなので注意</t>
        </is>
      </c>
      <c r="N733" s="11" t="inlineStr">
        <is>
          <t>https://www.mapion.co.jp/phonebook/M11004/22342/ILSP0000041799_ipclm/ ; https://itp.ne.jp/info/225247068200000899/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静岡市清水区</t>
        </is>
      </c>
      <c r="D734" s="5" t="inlineStr">
        <is>
          <t>東海大学付属静岡翔洋高等学校</t>
        </is>
      </c>
      <c r="E734" s="6" t="inlineStr">
        <is>
          <t>054-334-0726</t>
        </is>
      </c>
      <c r="F734" s="7" t="inlineStr">
        <is>
          <t>高</t>
        </is>
      </c>
      <c r="G734" s="5" t="inlineStr">
        <is>
          <t>普通科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公式サイトで確認。中等部は054-334-1851</t>
        </is>
      </c>
      <c r="N734" s="11" t="inlineStr">
        <is>
          <t>https://www.shoyo.tokai.ed.jp/contact/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沼津市</t>
        </is>
      </c>
      <c r="D735" s="5" t="inlineStr">
        <is>
          <t>桐陽高等学校</t>
        </is>
      </c>
      <c r="E735" s="6" t="inlineStr">
        <is>
          <t>055-921-0350</t>
        </is>
      </c>
      <c r="F735" s="7" t="inlineStr">
        <is>
          <t>高</t>
        </is>
      </c>
      <c r="G735" s="5" t="inlineStr">
        <is>
          <t>普通科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公式サイトでは募集広報部の番号。055-921-0096を載せるサイトもあり（旧番号の可能性）</t>
        </is>
      </c>
      <c r="N735" s="11" t="inlineStr">
        <is>
          <t>https://toyo-numazu.ac.jp/contact/ ; https://www.mapion.co.jp/phonebook/M11004/22203/ILSP0000041817_ipclm/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菊川市</t>
        </is>
      </c>
      <c r="D736" s="5" t="inlineStr">
        <is>
          <t>常葉大学附属菊川高等学校</t>
        </is>
      </c>
      <c r="E736" s="6" t="inlineStr">
        <is>
          <t>0537-35-3171</t>
        </is>
      </c>
      <c r="F736" s="7" t="inlineStr">
        <is>
          <t>高</t>
        </is>
      </c>
      <c r="G736" s="5" t="inlineStr">
        <is>
          <t>普通科・専門学科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</t>
        </is>
      </c>
      <c r="N736" s="11" t="inlineStr">
        <is>
          <t>https://tokoha.net/kikugawa/guide/access/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静岡市葵区</t>
        </is>
      </c>
      <c r="D737" s="5" t="inlineStr">
        <is>
          <t>常葉大学附属橘高等学校</t>
        </is>
      </c>
      <c r="E737" s="6" t="inlineStr">
        <is>
          <t>054-261-2256</t>
        </is>
      </c>
      <c r="F737" s="7" t="inlineStr">
        <is>
          <t>高</t>
        </is>
      </c>
      <c r="G737" s="5" t="inlineStr">
        <is>
          <t>普通科・専門学科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https://www.tokoha.ac.jp/tachibana-jh/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静岡市葵区</t>
        </is>
      </c>
      <c r="D738" s="5" t="inlineStr">
        <is>
          <t>常葉大学附属常葉高等学校</t>
        </is>
      </c>
      <c r="E738" s="6" t="inlineStr">
        <is>
          <t>054-245-5401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中高共通の代表</t>
        </is>
      </c>
      <c r="N738" s="11" t="inlineStr">
        <is>
          <t>https://www.tokoha-u.ac.jp/university/links/ ; https://www.mapion.co.jp/phonebook/M11004/22101/ILSP0000041765_ipclm/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三島市</t>
        </is>
      </c>
      <c r="D739" s="5" t="inlineStr">
        <is>
          <t>日本大学三島高等学校</t>
        </is>
      </c>
      <c r="E739" s="6" t="inlineStr">
        <is>
          <t>055-988-3500</t>
        </is>
      </c>
      <c r="F739" s="7" t="inlineStr">
        <is>
          <t>高</t>
        </is>
      </c>
      <c r="G739" s="5" t="inlineStr">
        <is>
          <t>普通科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公式サイトで確認。中高共通</t>
        </is>
      </c>
      <c r="N739" s="11" t="inlineStr">
        <is>
          <t>https://www.mishima.hs.nihon-u.ac.jp/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沼津市</t>
        </is>
      </c>
      <c r="D740" s="5" t="inlineStr">
        <is>
          <t>沼津中央高等学校</t>
        </is>
      </c>
      <c r="E740" s="6" t="inlineStr">
        <is>
          <t>055-921-0346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公式サイトで確認</t>
        </is>
      </c>
      <c r="N740" s="11" t="inlineStr">
        <is>
          <t>https://www.n-chuo.ac.jp/contact ; https://www.mapion.co.jp/phonebook/M11004/22203/ILSP0000041058_ipclm/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浜松市中央区</t>
        </is>
      </c>
      <c r="D741" s="5" t="inlineStr">
        <is>
          <t>浜松開誠館高等学校</t>
        </is>
      </c>
      <c r="E741" s="6" t="inlineStr">
        <is>
          <t>053-456-7111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公式サイトで確認。中高共通</t>
        </is>
      </c>
      <c r="N741" s="11" t="inlineStr">
        <is>
          <t>https://www.kaiseikan.ed.jp/top-page/school-overview/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浜松市中央区</t>
        </is>
      </c>
      <c r="D742" s="5" t="inlineStr">
        <is>
          <t>浜松学院高等学校</t>
        </is>
      </c>
      <c r="E742" s="6" t="inlineStr">
        <is>
          <t>053-471-4136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【校名変更】2025年4月に「浜松学院興誠高等学校」へ改称。法人本部と同じ番号</t>
        </is>
      </c>
      <c r="N742" s="11" t="inlineStr">
        <is>
          <t>https://www.hamagaku.ac.jp/gakuin/schoolprospectus/history/ ; https://school.js88.com/scl_h/22009350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浜松市中央区</t>
        </is>
      </c>
      <c r="D743" s="5" t="inlineStr">
        <is>
          <t>浜松学芸高等学校</t>
        </is>
      </c>
      <c r="E743" s="6" t="inlineStr">
        <is>
          <t>053-471-5336</t>
        </is>
      </c>
      <c r="F743" s="7" t="inlineStr">
        <is>
          <t>高</t>
        </is>
      </c>
      <c r="G743" s="5" t="inlineStr">
        <is>
          <t>普通科・専門学科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公式サイトで確認</t>
        </is>
      </c>
      <c r="N743" s="11" t="inlineStr">
        <is>
          <t>https://www.gakugei.ed.jp/high/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浜松市中央区</t>
        </is>
      </c>
      <c r="D744" s="5" t="inlineStr">
        <is>
          <t>浜松啓陽高等学校</t>
        </is>
      </c>
      <c r="E744" s="6" t="inlineStr">
        <is>
          <t>053-420-0431</t>
        </is>
      </c>
      <c r="F744" s="7" t="inlineStr">
        <is>
          <t>高</t>
        </is>
      </c>
      <c r="G744" s="5" t="inlineStr">
        <is>
          <t>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通信制。公式サイトで確認</t>
        </is>
      </c>
      <c r="N744" s="11" t="inlineStr">
        <is>
          <t>https://keiyo.ed.jp/ ; https://school.js88.com/scl_h/34029510?page=6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浜松市中央区</t>
        </is>
      </c>
      <c r="D745" s="5" t="inlineStr">
        <is>
          <t>浜松修学舎高等学校</t>
        </is>
      </c>
      <c r="E745" s="6" t="inlineStr">
        <is>
          <t>053-461-7356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</t>
        </is>
      </c>
      <c r="N745" s="11" t="inlineStr">
        <is>
          <t>https://www.shugakusha.ed.jp/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浜松市中央区</t>
        </is>
      </c>
      <c r="D746" s="5" t="inlineStr">
        <is>
          <t>浜松聖星高等学校</t>
        </is>
      </c>
      <c r="E746" s="6" t="inlineStr">
        <is>
          <t>053-454-5376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公式サイトで確認</t>
        </is>
      </c>
      <c r="N746" s="11" t="inlineStr">
        <is>
          <t>https://hamamatsu-seisei.jp/about/school_outline.html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浜松市中央区</t>
        </is>
      </c>
      <c r="D747" s="5" t="inlineStr">
        <is>
          <t>浜松日体高等学校</t>
        </is>
      </c>
      <c r="E747" s="6" t="inlineStr">
        <is>
          <t>053-434-0632</t>
        </is>
      </c>
      <c r="F747" s="7" t="inlineStr">
        <is>
          <t>高</t>
        </is>
      </c>
      <c r="G747" s="5" t="inlineStr">
        <is>
          <t>普通科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</t>
        </is>
      </c>
      <c r="N747" s="11" t="inlineStr">
        <is>
          <t>https://www.h-nittai.ed.jp/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沼津市</t>
        </is>
      </c>
      <c r="D748" s="5" t="inlineStr">
        <is>
          <t>飛龍高等学校</t>
        </is>
      </c>
      <c r="E748" s="6" t="inlineStr">
        <is>
          <t>055-921-7942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公式サイトで確認。055-921-0348を載せるサイトは旧番号の可能性</t>
        </is>
      </c>
      <c r="N748" s="11" t="inlineStr">
        <is>
          <t>https://hiryu.ed.jp/about-us/access/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藤枝市</t>
        </is>
      </c>
      <c r="D749" s="5" t="inlineStr">
        <is>
          <t>藤枝順心高等学校</t>
        </is>
      </c>
      <c r="E749" s="6" t="inlineStr">
        <is>
          <t>054-635-1311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2つのサイトで一致、公式未確認</t>
        </is>
      </c>
      <c r="N749" s="11" t="inlineStr">
        <is>
          <t>https://www.mapion.co.jp/phonebook/M11004/22214/ILSP0000041630_ipclm/ ; https://school.js88.com/scl_h/22009310?page=9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藤枝市</t>
        </is>
      </c>
      <c r="D750" s="5" t="inlineStr">
        <is>
          <t>藤枝明誠高等学校</t>
        </is>
      </c>
      <c r="E750" s="6" t="inlineStr">
        <is>
          <t>054-635-8155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公式サイトの事務室の番号</t>
        </is>
      </c>
      <c r="N750" s="11" t="inlineStr">
        <is>
          <t>https://www.fgmeisei.ed.jp/contact/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裾野市</t>
        </is>
      </c>
      <c r="D751" s="5" t="inlineStr">
        <is>
          <t>不二聖心女子学院高等学校</t>
        </is>
      </c>
      <c r="E751" s="6" t="inlineStr">
        <is>
          <t>055-992-0213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公式サイトで確認。中高共通</t>
        </is>
      </c>
      <c r="N751" s="11" t="inlineStr">
        <is>
          <t>https://www.fujiseishin-jh.ed.jp/access/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焼津市</t>
        </is>
      </c>
      <c r="D752" s="5" t="inlineStr">
        <is>
          <t>焼津高等学校</t>
        </is>
      </c>
      <c r="E752" s="6" t="inlineStr">
        <is>
          <t>054-628-7235</t>
        </is>
      </c>
      <c r="F752" s="7" t="inlineStr">
        <is>
          <t>高</t>
        </is>
      </c>
      <c r="G752" s="5" t="inlineStr">
        <is>
          <t>総合学科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私立（学校法人松薫学園）。公式サイトで確認</t>
        </is>
      </c>
      <c r="N752" s="11" t="inlineStr">
        <is>
          <t>https://yaizu-h.ed.jp/</t>
        </is>
      </c>
      <c r="O752" s="12" t="inlineStr">
        <is>
          <t>開く</t>
        </is>
      </c>
    </row>
  </sheetData>
  <autoFilter ref="A4:O752"/>
  <conditionalFormatting sqref="A5:O752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752" showDropDown="0" showInputMessage="0" showErrorMessage="0" allowBlank="1" type="list">
      <formula1>"未架電,不在・折返し待ち,担当者不在,資料送付,アポ獲得,検討中,NG,番号不明"</formula1>
    </dataValidation>
    <dataValidation sqref="H5:H752 K5:K752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COUNTIF('架電リスト'!$B$5:$B$752,A4)</f>
        <v/>
      </c>
      <c r="C4" s="16">
        <f>COUNTIFS('架電リスト'!$B$5:$B$752,A4,'架電リスト'!$E$5:$E$752,"&lt;&gt;")</f>
        <v/>
      </c>
      <c r="D4" s="16">
        <f>B4-COUNTIFS('架電リスト'!$B$5:$B$752,A4,'架電リスト'!$J$5:$J$752,"未架電")-COUNTIFS('架電リスト'!$B$5:$B$752,A4,'架電リスト'!$J$5:$J$752,"")</f>
        <v/>
      </c>
      <c r="E4" s="16">
        <f>COUNTIFS('架電リスト'!$B$5:$B$752,$A4,'架電リスト'!$J$5:$J$752,"不在・折返し待ち")</f>
        <v/>
      </c>
      <c r="F4" s="16">
        <f>COUNTIFS('架電リスト'!$B$5:$B$752,$A4,'架電リスト'!$J$5:$J$752,"担当者不在")</f>
        <v/>
      </c>
      <c r="G4" s="16">
        <f>COUNTIFS('架電リスト'!$B$5:$B$752,$A4,'架電リスト'!$J$5:$J$752,"資料送付")</f>
        <v/>
      </c>
      <c r="H4" s="16">
        <f>COUNTIFS('架電リスト'!$B$5:$B$752,$A4,'架電リスト'!$J$5:$J$752,"アポ獲得")</f>
        <v/>
      </c>
      <c r="I4" s="16">
        <f>COUNTIFS('架電リスト'!$B$5:$B$752,$A4,'架電リスト'!$J$5:$J$752,"検討中")</f>
        <v/>
      </c>
      <c r="J4" s="16">
        <f>COUNTIFS('架電リスト'!$B$5:$B$752,$A4,'架電リスト'!$J$5:$J$752,"NG")</f>
        <v/>
      </c>
      <c r="K4" s="16">
        <f>COUNTIFS('架電リスト'!$B$5:$B$752,$A4,'架電リスト'!$J$5:$J$752,"番号不明")</f>
        <v/>
      </c>
    </row>
    <row r="5">
      <c r="A5" s="16" t="inlineStr">
        <is>
          <t>青森県</t>
        </is>
      </c>
      <c r="B5" s="16">
        <f>COUNTIF('架電リスト'!$B$5:$B$752,A5)</f>
        <v/>
      </c>
      <c r="C5" s="16">
        <f>COUNTIFS('架電リスト'!$B$5:$B$752,A5,'架電リスト'!$E$5:$E$752,"&lt;&gt;")</f>
        <v/>
      </c>
      <c r="D5" s="16">
        <f>B5-COUNTIFS('架電リスト'!$B$5:$B$752,A5,'架電リスト'!$J$5:$J$752,"未架電")-COUNTIFS('架電リスト'!$B$5:$B$752,A5,'架電リスト'!$J$5:$J$752,"")</f>
        <v/>
      </c>
      <c r="E5" s="16">
        <f>COUNTIFS('架電リスト'!$B$5:$B$752,$A5,'架電リスト'!$J$5:$J$752,"不在・折返し待ち")</f>
        <v/>
      </c>
      <c r="F5" s="16">
        <f>COUNTIFS('架電リスト'!$B$5:$B$752,$A5,'架電リスト'!$J$5:$J$752,"担当者不在")</f>
        <v/>
      </c>
      <c r="G5" s="16">
        <f>COUNTIFS('架電リスト'!$B$5:$B$752,$A5,'架電リスト'!$J$5:$J$752,"資料送付")</f>
        <v/>
      </c>
      <c r="H5" s="16">
        <f>COUNTIFS('架電リスト'!$B$5:$B$752,$A5,'架電リスト'!$J$5:$J$752,"アポ獲得")</f>
        <v/>
      </c>
      <c r="I5" s="16">
        <f>COUNTIFS('架電リスト'!$B$5:$B$752,$A5,'架電リスト'!$J$5:$J$752,"検討中")</f>
        <v/>
      </c>
      <c r="J5" s="16">
        <f>COUNTIFS('架電リスト'!$B$5:$B$752,$A5,'架電リスト'!$J$5:$J$752,"NG")</f>
        <v/>
      </c>
      <c r="K5" s="16">
        <f>COUNTIFS('架電リスト'!$B$5:$B$752,$A5,'架電リスト'!$J$5:$J$752,"番号不明")</f>
        <v/>
      </c>
    </row>
    <row r="6">
      <c r="A6" s="16" t="inlineStr">
        <is>
          <t>岩手県</t>
        </is>
      </c>
      <c r="B6" s="16">
        <f>COUNTIF('架電リスト'!$B$5:$B$752,A6)</f>
        <v/>
      </c>
      <c r="C6" s="16">
        <f>COUNTIFS('架電リスト'!$B$5:$B$752,A6,'架電リスト'!$E$5:$E$752,"&lt;&gt;")</f>
        <v/>
      </c>
      <c r="D6" s="16">
        <f>B6-COUNTIFS('架電リスト'!$B$5:$B$752,A6,'架電リスト'!$J$5:$J$752,"未架電")-COUNTIFS('架電リスト'!$B$5:$B$752,A6,'架電リスト'!$J$5:$J$752,"")</f>
        <v/>
      </c>
      <c r="E6" s="16">
        <f>COUNTIFS('架電リスト'!$B$5:$B$752,$A6,'架電リスト'!$J$5:$J$752,"不在・折返し待ち")</f>
        <v/>
      </c>
      <c r="F6" s="16">
        <f>COUNTIFS('架電リスト'!$B$5:$B$752,$A6,'架電リスト'!$J$5:$J$752,"担当者不在")</f>
        <v/>
      </c>
      <c r="G6" s="16">
        <f>COUNTIFS('架電リスト'!$B$5:$B$752,$A6,'架電リスト'!$J$5:$J$752,"資料送付")</f>
        <v/>
      </c>
      <c r="H6" s="16">
        <f>COUNTIFS('架電リスト'!$B$5:$B$752,$A6,'架電リスト'!$J$5:$J$752,"アポ獲得")</f>
        <v/>
      </c>
      <c r="I6" s="16">
        <f>COUNTIFS('架電リスト'!$B$5:$B$752,$A6,'架電リスト'!$J$5:$J$752,"検討中")</f>
        <v/>
      </c>
      <c r="J6" s="16">
        <f>COUNTIFS('架電リスト'!$B$5:$B$752,$A6,'架電リスト'!$J$5:$J$752,"NG")</f>
        <v/>
      </c>
      <c r="K6" s="16">
        <f>COUNTIFS('架電リスト'!$B$5:$B$752,$A6,'架電リスト'!$J$5:$J$752,"番号不明")</f>
        <v/>
      </c>
    </row>
    <row r="7">
      <c r="A7" s="16" t="inlineStr">
        <is>
          <t>宮城県</t>
        </is>
      </c>
      <c r="B7" s="16">
        <f>COUNTIF('架電リスト'!$B$5:$B$752,A7)</f>
        <v/>
      </c>
      <c r="C7" s="16">
        <f>COUNTIFS('架電リスト'!$B$5:$B$752,A7,'架電リスト'!$E$5:$E$752,"&lt;&gt;")</f>
        <v/>
      </c>
      <c r="D7" s="16">
        <f>B7-COUNTIFS('架電リスト'!$B$5:$B$752,A7,'架電リスト'!$J$5:$J$752,"未架電")-COUNTIFS('架電リスト'!$B$5:$B$752,A7,'架電リスト'!$J$5:$J$752,"")</f>
        <v/>
      </c>
      <c r="E7" s="16">
        <f>COUNTIFS('架電リスト'!$B$5:$B$752,$A7,'架電リスト'!$J$5:$J$752,"不在・折返し待ち")</f>
        <v/>
      </c>
      <c r="F7" s="16">
        <f>COUNTIFS('架電リスト'!$B$5:$B$752,$A7,'架電リスト'!$J$5:$J$752,"担当者不在")</f>
        <v/>
      </c>
      <c r="G7" s="16">
        <f>COUNTIFS('架電リスト'!$B$5:$B$752,$A7,'架電リスト'!$J$5:$J$752,"資料送付")</f>
        <v/>
      </c>
      <c r="H7" s="16">
        <f>COUNTIFS('架電リスト'!$B$5:$B$752,$A7,'架電リスト'!$J$5:$J$752,"アポ獲得")</f>
        <v/>
      </c>
      <c r="I7" s="16">
        <f>COUNTIFS('架電リスト'!$B$5:$B$752,$A7,'架電リスト'!$J$5:$J$752,"検討中")</f>
        <v/>
      </c>
      <c r="J7" s="16">
        <f>COUNTIFS('架電リスト'!$B$5:$B$752,$A7,'架電リスト'!$J$5:$J$752,"NG")</f>
        <v/>
      </c>
      <c r="K7" s="16">
        <f>COUNTIFS('架電リスト'!$B$5:$B$752,$A7,'架電リスト'!$J$5:$J$752,"番号不明")</f>
        <v/>
      </c>
    </row>
    <row r="8">
      <c r="A8" s="16" t="inlineStr">
        <is>
          <t>秋田県</t>
        </is>
      </c>
      <c r="B8" s="16">
        <f>COUNTIF('架電リスト'!$B$5:$B$752,A8)</f>
        <v/>
      </c>
      <c r="C8" s="16">
        <f>COUNTIFS('架電リスト'!$B$5:$B$752,A8,'架電リスト'!$E$5:$E$752,"&lt;&gt;")</f>
        <v/>
      </c>
      <c r="D8" s="16">
        <f>B8-COUNTIFS('架電リスト'!$B$5:$B$752,A8,'架電リスト'!$J$5:$J$752,"未架電")-COUNTIFS('架電リスト'!$B$5:$B$752,A8,'架電リスト'!$J$5:$J$752,"")</f>
        <v/>
      </c>
      <c r="E8" s="16">
        <f>COUNTIFS('架電リスト'!$B$5:$B$752,$A8,'架電リスト'!$J$5:$J$752,"不在・折返し待ち")</f>
        <v/>
      </c>
      <c r="F8" s="16">
        <f>COUNTIFS('架電リスト'!$B$5:$B$752,$A8,'架電リスト'!$J$5:$J$752,"担当者不在")</f>
        <v/>
      </c>
      <c r="G8" s="16">
        <f>COUNTIFS('架電リスト'!$B$5:$B$752,$A8,'架電リスト'!$J$5:$J$752,"資料送付")</f>
        <v/>
      </c>
      <c r="H8" s="16">
        <f>COUNTIFS('架電リスト'!$B$5:$B$752,$A8,'架電リスト'!$J$5:$J$752,"アポ獲得")</f>
        <v/>
      </c>
      <c r="I8" s="16">
        <f>COUNTIFS('架電リスト'!$B$5:$B$752,$A8,'架電リスト'!$J$5:$J$752,"検討中")</f>
        <v/>
      </c>
      <c r="J8" s="16">
        <f>COUNTIFS('架電リスト'!$B$5:$B$752,$A8,'架電リスト'!$J$5:$J$752,"NG")</f>
        <v/>
      </c>
      <c r="K8" s="16">
        <f>COUNTIFS('架電リスト'!$B$5:$B$752,$A8,'架電リスト'!$J$5:$J$752,"番号不明")</f>
        <v/>
      </c>
    </row>
    <row r="9">
      <c r="A9" s="16" t="inlineStr">
        <is>
          <t>山形県</t>
        </is>
      </c>
      <c r="B9" s="16">
        <f>COUNTIF('架電リスト'!$B$5:$B$752,A9)</f>
        <v/>
      </c>
      <c r="C9" s="16">
        <f>COUNTIFS('架電リスト'!$B$5:$B$752,A9,'架電リスト'!$E$5:$E$752,"&lt;&gt;")</f>
        <v/>
      </c>
      <c r="D9" s="16">
        <f>B9-COUNTIFS('架電リスト'!$B$5:$B$752,A9,'架電リスト'!$J$5:$J$752,"未架電")-COUNTIFS('架電リスト'!$B$5:$B$752,A9,'架電リスト'!$J$5:$J$752,"")</f>
        <v/>
      </c>
      <c r="E9" s="16">
        <f>COUNTIFS('架電リスト'!$B$5:$B$752,$A9,'架電リスト'!$J$5:$J$752,"不在・折返し待ち")</f>
        <v/>
      </c>
      <c r="F9" s="16">
        <f>COUNTIFS('架電リスト'!$B$5:$B$752,$A9,'架電リスト'!$J$5:$J$752,"担当者不在")</f>
        <v/>
      </c>
      <c r="G9" s="16">
        <f>COUNTIFS('架電リスト'!$B$5:$B$752,$A9,'架電リスト'!$J$5:$J$752,"資料送付")</f>
        <v/>
      </c>
      <c r="H9" s="16">
        <f>COUNTIFS('架電リスト'!$B$5:$B$752,$A9,'架電リスト'!$J$5:$J$752,"アポ獲得")</f>
        <v/>
      </c>
      <c r="I9" s="16">
        <f>COUNTIFS('架電リスト'!$B$5:$B$752,$A9,'架電リスト'!$J$5:$J$752,"検討中")</f>
        <v/>
      </c>
      <c r="J9" s="16">
        <f>COUNTIFS('架電リスト'!$B$5:$B$752,$A9,'架電リスト'!$J$5:$J$752,"NG")</f>
        <v/>
      </c>
      <c r="K9" s="16">
        <f>COUNTIFS('架電リスト'!$B$5:$B$752,$A9,'架電リスト'!$J$5:$J$752,"番号不明")</f>
        <v/>
      </c>
    </row>
    <row r="10">
      <c r="A10" s="16" t="inlineStr">
        <is>
          <t>福島県</t>
        </is>
      </c>
      <c r="B10" s="16">
        <f>COUNTIF('架電リスト'!$B$5:$B$752,A10)</f>
        <v/>
      </c>
      <c r="C10" s="16">
        <f>COUNTIFS('架電リスト'!$B$5:$B$752,A10,'架電リスト'!$E$5:$E$752,"&lt;&gt;")</f>
        <v/>
      </c>
      <c r="D10" s="16">
        <f>B10-COUNTIFS('架電リスト'!$B$5:$B$752,A10,'架電リスト'!$J$5:$J$752,"未架電")-COUNTIFS('架電リスト'!$B$5:$B$752,A10,'架電リスト'!$J$5:$J$752,"")</f>
        <v/>
      </c>
      <c r="E10" s="16">
        <f>COUNTIFS('架電リスト'!$B$5:$B$752,$A10,'架電リスト'!$J$5:$J$752,"不在・折返し待ち")</f>
        <v/>
      </c>
      <c r="F10" s="16">
        <f>COUNTIFS('架電リスト'!$B$5:$B$752,$A10,'架電リスト'!$J$5:$J$752,"担当者不在")</f>
        <v/>
      </c>
      <c r="G10" s="16">
        <f>COUNTIFS('架電リスト'!$B$5:$B$752,$A10,'架電リスト'!$J$5:$J$752,"資料送付")</f>
        <v/>
      </c>
      <c r="H10" s="16">
        <f>COUNTIFS('架電リスト'!$B$5:$B$752,$A10,'架電リスト'!$J$5:$J$752,"アポ獲得")</f>
        <v/>
      </c>
      <c r="I10" s="16">
        <f>COUNTIFS('架電リスト'!$B$5:$B$752,$A10,'架電リスト'!$J$5:$J$752,"検討中")</f>
        <v/>
      </c>
      <c r="J10" s="16">
        <f>COUNTIFS('架電リスト'!$B$5:$B$752,$A10,'架電リスト'!$J$5:$J$752,"NG")</f>
        <v/>
      </c>
      <c r="K10" s="16">
        <f>COUNTIFS('架電リスト'!$B$5:$B$752,$A10,'架電リスト'!$J$5:$J$752,"番号不明")</f>
        <v/>
      </c>
    </row>
    <row r="11">
      <c r="A11" s="16" t="inlineStr">
        <is>
          <t>茨城県</t>
        </is>
      </c>
      <c r="B11" s="16">
        <f>COUNTIF('架電リスト'!$B$5:$B$752,A11)</f>
        <v/>
      </c>
      <c r="C11" s="16">
        <f>COUNTIFS('架電リスト'!$B$5:$B$752,A11,'架電リスト'!$E$5:$E$752,"&lt;&gt;")</f>
        <v/>
      </c>
      <c r="D11" s="16">
        <f>B11-COUNTIFS('架電リスト'!$B$5:$B$752,A11,'架電リスト'!$J$5:$J$752,"未架電")-COUNTIFS('架電リスト'!$B$5:$B$752,A11,'架電リスト'!$J$5:$J$752,"")</f>
        <v/>
      </c>
      <c r="E11" s="16">
        <f>COUNTIFS('架電リスト'!$B$5:$B$752,$A11,'架電リスト'!$J$5:$J$752,"不在・折返し待ち")</f>
        <v/>
      </c>
      <c r="F11" s="16">
        <f>COUNTIFS('架電リスト'!$B$5:$B$752,$A11,'架電リスト'!$J$5:$J$752,"担当者不在")</f>
        <v/>
      </c>
      <c r="G11" s="16">
        <f>COUNTIFS('架電リスト'!$B$5:$B$752,$A11,'架電リスト'!$J$5:$J$752,"資料送付")</f>
        <v/>
      </c>
      <c r="H11" s="16">
        <f>COUNTIFS('架電リスト'!$B$5:$B$752,$A11,'架電リスト'!$J$5:$J$752,"アポ獲得")</f>
        <v/>
      </c>
      <c r="I11" s="16">
        <f>COUNTIFS('架電リスト'!$B$5:$B$752,$A11,'架電リスト'!$J$5:$J$752,"検討中")</f>
        <v/>
      </c>
      <c r="J11" s="16">
        <f>COUNTIFS('架電リスト'!$B$5:$B$752,$A11,'架電リスト'!$J$5:$J$752,"NG")</f>
        <v/>
      </c>
      <c r="K11" s="16">
        <f>COUNTIFS('架電リスト'!$B$5:$B$752,$A11,'架電リスト'!$J$5:$J$752,"番号不明")</f>
        <v/>
      </c>
    </row>
    <row r="12">
      <c r="A12" s="16" t="inlineStr">
        <is>
          <t>栃木県</t>
        </is>
      </c>
      <c r="B12" s="16">
        <f>COUNTIF('架電リスト'!$B$5:$B$752,A12)</f>
        <v/>
      </c>
      <c r="C12" s="16">
        <f>COUNTIFS('架電リスト'!$B$5:$B$752,A12,'架電リスト'!$E$5:$E$752,"&lt;&gt;")</f>
        <v/>
      </c>
      <c r="D12" s="16">
        <f>B12-COUNTIFS('架電リスト'!$B$5:$B$752,A12,'架電リスト'!$J$5:$J$752,"未架電")-COUNTIFS('架電リスト'!$B$5:$B$752,A12,'架電リスト'!$J$5:$J$752,"")</f>
        <v/>
      </c>
      <c r="E12" s="16">
        <f>COUNTIFS('架電リスト'!$B$5:$B$752,$A12,'架電リスト'!$J$5:$J$752,"不在・折返し待ち")</f>
        <v/>
      </c>
      <c r="F12" s="16">
        <f>COUNTIFS('架電リスト'!$B$5:$B$752,$A12,'架電リスト'!$J$5:$J$752,"担当者不在")</f>
        <v/>
      </c>
      <c r="G12" s="16">
        <f>COUNTIFS('架電リスト'!$B$5:$B$752,$A12,'架電リスト'!$J$5:$J$752,"資料送付")</f>
        <v/>
      </c>
      <c r="H12" s="16">
        <f>COUNTIFS('架電リスト'!$B$5:$B$752,$A12,'架電リスト'!$J$5:$J$752,"アポ獲得")</f>
        <v/>
      </c>
      <c r="I12" s="16">
        <f>COUNTIFS('架電リスト'!$B$5:$B$752,$A12,'架電リスト'!$J$5:$J$752,"検討中")</f>
        <v/>
      </c>
      <c r="J12" s="16">
        <f>COUNTIFS('架電リスト'!$B$5:$B$752,$A12,'架電リスト'!$J$5:$J$752,"NG")</f>
        <v/>
      </c>
      <c r="K12" s="16">
        <f>COUNTIFS('架電リスト'!$B$5:$B$752,$A12,'架電リスト'!$J$5:$J$752,"番号不明")</f>
        <v/>
      </c>
    </row>
    <row r="13">
      <c r="A13" s="16" t="inlineStr">
        <is>
          <t>群馬県</t>
        </is>
      </c>
      <c r="B13" s="16">
        <f>COUNTIF('架電リスト'!$B$5:$B$752,A13)</f>
        <v/>
      </c>
      <c r="C13" s="16">
        <f>COUNTIFS('架電リスト'!$B$5:$B$752,A13,'架電リスト'!$E$5:$E$752,"&lt;&gt;")</f>
        <v/>
      </c>
      <c r="D13" s="16">
        <f>B13-COUNTIFS('架電リスト'!$B$5:$B$752,A13,'架電リスト'!$J$5:$J$752,"未架電")-COUNTIFS('架電リスト'!$B$5:$B$752,A13,'架電リスト'!$J$5:$J$752,"")</f>
        <v/>
      </c>
      <c r="E13" s="16">
        <f>COUNTIFS('架電リスト'!$B$5:$B$752,$A13,'架電リスト'!$J$5:$J$752,"不在・折返し待ち")</f>
        <v/>
      </c>
      <c r="F13" s="16">
        <f>COUNTIFS('架電リスト'!$B$5:$B$752,$A13,'架電リスト'!$J$5:$J$752,"担当者不在")</f>
        <v/>
      </c>
      <c r="G13" s="16">
        <f>COUNTIFS('架電リスト'!$B$5:$B$752,$A13,'架電リスト'!$J$5:$J$752,"資料送付")</f>
        <v/>
      </c>
      <c r="H13" s="16">
        <f>COUNTIFS('架電リスト'!$B$5:$B$752,$A13,'架電リスト'!$J$5:$J$752,"アポ獲得")</f>
        <v/>
      </c>
      <c r="I13" s="16">
        <f>COUNTIFS('架電リスト'!$B$5:$B$752,$A13,'架電リスト'!$J$5:$J$752,"検討中")</f>
        <v/>
      </c>
      <c r="J13" s="16">
        <f>COUNTIFS('架電リスト'!$B$5:$B$752,$A13,'架電リスト'!$J$5:$J$752,"NG")</f>
        <v/>
      </c>
      <c r="K13" s="16">
        <f>COUNTIFS('架電リスト'!$B$5:$B$752,$A13,'架電リスト'!$J$5:$J$752,"番号不明")</f>
        <v/>
      </c>
    </row>
    <row r="14">
      <c r="A14" s="16" t="inlineStr">
        <is>
          <t>埼玉県</t>
        </is>
      </c>
      <c r="B14" s="16">
        <f>COUNTIF('架電リスト'!$B$5:$B$752,A14)</f>
        <v/>
      </c>
      <c r="C14" s="16">
        <f>COUNTIFS('架電リスト'!$B$5:$B$752,A14,'架電リスト'!$E$5:$E$752,"&lt;&gt;")</f>
        <v/>
      </c>
      <c r="D14" s="16">
        <f>B14-COUNTIFS('架電リスト'!$B$5:$B$752,A14,'架電リスト'!$J$5:$J$752,"未架電")-COUNTIFS('架電リスト'!$B$5:$B$752,A14,'架電リスト'!$J$5:$J$752,"")</f>
        <v/>
      </c>
      <c r="E14" s="16">
        <f>COUNTIFS('架電リスト'!$B$5:$B$752,$A14,'架電リスト'!$J$5:$J$752,"不在・折返し待ち")</f>
        <v/>
      </c>
      <c r="F14" s="16">
        <f>COUNTIFS('架電リスト'!$B$5:$B$752,$A14,'架電リスト'!$J$5:$J$752,"担当者不在")</f>
        <v/>
      </c>
      <c r="G14" s="16">
        <f>COUNTIFS('架電リスト'!$B$5:$B$752,$A14,'架電リスト'!$J$5:$J$752,"資料送付")</f>
        <v/>
      </c>
      <c r="H14" s="16">
        <f>COUNTIFS('架電リスト'!$B$5:$B$752,$A14,'架電リスト'!$J$5:$J$752,"アポ獲得")</f>
        <v/>
      </c>
      <c r="I14" s="16">
        <f>COUNTIFS('架電リスト'!$B$5:$B$752,$A14,'架電リスト'!$J$5:$J$752,"検討中")</f>
        <v/>
      </c>
      <c r="J14" s="16">
        <f>COUNTIFS('架電リスト'!$B$5:$B$752,$A14,'架電リスト'!$J$5:$J$752,"NG")</f>
        <v/>
      </c>
      <c r="K14" s="16">
        <f>COUNTIFS('架電リスト'!$B$5:$B$752,$A14,'架電リスト'!$J$5:$J$752,"番号不明")</f>
        <v/>
      </c>
    </row>
    <row r="15">
      <c r="A15" s="16" t="inlineStr">
        <is>
          <t>千葉県</t>
        </is>
      </c>
      <c r="B15" s="16">
        <f>COUNTIF('架電リスト'!$B$5:$B$752,A15)</f>
        <v/>
      </c>
      <c r="C15" s="16">
        <f>COUNTIFS('架電リスト'!$B$5:$B$752,A15,'架電リスト'!$E$5:$E$752,"&lt;&gt;")</f>
        <v/>
      </c>
      <c r="D15" s="16">
        <f>B15-COUNTIFS('架電リスト'!$B$5:$B$752,A15,'架電リスト'!$J$5:$J$752,"未架電")-COUNTIFS('架電リスト'!$B$5:$B$752,A15,'架電リスト'!$J$5:$J$752,"")</f>
        <v/>
      </c>
      <c r="E15" s="16">
        <f>COUNTIFS('架電リスト'!$B$5:$B$752,$A15,'架電リスト'!$J$5:$J$752,"不在・折返し待ち")</f>
        <v/>
      </c>
      <c r="F15" s="16">
        <f>COUNTIFS('架電リスト'!$B$5:$B$752,$A15,'架電リスト'!$J$5:$J$752,"担当者不在")</f>
        <v/>
      </c>
      <c r="G15" s="16">
        <f>COUNTIFS('架電リスト'!$B$5:$B$752,$A15,'架電リスト'!$J$5:$J$752,"資料送付")</f>
        <v/>
      </c>
      <c r="H15" s="16">
        <f>COUNTIFS('架電リスト'!$B$5:$B$752,$A15,'架電リスト'!$J$5:$J$752,"アポ獲得")</f>
        <v/>
      </c>
      <c r="I15" s="16">
        <f>COUNTIFS('架電リスト'!$B$5:$B$752,$A15,'架電リスト'!$J$5:$J$752,"検討中")</f>
        <v/>
      </c>
      <c r="J15" s="16">
        <f>COUNTIFS('架電リスト'!$B$5:$B$752,$A15,'架電リスト'!$J$5:$J$752,"NG")</f>
        <v/>
      </c>
      <c r="K15" s="16">
        <f>COUNTIFS('架電リスト'!$B$5:$B$752,$A15,'架電リスト'!$J$5:$J$752,"番号不明")</f>
        <v/>
      </c>
    </row>
    <row r="16">
      <c r="A16" s="16" t="inlineStr">
        <is>
          <t>東京都</t>
        </is>
      </c>
      <c r="B16" s="16">
        <f>COUNTIF('架電リスト'!$B$5:$B$752,A16)</f>
        <v/>
      </c>
      <c r="C16" s="16">
        <f>COUNTIFS('架電リスト'!$B$5:$B$752,A16,'架電リスト'!$E$5:$E$752,"&lt;&gt;")</f>
        <v/>
      </c>
      <c r="D16" s="16">
        <f>B16-COUNTIFS('架電リスト'!$B$5:$B$752,A16,'架電リスト'!$J$5:$J$752,"未架電")-COUNTIFS('架電リスト'!$B$5:$B$752,A16,'架電リスト'!$J$5:$J$752,"")</f>
        <v/>
      </c>
      <c r="E16" s="16">
        <f>COUNTIFS('架電リスト'!$B$5:$B$752,$A16,'架電リスト'!$J$5:$J$752,"不在・折返し待ち")</f>
        <v/>
      </c>
      <c r="F16" s="16">
        <f>COUNTIFS('架電リスト'!$B$5:$B$752,$A16,'架電リスト'!$J$5:$J$752,"担当者不在")</f>
        <v/>
      </c>
      <c r="G16" s="16">
        <f>COUNTIFS('架電リスト'!$B$5:$B$752,$A16,'架電リスト'!$J$5:$J$752,"資料送付")</f>
        <v/>
      </c>
      <c r="H16" s="16">
        <f>COUNTIFS('架電リスト'!$B$5:$B$752,$A16,'架電リスト'!$J$5:$J$752,"アポ獲得")</f>
        <v/>
      </c>
      <c r="I16" s="16">
        <f>COUNTIFS('架電リスト'!$B$5:$B$752,$A16,'架電リスト'!$J$5:$J$752,"検討中")</f>
        <v/>
      </c>
      <c r="J16" s="16">
        <f>COUNTIFS('架電リスト'!$B$5:$B$752,$A16,'架電リスト'!$J$5:$J$752,"NG")</f>
        <v/>
      </c>
      <c r="K16" s="16">
        <f>COUNTIFS('架電リスト'!$B$5:$B$752,$A16,'架電リスト'!$J$5:$J$752,"番号不明")</f>
        <v/>
      </c>
    </row>
    <row r="17">
      <c r="A17" s="16" t="inlineStr">
        <is>
          <t>神奈川県</t>
        </is>
      </c>
      <c r="B17" s="16">
        <f>COUNTIF('架電リスト'!$B$5:$B$752,A17)</f>
        <v/>
      </c>
      <c r="C17" s="16">
        <f>COUNTIFS('架電リスト'!$B$5:$B$752,A17,'架電リスト'!$E$5:$E$752,"&lt;&gt;")</f>
        <v/>
      </c>
      <c r="D17" s="16">
        <f>B17-COUNTIFS('架電リスト'!$B$5:$B$752,A17,'架電リスト'!$J$5:$J$752,"未架電")-COUNTIFS('架電リスト'!$B$5:$B$752,A17,'架電リスト'!$J$5:$J$752,"")</f>
        <v/>
      </c>
      <c r="E17" s="16">
        <f>COUNTIFS('架電リスト'!$B$5:$B$752,$A17,'架電リスト'!$J$5:$J$752,"不在・折返し待ち")</f>
        <v/>
      </c>
      <c r="F17" s="16">
        <f>COUNTIFS('架電リスト'!$B$5:$B$752,$A17,'架電リスト'!$J$5:$J$752,"担当者不在")</f>
        <v/>
      </c>
      <c r="G17" s="16">
        <f>COUNTIFS('架電リスト'!$B$5:$B$752,$A17,'架電リスト'!$J$5:$J$752,"資料送付")</f>
        <v/>
      </c>
      <c r="H17" s="16">
        <f>COUNTIFS('架電リスト'!$B$5:$B$752,$A17,'架電リスト'!$J$5:$J$752,"アポ獲得")</f>
        <v/>
      </c>
      <c r="I17" s="16">
        <f>COUNTIFS('架電リスト'!$B$5:$B$752,$A17,'架電リスト'!$J$5:$J$752,"検討中")</f>
        <v/>
      </c>
      <c r="J17" s="16">
        <f>COUNTIFS('架電リスト'!$B$5:$B$752,$A17,'架電リスト'!$J$5:$J$752,"NG")</f>
        <v/>
      </c>
      <c r="K17" s="16">
        <f>COUNTIFS('架電リスト'!$B$5:$B$752,$A17,'架電リスト'!$J$5:$J$752,"番号不明")</f>
        <v/>
      </c>
    </row>
    <row r="18">
      <c r="A18" s="16" t="inlineStr">
        <is>
          <t>新潟県</t>
        </is>
      </c>
      <c r="B18" s="16">
        <f>COUNTIF('架電リスト'!$B$5:$B$752,A18)</f>
        <v/>
      </c>
      <c r="C18" s="16">
        <f>COUNTIFS('架電リスト'!$B$5:$B$752,A18,'架電リスト'!$E$5:$E$752,"&lt;&gt;")</f>
        <v/>
      </c>
      <c r="D18" s="16">
        <f>B18-COUNTIFS('架電リスト'!$B$5:$B$752,A18,'架電リスト'!$J$5:$J$752,"未架電")-COUNTIFS('架電リスト'!$B$5:$B$752,A18,'架電リスト'!$J$5:$J$752,"")</f>
        <v/>
      </c>
      <c r="E18" s="16">
        <f>COUNTIFS('架電リスト'!$B$5:$B$752,$A18,'架電リスト'!$J$5:$J$752,"不在・折返し待ち")</f>
        <v/>
      </c>
      <c r="F18" s="16">
        <f>COUNTIFS('架電リスト'!$B$5:$B$752,$A18,'架電リスト'!$J$5:$J$752,"担当者不在")</f>
        <v/>
      </c>
      <c r="G18" s="16">
        <f>COUNTIFS('架電リスト'!$B$5:$B$752,$A18,'架電リスト'!$J$5:$J$752,"資料送付")</f>
        <v/>
      </c>
      <c r="H18" s="16">
        <f>COUNTIFS('架電リスト'!$B$5:$B$752,$A18,'架電リスト'!$J$5:$J$752,"アポ獲得")</f>
        <v/>
      </c>
      <c r="I18" s="16">
        <f>COUNTIFS('架電リスト'!$B$5:$B$752,$A18,'架電リスト'!$J$5:$J$752,"検討中")</f>
        <v/>
      </c>
      <c r="J18" s="16">
        <f>COUNTIFS('架電リスト'!$B$5:$B$752,$A18,'架電リスト'!$J$5:$J$752,"NG")</f>
        <v/>
      </c>
      <c r="K18" s="16">
        <f>COUNTIFS('架電リスト'!$B$5:$B$752,$A18,'架電リスト'!$J$5:$J$752,"番号不明")</f>
        <v/>
      </c>
    </row>
    <row r="19">
      <c r="A19" s="16" t="inlineStr">
        <is>
          <t>富山県</t>
        </is>
      </c>
      <c r="B19" s="16">
        <f>COUNTIF('架電リスト'!$B$5:$B$752,A19)</f>
        <v/>
      </c>
      <c r="C19" s="16">
        <f>COUNTIFS('架電リスト'!$B$5:$B$752,A19,'架電リスト'!$E$5:$E$752,"&lt;&gt;")</f>
        <v/>
      </c>
      <c r="D19" s="16">
        <f>B19-COUNTIFS('架電リスト'!$B$5:$B$752,A19,'架電リスト'!$J$5:$J$752,"未架電")-COUNTIFS('架電リスト'!$B$5:$B$752,A19,'架電リスト'!$J$5:$J$752,"")</f>
        <v/>
      </c>
      <c r="E19" s="16">
        <f>COUNTIFS('架電リスト'!$B$5:$B$752,$A19,'架電リスト'!$J$5:$J$752,"不在・折返し待ち")</f>
        <v/>
      </c>
      <c r="F19" s="16">
        <f>COUNTIFS('架電リスト'!$B$5:$B$752,$A19,'架電リスト'!$J$5:$J$752,"担当者不在")</f>
        <v/>
      </c>
      <c r="G19" s="16">
        <f>COUNTIFS('架電リスト'!$B$5:$B$752,$A19,'架電リスト'!$J$5:$J$752,"資料送付")</f>
        <v/>
      </c>
      <c r="H19" s="16">
        <f>COUNTIFS('架電リスト'!$B$5:$B$752,$A19,'架電リスト'!$J$5:$J$752,"アポ獲得")</f>
        <v/>
      </c>
      <c r="I19" s="16">
        <f>COUNTIFS('架電リスト'!$B$5:$B$752,$A19,'架電リスト'!$J$5:$J$752,"検討中")</f>
        <v/>
      </c>
      <c r="J19" s="16">
        <f>COUNTIFS('架電リスト'!$B$5:$B$752,$A19,'架電リスト'!$J$5:$J$752,"NG")</f>
        <v/>
      </c>
      <c r="K19" s="16">
        <f>COUNTIFS('架電リスト'!$B$5:$B$752,$A19,'架電リスト'!$J$5:$J$752,"番号不明")</f>
        <v/>
      </c>
    </row>
    <row r="20">
      <c r="A20" s="16" t="inlineStr">
        <is>
          <t>石川県</t>
        </is>
      </c>
      <c r="B20" s="16">
        <f>COUNTIF('架電リスト'!$B$5:$B$752,A20)</f>
        <v/>
      </c>
      <c r="C20" s="16">
        <f>COUNTIFS('架電リスト'!$B$5:$B$752,A20,'架電リスト'!$E$5:$E$752,"&lt;&gt;")</f>
        <v/>
      </c>
      <c r="D20" s="16">
        <f>B20-COUNTIFS('架電リスト'!$B$5:$B$752,A20,'架電リスト'!$J$5:$J$752,"未架電")-COUNTIFS('架電リスト'!$B$5:$B$752,A20,'架電リスト'!$J$5:$J$752,"")</f>
        <v/>
      </c>
      <c r="E20" s="16">
        <f>COUNTIFS('架電リスト'!$B$5:$B$752,$A20,'架電リスト'!$J$5:$J$752,"不在・折返し待ち")</f>
        <v/>
      </c>
      <c r="F20" s="16">
        <f>COUNTIFS('架電リスト'!$B$5:$B$752,$A20,'架電リスト'!$J$5:$J$752,"担当者不在")</f>
        <v/>
      </c>
      <c r="G20" s="16">
        <f>COUNTIFS('架電リスト'!$B$5:$B$752,$A20,'架電リスト'!$J$5:$J$752,"資料送付")</f>
        <v/>
      </c>
      <c r="H20" s="16">
        <f>COUNTIFS('架電リスト'!$B$5:$B$752,$A20,'架電リスト'!$J$5:$J$752,"アポ獲得")</f>
        <v/>
      </c>
      <c r="I20" s="16">
        <f>COUNTIFS('架電リスト'!$B$5:$B$752,$A20,'架電リスト'!$J$5:$J$752,"検討中")</f>
        <v/>
      </c>
      <c r="J20" s="16">
        <f>COUNTIFS('架電リスト'!$B$5:$B$752,$A20,'架電リスト'!$J$5:$J$752,"NG")</f>
        <v/>
      </c>
      <c r="K20" s="16">
        <f>COUNTIFS('架電リスト'!$B$5:$B$752,$A20,'架電リスト'!$J$5:$J$752,"番号不明")</f>
        <v/>
      </c>
    </row>
    <row r="21">
      <c r="A21" s="16" t="inlineStr">
        <is>
          <t>福井県</t>
        </is>
      </c>
      <c r="B21" s="16">
        <f>COUNTIF('架電リスト'!$B$5:$B$752,A21)</f>
        <v/>
      </c>
      <c r="C21" s="16">
        <f>COUNTIFS('架電リスト'!$B$5:$B$752,A21,'架電リスト'!$E$5:$E$752,"&lt;&gt;")</f>
        <v/>
      </c>
      <c r="D21" s="16">
        <f>B21-COUNTIFS('架電リスト'!$B$5:$B$752,A21,'架電リスト'!$J$5:$J$752,"未架電")-COUNTIFS('架電リスト'!$B$5:$B$752,A21,'架電リスト'!$J$5:$J$752,"")</f>
        <v/>
      </c>
      <c r="E21" s="16">
        <f>COUNTIFS('架電リスト'!$B$5:$B$752,$A21,'架電リスト'!$J$5:$J$752,"不在・折返し待ち")</f>
        <v/>
      </c>
      <c r="F21" s="16">
        <f>COUNTIFS('架電リスト'!$B$5:$B$752,$A21,'架電リスト'!$J$5:$J$752,"担当者不在")</f>
        <v/>
      </c>
      <c r="G21" s="16">
        <f>COUNTIFS('架電リスト'!$B$5:$B$752,$A21,'架電リスト'!$J$5:$J$752,"資料送付")</f>
        <v/>
      </c>
      <c r="H21" s="16">
        <f>COUNTIFS('架電リスト'!$B$5:$B$752,$A21,'架電リスト'!$J$5:$J$752,"アポ獲得")</f>
        <v/>
      </c>
      <c r="I21" s="16">
        <f>COUNTIFS('架電リスト'!$B$5:$B$752,$A21,'架電リスト'!$J$5:$J$752,"検討中")</f>
        <v/>
      </c>
      <c r="J21" s="16">
        <f>COUNTIFS('架電リスト'!$B$5:$B$752,$A21,'架電リスト'!$J$5:$J$752,"NG")</f>
        <v/>
      </c>
      <c r="K21" s="16">
        <f>COUNTIFS('架電リスト'!$B$5:$B$752,$A21,'架電リスト'!$J$5:$J$752,"番号不明")</f>
        <v/>
      </c>
    </row>
    <row r="22">
      <c r="A22" s="16" t="inlineStr">
        <is>
          <t>山梨県</t>
        </is>
      </c>
      <c r="B22" s="16">
        <f>COUNTIF('架電リスト'!$B$5:$B$752,A22)</f>
        <v/>
      </c>
      <c r="C22" s="16">
        <f>COUNTIFS('架電リスト'!$B$5:$B$752,A22,'架電リスト'!$E$5:$E$752,"&lt;&gt;")</f>
        <v/>
      </c>
      <c r="D22" s="16">
        <f>B22-COUNTIFS('架電リスト'!$B$5:$B$752,A22,'架電リスト'!$J$5:$J$752,"未架電")-COUNTIFS('架電リスト'!$B$5:$B$752,A22,'架電リスト'!$J$5:$J$752,"")</f>
        <v/>
      </c>
      <c r="E22" s="16">
        <f>COUNTIFS('架電リスト'!$B$5:$B$752,$A22,'架電リスト'!$J$5:$J$752,"不在・折返し待ち")</f>
        <v/>
      </c>
      <c r="F22" s="16">
        <f>COUNTIFS('架電リスト'!$B$5:$B$752,$A22,'架電リスト'!$J$5:$J$752,"担当者不在")</f>
        <v/>
      </c>
      <c r="G22" s="16">
        <f>COUNTIFS('架電リスト'!$B$5:$B$752,$A22,'架電リスト'!$J$5:$J$752,"資料送付")</f>
        <v/>
      </c>
      <c r="H22" s="16">
        <f>COUNTIFS('架電リスト'!$B$5:$B$752,$A22,'架電リスト'!$J$5:$J$752,"アポ獲得")</f>
        <v/>
      </c>
      <c r="I22" s="16">
        <f>COUNTIFS('架電リスト'!$B$5:$B$752,$A22,'架電リスト'!$J$5:$J$752,"検討中")</f>
        <v/>
      </c>
      <c r="J22" s="16">
        <f>COUNTIFS('架電リスト'!$B$5:$B$752,$A22,'架電リスト'!$J$5:$J$752,"NG")</f>
        <v/>
      </c>
      <c r="K22" s="16">
        <f>COUNTIFS('架電リスト'!$B$5:$B$752,$A22,'架電リスト'!$J$5:$J$752,"番号不明")</f>
        <v/>
      </c>
    </row>
    <row r="23">
      <c r="A23" s="16" t="inlineStr">
        <is>
          <t>長野県</t>
        </is>
      </c>
      <c r="B23" s="16">
        <f>COUNTIF('架電リスト'!$B$5:$B$752,A23)</f>
        <v/>
      </c>
      <c r="C23" s="16">
        <f>COUNTIFS('架電リスト'!$B$5:$B$752,A23,'架電リスト'!$E$5:$E$752,"&lt;&gt;")</f>
        <v/>
      </c>
      <c r="D23" s="16">
        <f>B23-COUNTIFS('架電リスト'!$B$5:$B$752,A23,'架電リスト'!$J$5:$J$752,"未架電")-COUNTIFS('架電リスト'!$B$5:$B$752,A23,'架電リスト'!$J$5:$J$752,"")</f>
        <v/>
      </c>
      <c r="E23" s="16">
        <f>COUNTIFS('架電リスト'!$B$5:$B$752,$A23,'架電リスト'!$J$5:$J$752,"不在・折返し待ち")</f>
        <v/>
      </c>
      <c r="F23" s="16">
        <f>COUNTIFS('架電リスト'!$B$5:$B$752,$A23,'架電リスト'!$J$5:$J$752,"担当者不在")</f>
        <v/>
      </c>
      <c r="G23" s="16">
        <f>COUNTIFS('架電リスト'!$B$5:$B$752,$A23,'架電リスト'!$J$5:$J$752,"資料送付")</f>
        <v/>
      </c>
      <c r="H23" s="16">
        <f>COUNTIFS('架電リスト'!$B$5:$B$752,$A23,'架電リスト'!$J$5:$J$752,"アポ獲得")</f>
        <v/>
      </c>
      <c r="I23" s="16">
        <f>COUNTIFS('架電リスト'!$B$5:$B$752,$A23,'架電リスト'!$J$5:$J$752,"検討中")</f>
        <v/>
      </c>
      <c r="J23" s="16">
        <f>COUNTIFS('架電リスト'!$B$5:$B$752,$A23,'架電リスト'!$J$5:$J$752,"NG")</f>
        <v/>
      </c>
      <c r="K23" s="16">
        <f>COUNTIFS('架電リスト'!$B$5:$B$752,$A23,'架電リスト'!$J$5:$J$752,"番号不明")</f>
        <v/>
      </c>
    </row>
    <row r="24">
      <c r="A24" s="16" t="inlineStr">
        <is>
          <t>静岡県</t>
        </is>
      </c>
      <c r="B24" s="16">
        <f>COUNTIF('架電リスト'!$B$5:$B$752,A24)</f>
        <v/>
      </c>
      <c r="C24" s="16">
        <f>COUNTIFS('架電リスト'!$B$5:$B$752,A24,'架電リスト'!$E$5:$E$752,"&lt;&gt;")</f>
        <v/>
      </c>
      <c r="D24" s="16">
        <f>B24-COUNTIFS('架電リスト'!$B$5:$B$752,A24,'架電リスト'!$J$5:$J$752,"未架電")-COUNTIFS('架電リスト'!$B$5:$B$752,A24,'架電リスト'!$J$5:$J$752,"")</f>
        <v/>
      </c>
      <c r="E24" s="16">
        <f>COUNTIFS('架電リスト'!$B$5:$B$752,$A24,'架電リスト'!$J$5:$J$752,"不在・折返し待ち")</f>
        <v/>
      </c>
      <c r="F24" s="16">
        <f>COUNTIFS('架電リスト'!$B$5:$B$752,$A24,'架電リスト'!$J$5:$J$752,"担当者不在")</f>
        <v/>
      </c>
      <c r="G24" s="16">
        <f>COUNTIFS('架電リスト'!$B$5:$B$752,$A24,'架電リスト'!$J$5:$J$752,"資料送付")</f>
        <v/>
      </c>
      <c r="H24" s="16">
        <f>COUNTIFS('架電リスト'!$B$5:$B$752,$A24,'架電リスト'!$J$5:$J$752,"アポ獲得")</f>
        <v/>
      </c>
      <c r="I24" s="16">
        <f>COUNTIFS('架電リスト'!$B$5:$B$752,$A24,'架電リスト'!$J$5:$J$752,"検討中")</f>
        <v/>
      </c>
      <c r="J24" s="16">
        <f>COUNTIFS('架電リスト'!$B$5:$B$752,$A24,'架電リスト'!$J$5:$J$752,"NG")</f>
        <v/>
      </c>
      <c r="K24" s="16">
        <f>COUNTIFS('架電リスト'!$B$5:$B$752,$A24,'架電リスト'!$J$5:$J$752,"番号不明")</f>
        <v/>
      </c>
    </row>
    <row r="25">
      <c r="A25" s="17" t="inlineStr">
        <is>
          <t>合計</t>
        </is>
      </c>
      <c r="B25" s="17">
        <f>SUM(B4:B24)</f>
        <v/>
      </c>
      <c r="C25" s="17">
        <f>SUM(C4:C24)</f>
        <v/>
      </c>
      <c r="D25" s="17">
        <f>SUM(D4:D24)</f>
        <v/>
      </c>
      <c r="E25" s="17">
        <f>SUM(E4:E24)</f>
        <v/>
      </c>
      <c r="F25" s="17">
        <f>SUM(F4:F24)</f>
        <v/>
      </c>
      <c r="G25" s="17">
        <f>SUM(G4:G24)</f>
        <v/>
      </c>
      <c r="H25" s="17">
        <f>SUM(H4:H24)</f>
        <v/>
      </c>
      <c r="I25" s="17">
        <f>SUM(I4:I24)</f>
        <v/>
      </c>
      <c r="J25" s="17">
        <f>SUM(J4:J24)</f>
        <v/>
      </c>
      <c r="K25" s="17">
        <f>SUM(K4:K24)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・出典：ご提供いただいた学校ネットの検索結果（私立高校・北海道・東北・関東・中部21都道県、748校）の貼り付けデータ。並び順は都道府県ごとに元データの掲載順です。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2026-10-13T08:50:38Z</dcterms:created>
  <dcterms:modified xsi:type="dcterms:W3CDTF">2026-10-13T08:50:39Z</dcterms:modified>
</cp:coreProperties>
</file>