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'架電リスト'!$A$4:$O$21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0948.html" TargetMode="External" Id="rId1" /><Relationship Type="http://schemas.openxmlformats.org/officeDocument/2006/relationships/hyperlink" Target="https://www.gakkou.net/kou/view/index_300955.html" TargetMode="External" Id="rId2" /><Relationship Type="http://schemas.openxmlformats.org/officeDocument/2006/relationships/hyperlink" Target="https://www.gakkou.net/kou/view/index_300932.html" TargetMode="External" Id="rId3" /><Relationship Type="http://schemas.openxmlformats.org/officeDocument/2006/relationships/hyperlink" Target="https://www.gakkou.net/kou/view/index_306433.html" TargetMode="External" Id="rId4" /><Relationship Type="http://schemas.openxmlformats.org/officeDocument/2006/relationships/hyperlink" Target="https://www.gakkou.net/kou/view/index_300985.html" TargetMode="External" Id="rId5" /><Relationship Type="http://schemas.openxmlformats.org/officeDocument/2006/relationships/hyperlink" Target="https://www.gakkou.net/kou/view/index_306711.html" TargetMode="External" Id="rId6" /><Relationship Type="http://schemas.openxmlformats.org/officeDocument/2006/relationships/hyperlink" Target="https://www.gakkou.net/kou/view/index_300942.html" TargetMode="External" Id="rId7" /><Relationship Type="http://schemas.openxmlformats.org/officeDocument/2006/relationships/hyperlink" Target="https://www.gakkou.net/kou/view/index_300902.html" TargetMode="External" Id="rId8" /><Relationship Type="http://schemas.openxmlformats.org/officeDocument/2006/relationships/hyperlink" Target="https://www.gakkou.net/kou/view/index_300900.html" TargetMode="External" Id="rId9" /><Relationship Type="http://schemas.openxmlformats.org/officeDocument/2006/relationships/hyperlink" Target="https://www.gakkou.net/kou/view/index_300921.html" TargetMode="External" Id="rId10" /><Relationship Type="http://schemas.openxmlformats.org/officeDocument/2006/relationships/hyperlink" Target="https://www.gakkou.net/kou/view/index_300947.html" TargetMode="External" Id="rId11" /><Relationship Type="http://schemas.openxmlformats.org/officeDocument/2006/relationships/hyperlink" Target="https://www.gakkou.net/kou/view/index_300889.html" TargetMode="External" Id="rId12" /><Relationship Type="http://schemas.openxmlformats.org/officeDocument/2006/relationships/hyperlink" Target="https://www.gakkou.net/kou/view/index_300919.html" TargetMode="External" Id="rId13" /><Relationship Type="http://schemas.openxmlformats.org/officeDocument/2006/relationships/hyperlink" Target="https://www.gakkou.net/kou/view/index_300923.html" TargetMode="External" Id="rId14" /><Relationship Type="http://schemas.openxmlformats.org/officeDocument/2006/relationships/hyperlink" Target="https://www.gakkou.net/kou/view/index_306413.html" TargetMode="External" Id="rId15" /><Relationship Type="http://schemas.openxmlformats.org/officeDocument/2006/relationships/hyperlink" Target="https://www.gakkou.net/kou/view/index_300906.html" TargetMode="External" Id="rId16" /><Relationship Type="http://schemas.openxmlformats.org/officeDocument/2006/relationships/hyperlink" Target="https://www.gakkou.net/kou/view/index_300904.html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架電リスト（福島県／17校）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福島県</t>
        </is>
      </c>
      <c r="C5" s="5" t="inlineStr">
        <is>
          <t>会津若松市</t>
        </is>
      </c>
      <c r="D5" s="5" t="inlineStr">
        <is>
          <t>会津北嶺高等学校</t>
        </is>
      </c>
      <c r="E5" s="6" t="inlineStr">
        <is>
          <t>0242-22-1004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会津若松市の資料と学校情報サイトで一致。2017年に若松第一高校から改称</t>
        </is>
      </c>
      <c r="N5" s="11" t="inlineStr">
        <is>
          <t>https://www.city.aizuwakamatsu.fukushima.jp/info/2024041000377/ ; https://school.js88.com/scl_h/22031860/</t>
        </is>
      </c>
      <c r="O5" s="12" t="inlineStr">
        <is>
          <t>開く</t>
        </is>
      </c>
    </row>
    <row r="6">
      <c r="A6" s="4" t="n">
        <v>2</v>
      </c>
      <c r="B6" s="5" t="inlineStr">
        <is>
          <t>福島県</t>
        </is>
      </c>
      <c r="C6" s="5" t="inlineStr">
        <is>
          <t>会津若松市</t>
        </is>
      </c>
      <c r="D6" s="5" t="inlineStr">
        <is>
          <t>会津若松ザベリオ学園高等学校</t>
        </is>
      </c>
      <c r="E6" s="6" t="inlineStr">
        <is>
          <t>0242-27-1970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公式サイトで確認。中高共通。一部の地図サイトではFAX（0242-27-3300）が電話番号として誤って載っているので注意</t>
        </is>
      </c>
      <c r="N6" s="11" t="inlineStr">
        <is>
          <t>https://www.aizu-xaverio.ed.jp/ ; https://www.city.aizuwakamatsu.fukushima.jp/info/2024041000384/</t>
        </is>
      </c>
      <c r="O6" s="12" t="inlineStr">
        <is>
          <t>開く</t>
        </is>
      </c>
    </row>
    <row r="7">
      <c r="A7" s="4" t="n">
        <v>3</v>
      </c>
      <c r="B7" s="5" t="inlineStr">
        <is>
          <t>福島県</t>
        </is>
      </c>
      <c r="C7" s="5" t="inlineStr">
        <is>
          <t>石川町</t>
        </is>
      </c>
      <c r="D7" s="5" t="inlineStr">
        <is>
          <t>石川高等学校</t>
        </is>
      </c>
      <c r="E7" s="6" t="inlineStr">
        <is>
          <t>0247-26-5151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私立（通称「学法石川」）。県立石川高校とは別なので注意。石川義塾中学校と共通</t>
        </is>
      </c>
      <c r="N7" s="11" t="inlineStr">
        <is>
          <t>https://ishikawa-gijuku.ac.jp/lp2020/ ; https://school.js88.com/scl_h/22031850</t>
        </is>
      </c>
      <c r="O7" s="12" t="inlineStr">
        <is>
          <t>開く</t>
        </is>
      </c>
    </row>
    <row r="8">
      <c r="A8" s="4" t="n">
        <v>4</v>
      </c>
      <c r="B8" s="5" t="inlineStr">
        <is>
          <t>福島県</t>
        </is>
      </c>
      <c r="C8" s="5" t="inlineStr">
        <is>
          <t>いわき市</t>
        </is>
      </c>
      <c r="D8" s="5" t="inlineStr">
        <is>
          <t>いわき秀英高等学校</t>
        </is>
      </c>
      <c r="E8" s="6" t="inlineStr">
        <is>
          <t>0246-75-2111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福島県の資料と学校情報サイトで一致</t>
        </is>
      </c>
      <c r="N8" s="11" t="inlineStr">
        <is>
          <t>https://www.pref.fukushima.lg.jp/uploaded/attachment/598705.pdf ; https://www.minkou.jp/junior/school/94497/</t>
        </is>
      </c>
      <c r="O8" s="12" t="inlineStr">
        <is>
          <t>開く</t>
        </is>
      </c>
    </row>
    <row r="9">
      <c r="A9" s="4" t="n">
        <v>5</v>
      </c>
      <c r="B9" s="5" t="inlineStr">
        <is>
          <t>福島県</t>
        </is>
      </c>
      <c r="C9" s="5" t="inlineStr">
        <is>
          <t>いわき市</t>
        </is>
      </c>
      <c r="D9" s="5" t="inlineStr">
        <is>
          <t>磐城第一高等学校</t>
        </is>
      </c>
      <c r="E9" s="6" t="inlineStr">
        <is>
          <t>0246-26-1251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公式サイトで確認。私立の女子校。県立磐城高校（0246-23-2566）とは別なので注意</t>
        </is>
      </c>
      <c r="N9" s="11" t="inlineStr">
        <is>
          <t>https://www.iwaki1-h.ed.jp/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福島県</t>
        </is>
      </c>
      <c r="C10" s="5" t="inlineStr">
        <is>
          <t>いわき市</t>
        </is>
      </c>
      <c r="D10" s="5" t="inlineStr">
        <is>
          <t>磐城緑蔭高等学校</t>
        </is>
      </c>
      <c r="E10" s="6" t="inlineStr">
        <is>
          <t>0246-25-6341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福島県の資料と学校情報サイトで一致</t>
        </is>
      </c>
      <c r="N10" s="11" t="inlineStr">
        <is>
          <t>https://www.pref.fukushima.lg.jp/uploaded/attachment/598705.pdf ; https://school.js88.com/scl_h/22031900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福島県</t>
        </is>
      </c>
      <c r="C11" s="5" t="inlineStr">
        <is>
          <t>郡山市</t>
        </is>
      </c>
      <c r="D11" s="5" t="inlineStr">
        <is>
          <t>郡山女子大学附属高等学校</t>
        </is>
      </c>
      <c r="E11" s="6" t="inlineStr">
        <is>
          <t>024-932-4848</t>
        </is>
      </c>
      <c r="F11" s="13" t="inlineStr">
        <is>
          <t>中</t>
        </is>
      </c>
      <c r="G11" s="5" t="inlineStr">
        <is>
          <t>普通科・専門学科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大学と共通の代表番号。高校に取り次いでもらう形になる可能性あり。公式サイトでは未確認</t>
        </is>
      </c>
      <c r="N11" s="11" t="inlineStr">
        <is>
          <t>https://school.js88.com/scl_h/22031810/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福島県</t>
        </is>
      </c>
      <c r="C12" s="5" t="inlineStr">
        <is>
          <t>福島市</t>
        </is>
      </c>
      <c r="D12" s="5" t="inlineStr">
        <is>
          <t>桜の聖母学院高等学校</t>
        </is>
      </c>
      <c r="E12" s="6" t="inlineStr">
        <is>
          <t>024-535-3141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福島県の資料と学校情報サイトで一致</t>
        </is>
      </c>
      <c r="N12" s="11" t="inlineStr">
        <is>
          <t>https://www.pref.fukushima.lg.jp/uploaded/attachment/598705.pdf ; https://school.js88.com/scl_h/22031780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福島県</t>
        </is>
      </c>
      <c r="C13" s="5" t="inlineStr">
        <is>
          <t>福島市</t>
        </is>
      </c>
      <c r="D13" s="5" t="inlineStr">
        <is>
          <t>松韻学園福島高等学校</t>
        </is>
      </c>
      <c r="E13" s="6" t="inlineStr">
        <is>
          <t>024-534-3480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福島県の資料と学校情報サイトで一致</t>
        </is>
      </c>
      <c r="N13" s="11" t="inlineStr">
        <is>
          <t>https://www.pref.fukushima.lg.jp/uploaded/attachment/598705.pdf ; https://school.js88.com/scl_h/22031760/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福島県</t>
        </is>
      </c>
      <c r="C14" s="5" t="inlineStr">
        <is>
          <t>郡山市</t>
        </is>
      </c>
      <c r="D14" s="5" t="inlineStr">
        <is>
          <t>尚志高等学校</t>
        </is>
      </c>
      <c r="E14" s="6" t="inlineStr">
        <is>
          <t>024-951-3500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公式サイトで確認。学校法人の本部（024-951-1476）とは別</t>
        </is>
      </c>
      <c r="N14" s="11" t="inlineStr">
        <is>
          <t>https://www.shoshi.ed.jp/highschool/traffic/index.html ; https://www.mapion.co.jp/phonebook/M11004/07203/ILSP0000041943_ipclm/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福島県</t>
        </is>
      </c>
      <c r="C15" s="5" t="inlineStr">
        <is>
          <t>会津若松市</t>
        </is>
      </c>
      <c r="D15" s="5" t="inlineStr">
        <is>
          <t>仁愛高等学校</t>
        </is>
      </c>
      <c r="E15" s="6" t="inlineStr">
        <is>
          <t>0242-25-0581</t>
        </is>
      </c>
      <c r="F15" s="7" t="inlineStr">
        <is>
          <t>高</t>
        </is>
      </c>
      <c r="G15" s="5" t="inlineStr">
        <is>
          <t>専門学科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福島県の資料と学校情報サイトで一致</t>
        </is>
      </c>
      <c r="N15" s="11" t="inlineStr">
        <is>
          <t>https://school.js88.com/scl_h/34028620/ ; https://www.pref.fukushima.lg.jp/uploaded/attachment/598705.pdf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福島県</t>
        </is>
      </c>
      <c r="C16" s="5" t="inlineStr">
        <is>
          <t>伊達市</t>
        </is>
      </c>
      <c r="D16" s="5" t="inlineStr">
        <is>
          <t>聖光学院高等学校（福島県）</t>
        </is>
      </c>
      <c r="E16" s="6" t="inlineStr">
        <is>
          <t>024-583-3325</t>
        </is>
      </c>
      <c r="F16" s="7" t="inlineStr">
        <is>
          <t>高</t>
        </is>
      </c>
      <c r="G16" s="5" t="inlineStr">
        <is>
          <t>普通科・専門学科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公式資料に「代表」と記載（第一校舎・伊達市）。第二校舎（桑折町）は024-583-2168</t>
        </is>
      </c>
      <c r="N16" s="11" t="inlineStr">
        <is>
          <t>https://www.seikogakuin.jp/pdf_file/2023outline.pdf?v=3 ; http://www.seikogakuin.jp/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福島県</t>
        </is>
      </c>
      <c r="C17" s="5" t="inlineStr">
        <is>
          <t>郡山市</t>
        </is>
      </c>
      <c r="D17" s="5" t="inlineStr">
        <is>
          <t>帝京安積高等学校</t>
        </is>
      </c>
      <c r="E17" s="6" t="inlineStr">
        <is>
          <t>024-941-7755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学校情報サイト2件で一致、公式サイトでは未確認</t>
        </is>
      </c>
      <c r="N17" s="11" t="inlineStr">
        <is>
          <t>https://school.js88.com/scl_h/22031820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福島県</t>
        </is>
      </c>
      <c r="C18" s="5" t="inlineStr">
        <is>
          <t>郡山市</t>
        </is>
      </c>
      <c r="D18" s="5" t="inlineStr">
        <is>
          <t>日本大学東北高等学校</t>
        </is>
      </c>
      <c r="E18" s="6" t="inlineStr">
        <is>
          <t>024-956-8840</t>
        </is>
      </c>
      <c r="F18" s="13" t="inlineStr">
        <is>
          <t>中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公式サイトの住所欄の番号（「代表」の表記なし）。入試・学校案内の問い合わせは024-956-8838、広報部は024-956-8856</t>
        </is>
      </c>
      <c r="N18" s="11" t="inlineStr">
        <is>
          <t>https://www.tohoku.hs.nihon-u.ac.jp/inq/inq.html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福島県</t>
        </is>
      </c>
      <c r="C19" s="5" t="inlineStr">
        <is>
          <t>いわき市</t>
        </is>
      </c>
      <c r="D19" s="5" t="inlineStr">
        <is>
          <t>東日本国際大学附属昌平高等学校</t>
        </is>
      </c>
      <c r="E19" s="6" t="inlineStr">
        <is>
          <t>0246-57-1123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公式サイトに「代表」と記載。中高共通。一部サイトの0246-88-6743は公式と異なるため不採用</t>
        </is>
      </c>
      <c r="N19" s="11" t="inlineStr">
        <is>
          <t>https://shohei-chukou.ac.jp/school_guidance/access/ ; https://shohei-chukou.ac.jp/contact/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福島県</t>
        </is>
      </c>
      <c r="C20" s="5" t="inlineStr">
        <is>
          <t>福島市</t>
        </is>
      </c>
      <c r="D20" s="5" t="inlineStr">
        <is>
          <t>福島成蹊高等学校</t>
        </is>
      </c>
      <c r="E20" s="6" t="inlineStr">
        <is>
          <t>024-522-2049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福島県・文部科学省の資料と学校情報サイトで一致。中学校は別番号（024-526-2282）</t>
        </is>
      </c>
      <c r="N20" s="11" t="inlineStr">
        <is>
          <t>https://www.pref.fukushima.lg.jp/uploaded/attachment/598705.pdf ; https://school.js88.com/scl_h/22031770?page=5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福島県</t>
        </is>
      </c>
      <c r="C21" s="5" t="inlineStr">
        <is>
          <t>福島市</t>
        </is>
      </c>
      <c r="D21" s="5" t="inlineStr">
        <is>
          <t>福島東稜高等学校</t>
        </is>
      </c>
      <c r="E21" s="6" t="inlineStr">
        <is>
          <t>024-535-3316</t>
        </is>
      </c>
      <c r="F21" s="7" t="inlineStr">
        <is>
          <t>高</t>
        </is>
      </c>
      <c r="G21" s="5" t="inlineStr">
        <is>
          <t>普通科・専門学科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公式サイトで確認</t>
        </is>
      </c>
      <c r="N21" s="11" t="inlineStr">
        <is>
          <t>https://www.toryo.ac.jp/ ; https://www.mapion.co.jp/phonebook/M11004/07201/ILSP0000040636_ipclm/</t>
        </is>
      </c>
      <c r="O21" s="12" t="inlineStr">
        <is>
          <t>開く</t>
        </is>
      </c>
    </row>
  </sheetData>
  <autoFilter ref="A4:O21"/>
  <conditionalFormatting sqref="A5:O21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1" showDropDown="0" showInputMessage="0" showErrorMessage="0" allowBlank="1" type="list">
      <formula1>"未架電,不在・折返し待ち,担当者不在,資料送付,アポ獲得,検討中,NG,番号不明"</formula1>
    </dataValidation>
    <dataValidation sqref="H5:H21 K5:K21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いわき市</t>
        </is>
      </c>
      <c r="B4" s="14">
        <f>COUNTIF('架電リスト'!$C$5:$C$21,A4)</f>
        <v/>
      </c>
      <c r="C4" s="14">
        <f>COUNTIFS('架電リスト'!$C$5:$C$21,A4,'架電リスト'!$E$5:$E$21,"&lt;&gt;")</f>
        <v/>
      </c>
      <c r="D4" s="14">
        <f>B4-COUNTIFS('架電リスト'!$C$5:$C$21,A4,'架電リスト'!$J$5:$J$21,"未架電")-COUNTIFS('架電リスト'!$C$5:$C$21,A4,'架電リスト'!$J$5:$J$21,"")</f>
        <v/>
      </c>
      <c r="E4" s="14">
        <f>COUNTIFS('架電リスト'!$C$5:$C$21,$A4,'架電リスト'!$J$5:$J$21,"不在・折返し待ち")</f>
        <v/>
      </c>
      <c r="F4" s="14">
        <f>COUNTIFS('架電リスト'!$C$5:$C$21,$A4,'架電リスト'!$J$5:$J$21,"担当者不在")</f>
        <v/>
      </c>
      <c r="G4" s="14">
        <f>COUNTIFS('架電リスト'!$C$5:$C$21,$A4,'架電リスト'!$J$5:$J$21,"資料送付")</f>
        <v/>
      </c>
      <c r="H4" s="14">
        <f>COUNTIFS('架電リスト'!$C$5:$C$21,$A4,'架電リスト'!$J$5:$J$21,"アポ獲得")</f>
        <v/>
      </c>
      <c r="I4" s="14">
        <f>COUNTIFS('架電リスト'!$C$5:$C$21,$A4,'架電リスト'!$J$5:$J$21,"検討中")</f>
        <v/>
      </c>
      <c r="J4" s="14">
        <f>COUNTIFS('架電リスト'!$C$5:$C$21,$A4,'架電リスト'!$J$5:$J$21,"NG")</f>
        <v/>
      </c>
      <c r="K4" s="14">
        <f>COUNTIFS('架電リスト'!$C$5:$C$21,$A4,'架電リスト'!$J$5:$J$21,"番号不明")</f>
        <v/>
      </c>
    </row>
    <row r="5">
      <c r="A5" s="14" t="inlineStr">
        <is>
          <t>郡山市</t>
        </is>
      </c>
      <c r="B5" s="14">
        <f>COUNTIF('架電リスト'!$C$5:$C$21,A5)</f>
        <v/>
      </c>
      <c r="C5" s="14">
        <f>COUNTIFS('架電リスト'!$C$5:$C$21,A5,'架電リスト'!$E$5:$E$21,"&lt;&gt;")</f>
        <v/>
      </c>
      <c r="D5" s="14">
        <f>B5-COUNTIFS('架電リスト'!$C$5:$C$21,A5,'架電リスト'!$J$5:$J$21,"未架電")-COUNTIFS('架電リスト'!$C$5:$C$21,A5,'架電リスト'!$J$5:$J$21,"")</f>
        <v/>
      </c>
      <c r="E5" s="14">
        <f>COUNTIFS('架電リスト'!$C$5:$C$21,$A5,'架電リスト'!$J$5:$J$21,"不在・折返し待ち")</f>
        <v/>
      </c>
      <c r="F5" s="14">
        <f>COUNTIFS('架電リスト'!$C$5:$C$21,$A5,'架電リスト'!$J$5:$J$21,"担当者不在")</f>
        <v/>
      </c>
      <c r="G5" s="14">
        <f>COUNTIFS('架電リスト'!$C$5:$C$21,$A5,'架電リスト'!$J$5:$J$21,"資料送付")</f>
        <v/>
      </c>
      <c r="H5" s="14">
        <f>COUNTIFS('架電リスト'!$C$5:$C$21,$A5,'架電リスト'!$J$5:$J$21,"アポ獲得")</f>
        <v/>
      </c>
      <c r="I5" s="14">
        <f>COUNTIFS('架電リスト'!$C$5:$C$21,$A5,'架電リスト'!$J$5:$J$21,"検討中")</f>
        <v/>
      </c>
      <c r="J5" s="14">
        <f>COUNTIFS('架電リスト'!$C$5:$C$21,$A5,'架電リスト'!$J$5:$J$21,"NG")</f>
        <v/>
      </c>
      <c r="K5" s="14">
        <f>COUNTIFS('架電リスト'!$C$5:$C$21,$A5,'架電リスト'!$J$5:$J$21,"番号不明")</f>
        <v/>
      </c>
    </row>
    <row r="6">
      <c r="A6" s="14" t="inlineStr">
        <is>
          <t>福島市</t>
        </is>
      </c>
      <c r="B6" s="14">
        <f>COUNTIF('架電リスト'!$C$5:$C$21,A6)</f>
        <v/>
      </c>
      <c r="C6" s="14">
        <f>COUNTIFS('架電リスト'!$C$5:$C$21,A6,'架電リスト'!$E$5:$E$21,"&lt;&gt;")</f>
        <v/>
      </c>
      <c r="D6" s="14">
        <f>B6-COUNTIFS('架電リスト'!$C$5:$C$21,A6,'架電リスト'!$J$5:$J$21,"未架電")-COUNTIFS('架電リスト'!$C$5:$C$21,A6,'架電リスト'!$J$5:$J$21,"")</f>
        <v/>
      </c>
      <c r="E6" s="14">
        <f>COUNTIFS('架電リスト'!$C$5:$C$21,$A6,'架電リスト'!$J$5:$J$21,"不在・折返し待ち")</f>
        <v/>
      </c>
      <c r="F6" s="14">
        <f>COUNTIFS('架電リスト'!$C$5:$C$21,$A6,'架電リスト'!$J$5:$J$21,"担当者不在")</f>
        <v/>
      </c>
      <c r="G6" s="14">
        <f>COUNTIFS('架電リスト'!$C$5:$C$21,$A6,'架電リスト'!$J$5:$J$21,"資料送付")</f>
        <v/>
      </c>
      <c r="H6" s="14">
        <f>COUNTIFS('架電リスト'!$C$5:$C$21,$A6,'架電リスト'!$J$5:$J$21,"アポ獲得")</f>
        <v/>
      </c>
      <c r="I6" s="14">
        <f>COUNTIFS('架電リスト'!$C$5:$C$21,$A6,'架電リスト'!$J$5:$J$21,"検討中")</f>
        <v/>
      </c>
      <c r="J6" s="14">
        <f>COUNTIFS('架電リスト'!$C$5:$C$21,$A6,'架電リスト'!$J$5:$J$21,"NG")</f>
        <v/>
      </c>
      <c r="K6" s="14">
        <f>COUNTIFS('架電リスト'!$C$5:$C$21,$A6,'架電リスト'!$J$5:$J$21,"番号不明")</f>
        <v/>
      </c>
    </row>
    <row r="7">
      <c r="A7" s="14" t="inlineStr">
        <is>
          <t>会津若松市</t>
        </is>
      </c>
      <c r="B7" s="14">
        <f>COUNTIF('架電リスト'!$C$5:$C$21,A7)</f>
        <v/>
      </c>
      <c r="C7" s="14">
        <f>COUNTIFS('架電リスト'!$C$5:$C$21,A7,'架電リスト'!$E$5:$E$21,"&lt;&gt;")</f>
        <v/>
      </c>
      <c r="D7" s="14">
        <f>B7-COUNTIFS('架電リスト'!$C$5:$C$21,A7,'架電リスト'!$J$5:$J$21,"未架電")-COUNTIFS('架電リスト'!$C$5:$C$21,A7,'架電リスト'!$J$5:$J$21,"")</f>
        <v/>
      </c>
      <c r="E7" s="14">
        <f>COUNTIFS('架電リスト'!$C$5:$C$21,$A7,'架電リスト'!$J$5:$J$21,"不在・折返し待ち")</f>
        <v/>
      </c>
      <c r="F7" s="14">
        <f>COUNTIFS('架電リスト'!$C$5:$C$21,$A7,'架電リスト'!$J$5:$J$21,"担当者不在")</f>
        <v/>
      </c>
      <c r="G7" s="14">
        <f>COUNTIFS('架電リスト'!$C$5:$C$21,$A7,'架電リスト'!$J$5:$J$21,"資料送付")</f>
        <v/>
      </c>
      <c r="H7" s="14">
        <f>COUNTIFS('架電リスト'!$C$5:$C$21,$A7,'架電リスト'!$J$5:$J$21,"アポ獲得")</f>
        <v/>
      </c>
      <c r="I7" s="14">
        <f>COUNTIFS('架電リスト'!$C$5:$C$21,$A7,'架電リスト'!$J$5:$J$21,"検討中")</f>
        <v/>
      </c>
      <c r="J7" s="14">
        <f>COUNTIFS('架電リスト'!$C$5:$C$21,$A7,'架電リスト'!$J$5:$J$21,"NG")</f>
        <v/>
      </c>
      <c r="K7" s="14">
        <f>COUNTIFS('架電リスト'!$C$5:$C$21,$A7,'架電リスト'!$J$5:$J$21,"番号不明")</f>
        <v/>
      </c>
    </row>
    <row r="8">
      <c r="A8" s="14" t="inlineStr">
        <is>
          <t>石川町</t>
        </is>
      </c>
      <c r="B8" s="14">
        <f>COUNTIF('架電リスト'!$C$5:$C$21,A8)</f>
        <v/>
      </c>
      <c r="C8" s="14">
        <f>COUNTIFS('架電リスト'!$C$5:$C$21,A8,'架電リスト'!$E$5:$E$21,"&lt;&gt;")</f>
        <v/>
      </c>
      <c r="D8" s="14">
        <f>B8-COUNTIFS('架電リスト'!$C$5:$C$21,A8,'架電リスト'!$J$5:$J$21,"未架電")-COUNTIFS('架電リスト'!$C$5:$C$21,A8,'架電リスト'!$J$5:$J$21,"")</f>
        <v/>
      </c>
      <c r="E8" s="14">
        <f>COUNTIFS('架電リスト'!$C$5:$C$21,$A8,'架電リスト'!$J$5:$J$21,"不在・折返し待ち")</f>
        <v/>
      </c>
      <c r="F8" s="14">
        <f>COUNTIFS('架電リスト'!$C$5:$C$21,$A8,'架電リスト'!$J$5:$J$21,"担当者不在")</f>
        <v/>
      </c>
      <c r="G8" s="14">
        <f>COUNTIFS('架電リスト'!$C$5:$C$21,$A8,'架電リスト'!$J$5:$J$21,"資料送付")</f>
        <v/>
      </c>
      <c r="H8" s="14">
        <f>COUNTIFS('架電リスト'!$C$5:$C$21,$A8,'架電リスト'!$J$5:$J$21,"アポ獲得")</f>
        <v/>
      </c>
      <c r="I8" s="14">
        <f>COUNTIFS('架電リスト'!$C$5:$C$21,$A8,'架電リスト'!$J$5:$J$21,"検討中")</f>
        <v/>
      </c>
      <c r="J8" s="14">
        <f>COUNTIFS('架電リスト'!$C$5:$C$21,$A8,'架電リスト'!$J$5:$J$21,"NG")</f>
        <v/>
      </c>
      <c r="K8" s="14">
        <f>COUNTIFS('架電リスト'!$C$5:$C$21,$A8,'架電リスト'!$J$5:$J$21,"番号不明")</f>
        <v/>
      </c>
    </row>
    <row r="9">
      <c r="A9" s="14" t="inlineStr">
        <is>
          <t>伊達市</t>
        </is>
      </c>
      <c r="B9" s="14">
        <f>COUNTIF('架電リスト'!$C$5:$C$21,A9)</f>
        <v/>
      </c>
      <c r="C9" s="14">
        <f>COUNTIFS('架電リスト'!$C$5:$C$21,A9,'架電リスト'!$E$5:$E$21,"&lt;&gt;")</f>
        <v/>
      </c>
      <c r="D9" s="14">
        <f>B9-COUNTIFS('架電リスト'!$C$5:$C$21,A9,'架電リスト'!$J$5:$J$21,"未架電")-COUNTIFS('架電リスト'!$C$5:$C$21,A9,'架電リスト'!$J$5:$J$21,"")</f>
        <v/>
      </c>
      <c r="E9" s="14">
        <f>COUNTIFS('架電リスト'!$C$5:$C$21,$A9,'架電リスト'!$J$5:$J$21,"不在・折返し待ち")</f>
        <v/>
      </c>
      <c r="F9" s="14">
        <f>COUNTIFS('架電リスト'!$C$5:$C$21,$A9,'架電リスト'!$J$5:$J$21,"担当者不在")</f>
        <v/>
      </c>
      <c r="G9" s="14">
        <f>COUNTIFS('架電リスト'!$C$5:$C$21,$A9,'架電リスト'!$J$5:$J$21,"資料送付")</f>
        <v/>
      </c>
      <c r="H9" s="14">
        <f>COUNTIFS('架電リスト'!$C$5:$C$21,$A9,'架電リスト'!$J$5:$J$21,"アポ獲得")</f>
        <v/>
      </c>
      <c r="I9" s="14">
        <f>COUNTIFS('架電リスト'!$C$5:$C$21,$A9,'架電リスト'!$J$5:$J$21,"検討中")</f>
        <v/>
      </c>
      <c r="J9" s="14">
        <f>COUNTIFS('架電リスト'!$C$5:$C$21,$A9,'架電リスト'!$J$5:$J$21,"NG")</f>
        <v/>
      </c>
      <c r="K9" s="14">
        <f>COUNTIFS('架電リスト'!$C$5:$C$21,$A9,'架電リスト'!$J$5:$J$21,"番号不明")</f>
        <v/>
      </c>
    </row>
    <row r="10">
      <c r="A10" s="15" t="inlineStr">
        <is>
          <t>合計</t>
        </is>
      </c>
      <c r="B10" s="15">
        <f>SUM(B4:B9)</f>
        <v/>
      </c>
      <c r="C10" s="15">
        <f>SUM(C4:C9)</f>
        <v/>
      </c>
      <c r="D10" s="15">
        <f>SUM(D4:D9)</f>
        <v/>
      </c>
      <c r="E10" s="15">
        <f>SUM(E4:E9)</f>
        <v/>
      </c>
      <c r="F10" s="15">
        <f>SUM(F4:F9)</f>
        <v/>
      </c>
      <c r="G10" s="15">
        <f>SUM(G4:G9)</f>
        <v/>
      </c>
      <c r="H10" s="15">
        <f>SUM(H4:H9)</f>
        <v/>
      </c>
      <c r="I10" s="15">
        <f>SUM(I4:I9)</f>
        <v/>
      </c>
      <c r="J10" s="15">
        <f>SUM(J4:J9)</f>
        <v/>
      </c>
      <c r="K10" s="15">
        <f>SUM(K4:K9)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・「番号の確度」：高＝公式サイト、または2つ以上の情報源で一致／中＝情報サイト1件のみで確認／低・要調査＝特定できず。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・市区町村で絞り込む場合は、見出し行「所在地（市区町村）」の▼（フィルター）を使用してください。</t>
        </is>
      </c>
    </row>
    <row r="8">
      <c r="A8" s="17" t="inlineStr">
        <is>
          <t>・「市区町村別集計」は入力内容に連動して自動で集計されます（学校数の多い順）。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・出典：ご提供いただいた学校ネットの検索結果（私立高校・福島県、17校）の貼り付けデータ。並び順は元データの掲載順です。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道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2026-10-09T01:26:09Z</dcterms:created>
  <dcterms:modified xsi:type="dcterms:W3CDTF">2026-10-09T01:26:10Z</dcterms:modified>
</cp:coreProperties>
</file>