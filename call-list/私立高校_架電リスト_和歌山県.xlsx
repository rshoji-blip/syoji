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'架電リスト'!$A$4:$O$13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5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4675.html" TargetMode="External" Id="rId1" /><Relationship Type="http://schemas.openxmlformats.org/officeDocument/2006/relationships/hyperlink" Target="https://www.gakkou.net/kou/view/index_304703.html" TargetMode="External" Id="rId2" /><Relationship Type="http://schemas.openxmlformats.org/officeDocument/2006/relationships/hyperlink" Target="https://www.gakkou.net/kou/view/index_304674.html" TargetMode="External" Id="rId3" /><Relationship Type="http://schemas.openxmlformats.org/officeDocument/2006/relationships/hyperlink" Target="https://www.gakkou.net/kou/view/index_306498.html" TargetMode="External" Id="rId4" /><Relationship Type="http://schemas.openxmlformats.org/officeDocument/2006/relationships/hyperlink" Target="https://www.gakkou.net/kou/view/index_304707.html" TargetMode="External" Id="rId5" /><Relationship Type="http://schemas.openxmlformats.org/officeDocument/2006/relationships/hyperlink" Target="https://www.gakkou.net/kou/view/index_304663.html" TargetMode="External" Id="rId6" /><Relationship Type="http://schemas.openxmlformats.org/officeDocument/2006/relationships/hyperlink" Target="https://www.gakkou.net/kou/view/index_304704.html" TargetMode="External" Id="rId7" /><Relationship Type="http://schemas.openxmlformats.org/officeDocument/2006/relationships/hyperlink" Target="https://www.gakkou.net/kou/view/index_304669.html" TargetMode="External" Id="rId8" /><Relationship Type="http://schemas.openxmlformats.org/officeDocument/2006/relationships/hyperlink" Target="https://www.gakkou.net/kou/view/index_304712.html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架電リスト（和歌山県／9校）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和歌山県</t>
        </is>
      </c>
      <c r="C5" s="5" t="inlineStr">
        <is>
          <t>和歌山市</t>
        </is>
      </c>
      <c r="D5" s="5" t="inlineStr">
        <is>
          <t>開智高等学校（和歌山県）</t>
        </is>
      </c>
      <c r="E5" s="6" t="inlineStr">
        <is>
          <t>073-461-8080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中学校併設</t>
        </is>
      </c>
      <c r="N5" s="11" t="inlineStr">
        <is>
          <t>https://www.kaichi.ed.jp/about/access.html</t>
        </is>
      </c>
      <c r="O5" s="12" t="inlineStr">
        <is>
          <t>開く</t>
        </is>
      </c>
    </row>
    <row r="6">
      <c r="A6" s="4" t="n">
        <v>2</v>
      </c>
      <c r="B6" s="5" t="inlineStr">
        <is>
          <t>和歌山県</t>
        </is>
      </c>
      <c r="C6" s="5" t="inlineStr">
        <is>
          <t>新宮市</t>
        </is>
      </c>
      <c r="D6" s="5" t="inlineStr">
        <is>
          <t>近畿大学附属新宮高等学校</t>
        </is>
      </c>
      <c r="E6" s="6" t="inlineStr">
        <is>
          <t>0735-22-2005</t>
        </is>
      </c>
      <c r="F6" s="7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中学校併設</t>
        </is>
      </c>
      <c r="N6" s="11" t="inlineStr">
        <is>
          <t>https://www.shingu.kindai.ac.jp/current_students-graduates/</t>
        </is>
      </c>
      <c r="O6" s="12" t="inlineStr">
        <is>
          <t>開く</t>
        </is>
      </c>
    </row>
    <row r="7">
      <c r="A7" s="4" t="n">
        <v>3</v>
      </c>
      <c r="B7" s="5" t="inlineStr">
        <is>
          <t>和歌山県</t>
        </is>
      </c>
      <c r="C7" s="5" t="inlineStr">
        <is>
          <t>和歌山市</t>
        </is>
      </c>
      <c r="D7" s="5" t="inlineStr">
        <is>
          <t>近畿大学附属和歌山高等学校</t>
        </is>
      </c>
      <c r="E7" s="6" t="inlineStr">
        <is>
          <t>073-452-1161</t>
        </is>
      </c>
      <c r="F7" s="7" t="inlineStr">
        <is>
          <t>高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中学校併設</t>
        </is>
      </c>
      <c r="N7" s="11" t="inlineStr">
        <is>
          <t>https://www.hwaka.kindai.ac.jp/</t>
        </is>
      </c>
      <c r="O7" s="12" t="inlineStr">
        <is>
          <t>開く</t>
        </is>
      </c>
    </row>
    <row r="8">
      <c r="A8" s="4" t="n">
        <v>4</v>
      </c>
      <c r="B8" s="5" t="inlineStr">
        <is>
          <t>和歌山県</t>
        </is>
      </c>
      <c r="C8" s="5" t="inlineStr">
        <is>
          <t>紀美野町</t>
        </is>
      </c>
      <c r="D8" s="5" t="inlineStr">
        <is>
          <t>慶風高等学校</t>
        </is>
      </c>
      <c r="E8" s="6" t="inlineStr">
        <is>
          <t>073-498-0100</t>
        </is>
      </c>
      <c r="F8" s="7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通信制・紀美野町の本校。法人本部（和歌山市）は073-474-2828</t>
        </is>
      </c>
      <c r="N8" s="11" t="inlineStr">
        <is>
          <t>https://keifu.ac.jp/access/</t>
        </is>
      </c>
      <c r="O8" s="12" t="inlineStr">
        <is>
          <t>開く</t>
        </is>
      </c>
    </row>
    <row r="9">
      <c r="A9" s="4" t="n">
        <v>5</v>
      </c>
      <c r="B9" s="5" t="inlineStr">
        <is>
          <t>和歌山県</t>
        </is>
      </c>
      <c r="C9" s="5" t="inlineStr">
        <is>
          <t>高野町</t>
        </is>
      </c>
      <c r="D9" s="5" t="inlineStr">
        <is>
          <t>高野山高等学校</t>
        </is>
      </c>
      <c r="E9" s="6" t="inlineStr">
        <is>
          <t>0736-56-2204</t>
        </is>
      </c>
      <c r="F9" s="7" t="inlineStr">
        <is>
          <t>高</t>
        </is>
      </c>
      <c r="G9" s="5" t="inlineStr">
        <is>
          <t>普通科・専門学科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n"/>
      <c r="N9" s="11" t="inlineStr">
        <is>
          <t>https://www.koyasan-h.ed.jp/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和歌山県</t>
        </is>
      </c>
      <c r="C10" s="5" t="inlineStr">
        <is>
          <t>和歌山市</t>
        </is>
      </c>
      <c r="D10" s="5" t="inlineStr">
        <is>
          <t>智辯学園和歌山高等学校</t>
        </is>
      </c>
      <c r="E10" s="6" t="inlineStr">
        <is>
          <t>073-479-2811</t>
        </is>
      </c>
      <c r="F10" s="7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中学校併設</t>
        </is>
      </c>
      <c r="N10" s="11" t="inlineStr">
        <is>
          <t>https://www.chiben.ac.jp/wakayama/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和歌山県</t>
        </is>
      </c>
      <c r="C11" s="5" t="inlineStr">
        <is>
          <t>橋本市</t>
        </is>
      </c>
      <c r="D11" s="5" t="inlineStr">
        <is>
          <t>初芝橋本高等学校</t>
        </is>
      </c>
      <c r="E11" s="6" t="inlineStr">
        <is>
          <t>0736-37-5600</t>
        </is>
      </c>
      <c r="F11" s="7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2025年4月に運営法人が利晶学園へ改称（校名は変更なし）</t>
        </is>
      </c>
      <c r="N11" s="11" t="inlineStr">
        <is>
          <t>https://www.rishogakuen.ed.jp/hatsuhashi/guide/enkaku.html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和歌山県</t>
        </is>
      </c>
      <c r="C12" s="5" t="inlineStr">
        <is>
          <t>和歌山市</t>
        </is>
      </c>
      <c r="D12" s="5" t="inlineStr">
        <is>
          <t>和歌山信愛高等学校</t>
        </is>
      </c>
      <c r="E12" s="6" t="inlineStr">
        <is>
          <t>073-424-1141</t>
        </is>
      </c>
      <c r="F12" s="7" t="inlineStr">
        <is>
          <t>高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中学校併設</t>
        </is>
      </c>
      <c r="N12" s="11" t="inlineStr">
        <is>
          <t>https://www.shin-ai.ac.jp/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和歌山県</t>
        </is>
      </c>
      <c r="C13" s="5" t="inlineStr">
        <is>
          <t>日高川町</t>
        </is>
      </c>
      <c r="D13" s="5" t="inlineStr">
        <is>
          <t>和歌山南陵高等学校</t>
        </is>
      </c>
      <c r="E13" s="6" t="inlineStr">
        <is>
          <t>0738-53-0316</t>
        </is>
      </c>
      <c r="F13" s="7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経営難で一時募集停止命令→2024年11月解除、募集再開済み</t>
        </is>
      </c>
      <c r="N13" s="11" t="inlineStr">
        <is>
          <t>https://w-nanryo.ed.jp/contact/</t>
        </is>
      </c>
      <c r="O13" s="12" t="inlineStr">
        <is>
          <t>開く</t>
        </is>
      </c>
    </row>
  </sheetData>
  <autoFilter ref="A4:O13"/>
  <conditionalFormatting sqref="A5:O13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13" showDropDown="0" showInputMessage="0" showErrorMessage="0" allowBlank="1" type="list">
      <formula1>"未架電,不在・折返し待ち,担当者不在,資料送付,アポ獲得,検討中,NG,番号不明"</formula1>
    </dataValidation>
    <dataValidation sqref="H5:H13 K5:K13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3" t="inlineStr">
        <is>
          <t>和歌山市</t>
        </is>
      </c>
      <c r="B4" s="13">
        <f>COUNTIF('架電リスト'!$C$5:$C$13,A4)</f>
        <v/>
      </c>
      <c r="C4" s="13">
        <f>COUNTIFS('架電リスト'!$C$5:$C$13,A4,'架電リスト'!$E$5:$E$13,"&lt;&gt;")</f>
        <v/>
      </c>
      <c r="D4" s="13">
        <f>B4-COUNTIFS('架電リスト'!$C$5:$C$13,A4,'架電リスト'!$J$5:$J$13,"未架電")-COUNTIFS('架電リスト'!$C$5:$C$13,A4,'架電リスト'!$J$5:$J$13,"")</f>
        <v/>
      </c>
      <c r="E4" s="13">
        <f>COUNTIFS('架電リスト'!$C$5:$C$13,$A4,'架電リスト'!$J$5:$J$13,"不在・折返し待ち")</f>
        <v/>
      </c>
      <c r="F4" s="13">
        <f>COUNTIFS('架電リスト'!$C$5:$C$13,$A4,'架電リスト'!$J$5:$J$13,"担当者不在")</f>
        <v/>
      </c>
      <c r="G4" s="13">
        <f>COUNTIFS('架電リスト'!$C$5:$C$13,$A4,'架電リスト'!$J$5:$J$13,"資料送付")</f>
        <v/>
      </c>
      <c r="H4" s="13">
        <f>COUNTIFS('架電リスト'!$C$5:$C$13,$A4,'架電リスト'!$J$5:$J$13,"アポ獲得")</f>
        <v/>
      </c>
      <c r="I4" s="13">
        <f>COUNTIFS('架電リスト'!$C$5:$C$13,$A4,'架電リスト'!$J$5:$J$13,"検討中")</f>
        <v/>
      </c>
      <c r="J4" s="13">
        <f>COUNTIFS('架電リスト'!$C$5:$C$13,$A4,'架電リスト'!$J$5:$J$13,"NG")</f>
        <v/>
      </c>
      <c r="K4" s="13">
        <f>COUNTIFS('架電リスト'!$C$5:$C$13,$A4,'架電リスト'!$J$5:$J$13,"番号不明")</f>
        <v/>
      </c>
    </row>
    <row r="5">
      <c r="A5" s="13" t="inlineStr">
        <is>
          <t>新宮市</t>
        </is>
      </c>
      <c r="B5" s="13">
        <f>COUNTIF('架電リスト'!$C$5:$C$13,A5)</f>
        <v/>
      </c>
      <c r="C5" s="13">
        <f>COUNTIFS('架電リスト'!$C$5:$C$13,A5,'架電リスト'!$E$5:$E$13,"&lt;&gt;")</f>
        <v/>
      </c>
      <c r="D5" s="13">
        <f>B5-COUNTIFS('架電リスト'!$C$5:$C$13,A5,'架電リスト'!$J$5:$J$13,"未架電")-COUNTIFS('架電リスト'!$C$5:$C$13,A5,'架電リスト'!$J$5:$J$13,"")</f>
        <v/>
      </c>
      <c r="E5" s="13">
        <f>COUNTIFS('架電リスト'!$C$5:$C$13,$A5,'架電リスト'!$J$5:$J$13,"不在・折返し待ち")</f>
        <v/>
      </c>
      <c r="F5" s="13">
        <f>COUNTIFS('架電リスト'!$C$5:$C$13,$A5,'架電リスト'!$J$5:$J$13,"担当者不在")</f>
        <v/>
      </c>
      <c r="G5" s="13">
        <f>COUNTIFS('架電リスト'!$C$5:$C$13,$A5,'架電リスト'!$J$5:$J$13,"資料送付")</f>
        <v/>
      </c>
      <c r="H5" s="13">
        <f>COUNTIFS('架電リスト'!$C$5:$C$13,$A5,'架電リスト'!$J$5:$J$13,"アポ獲得")</f>
        <v/>
      </c>
      <c r="I5" s="13">
        <f>COUNTIFS('架電リスト'!$C$5:$C$13,$A5,'架電リスト'!$J$5:$J$13,"検討中")</f>
        <v/>
      </c>
      <c r="J5" s="13">
        <f>COUNTIFS('架電リスト'!$C$5:$C$13,$A5,'架電リスト'!$J$5:$J$13,"NG")</f>
        <v/>
      </c>
      <c r="K5" s="13">
        <f>COUNTIFS('架電リスト'!$C$5:$C$13,$A5,'架電リスト'!$J$5:$J$13,"番号不明")</f>
        <v/>
      </c>
    </row>
    <row r="6">
      <c r="A6" s="13" t="inlineStr">
        <is>
          <t>紀美野町</t>
        </is>
      </c>
      <c r="B6" s="13">
        <f>COUNTIF('架電リスト'!$C$5:$C$13,A6)</f>
        <v/>
      </c>
      <c r="C6" s="13">
        <f>COUNTIFS('架電リスト'!$C$5:$C$13,A6,'架電リスト'!$E$5:$E$13,"&lt;&gt;")</f>
        <v/>
      </c>
      <c r="D6" s="13">
        <f>B6-COUNTIFS('架電リスト'!$C$5:$C$13,A6,'架電リスト'!$J$5:$J$13,"未架電")-COUNTIFS('架電リスト'!$C$5:$C$13,A6,'架電リスト'!$J$5:$J$13,"")</f>
        <v/>
      </c>
      <c r="E6" s="13">
        <f>COUNTIFS('架電リスト'!$C$5:$C$13,$A6,'架電リスト'!$J$5:$J$13,"不在・折返し待ち")</f>
        <v/>
      </c>
      <c r="F6" s="13">
        <f>COUNTIFS('架電リスト'!$C$5:$C$13,$A6,'架電リスト'!$J$5:$J$13,"担当者不在")</f>
        <v/>
      </c>
      <c r="G6" s="13">
        <f>COUNTIFS('架電リスト'!$C$5:$C$13,$A6,'架電リスト'!$J$5:$J$13,"資料送付")</f>
        <v/>
      </c>
      <c r="H6" s="13">
        <f>COUNTIFS('架電リスト'!$C$5:$C$13,$A6,'架電リスト'!$J$5:$J$13,"アポ獲得")</f>
        <v/>
      </c>
      <c r="I6" s="13">
        <f>COUNTIFS('架電リスト'!$C$5:$C$13,$A6,'架電リスト'!$J$5:$J$13,"検討中")</f>
        <v/>
      </c>
      <c r="J6" s="13">
        <f>COUNTIFS('架電リスト'!$C$5:$C$13,$A6,'架電リスト'!$J$5:$J$13,"NG")</f>
        <v/>
      </c>
      <c r="K6" s="13">
        <f>COUNTIFS('架電リスト'!$C$5:$C$13,$A6,'架電リスト'!$J$5:$J$13,"番号不明")</f>
        <v/>
      </c>
    </row>
    <row r="7">
      <c r="A7" s="13" t="inlineStr">
        <is>
          <t>高野町</t>
        </is>
      </c>
      <c r="B7" s="13">
        <f>COUNTIF('架電リスト'!$C$5:$C$13,A7)</f>
        <v/>
      </c>
      <c r="C7" s="13">
        <f>COUNTIFS('架電リスト'!$C$5:$C$13,A7,'架電リスト'!$E$5:$E$13,"&lt;&gt;")</f>
        <v/>
      </c>
      <c r="D7" s="13">
        <f>B7-COUNTIFS('架電リスト'!$C$5:$C$13,A7,'架電リスト'!$J$5:$J$13,"未架電")-COUNTIFS('架電リスト'!$C$5:$C$13,A7,'架電リスト'!$J$5:$J$13,"")</f>
        <v/>
      </c>
      <c r="E7" s="13">
        <f>COUNTIFS('架電リスト'!$C$5:$C$13,$A7,'架電リスト'!$J$5:$J$13,"不在・折返し待ち")</f>
        <v/>
      </c>
      <c r="F7" s="13">
        <f>COUNTIFS('架電リスト'!$C$5:$C$13,$A7,'架電リスト'!$J$5:$J$13,"担当者不在")</f>
        <v/>
      </c>
      <c r="G7" s="13">
        <f>COUNTIFS('架電リスト'!$C$5:$C$13,$A7,'架電リスト'!$J$5:$J$13,"資料送付")</f>
        <v/>
      </c>
      <c r="H7" s="13">
        <f>COUNTIFS('架電リスト'!$C$5:$C$13,$A7,'架電リスト'!$J$5:$J$13,"アポ獲得")</f>
        <v/>
      </c>
      <c r="I7" s="13">
        <f>COUNTIFS('架電リスト'!$C$5:$C$13,$A7,'架電リスト'!$J$5:$J$13,"検討中")</f>
        <v/>
      </c>
      <c r="J7" s="13">
        <f>COUNTIFS('架電リスト'!$C$5:$C$13,$A7,'架電リスト'!$J$5:$J$13,"NG")</f>
        <v/>
      </c>
      <c r="K7" s="13">
        <f>COUNTIFS('架電リスト'!$C$5:$C$13,$A7,'架電リスト'!$J$5:$J$13,"番号不明")</f>
        <v/>
      </c>
    </row>
    <row r="8">
      <c r="A8" s="13" t="inlineStr">
        <is>
          <t>橋本市</t>
        </is>
      </c>
      <c r="B8" s="13">
        <f>COUNTIF('架電リスト'!$C$5:$C$13,A8)</f>
        <v/>
      </c>
      <c r="C8" s="13">
        <f>COUNTIFS('架電リスト'!$C$5:$C$13,A8,'架電リスト'!$E$5:$E$13,"&lt;&gt;")</f>
        <v/>
      </c>
      <c r="D8" s="13">
        <f>B8-COUNTIFS('架電リスト'!$C$5:$C$13,A8,'架電リスト'!$J$5:$J$13,"未架電")-COUNTIFS('架電リスト'!$C$5:$C$13,A8,'架電リスト'!$J$5:$J$13,"")</f>
        <v/>
      </c>
      <c r="E8" s="13">
        <f>COUNTIFS('架電リスト'!$C$5:$C$13,$A8,'架電リスト'!$J$5:$J$13,"不在・折返し待ち")</f>
        <v/>
      </c>
      <c r="F8" s="13">
        <f>COUNTIFS('架電リスト'!$C$5:$C$13,$A8,'架電リスト'!$J$5:$J$13,"担当者不在")</f>
        <v/>
      </c>
      <c r="G8" s="13">
        <f>COUNTIFS('架電リスト'!$C$5:$C$13,$A8,'架電リスト'!$J$5:$J$13,"資料送付")</f>
        <v/>
      </c>
      <c r="H8" s="13">
        <f>COUNTIFS('架電リスト'!$C$5:$C$13,$A8,'架電リスト'!$J$5:$J$13,"アポ獲得")</f>
        <v/>
      </c>
      <c r="I8" s="13">
        <f>COUNTIFS('架電リスト'!$C$5:$C$13,$A8,'架電リスト'!$J$5:$J$13,"検討中")</f>
        <v/>
      </c>
      <c r="J8" s="13">
        <f>COUNTIFS('架電リスト'!$C$5:$C$13,$A8,'架電リスト'!$J$5:$J$13,"NG")</f>
        <v/>
      </c>
      <c r="K8" s="13">
        <f>COUNTIFS('架電リスト'!$C$5:$C$13,$A8,'架電リスト'!$J$5:$J$13,"番号不明")</f>
        <v/>
      </c>
    </row>
    <row r="9">
      <c r="A9" s="13" t="inlineStr">
        <is>
          <t>日高川町</t>
        </is>
      </c>
      <c r="B9" s="13">
        <f>COUNTIF('架電リスト'!$C$5:$C$13,A9)</f>
        <v/>
      </c>
      <c r="C9" s="13">
        <f>COUNTIFS('架電リスト'!$C$5:$C$13,A9,'架電リスト'!$E$5:$E$13,"&lt;&gt;")</f>
        <v/>
      </c>
      <c r="D9" s="13">
        <f>B9-COUNTIFS('架電リスト'!$C$5:$C$13,A9,'架電リスト'!$J$5:$J$13,"未架電")-COUNTIFS('架電リスト'!$C$5:$C$13,A9,'架電リスト'!$J$5:$J$13,"")</f>
        <v/>
      </c>
      <c r="E9" s="13">
        <f>COUNTIFS('架電リスト'!$C$5:$C$13,$A9,'架電リスト'!$J$5:$J$13,"不在・折返し待ち")</f>
        <v/>
      </c>
      <c r="F9" s="13">
        <f>COUNTIFS('架電リスト'!$C$5:$C$13,$A9,'架電リスト'!$J$5:$J$13,"担当者不在")</f>
        <v/>
      </c>
      <c r="G9" s="13">
        <f>COUNTIFS('架電リスト'!$C$5:$C$13,$A9,'架電リスト'!$J$5:$J$13,"資料送付")</f>
        <v/>
      </c>
      <c r="H9" s="13">
        <f>COUNTIFS('架電リスト'!$C$5:$C$13,$A9,'架電リスト'!$J$5:$J$13,"アポ獲得")</f>
        <v/>
      </c>
      <c r="I9" s="13">
        <f>COUNTIFS('架電リスト'!$C$5:$C$13,$A9,'架電リスト'!$J$5:$J$13,"検討中")</f>
        <v/>
      </c>
      <c r="J9" s="13">
        <f>COUNTIFS('架電リスト'!$C$5:$C$13,$A9,'架電リスト'!$J$5:$J$13,"NG")</f>
        <v/>
      </c>
      <c r="K9" s="13">
        <f>COUNTIFS('架電リスト'!$C$5:$C$13,$A9,'架電リスト'!$J$5:$J$13,"番号不明")</f>
        <v/>
      </c>
    </row>
    <row r="10">
      <c r="A10" s="14" t="inlineStr">
        <is>
          <t>合計</t>
        </is>
      </c>
      <c r="B10" s="14">
        <f>SUM(B4:B9)</f>
        <v/>
      </c>
      <c r="C10" s="14">
        <f>SUM(C4:C9)</f>
        <v/>
      </c>
      <c r="D10" s="14">
        <f>SUM(D4:D9)</f>
        <v/>
      </c>
      <c r="E10" s="14">
        <f>SUM(E4:E9)</f>
        <v/>
      </c>
      <c r="F10" s="14">
        <f>SUM(F4:F9)</f>
        <v/>
      </c>
      <c r="G10" s="14">
        <f>SUM(G4:G9)</f>
        <v/>
      </c>
      <c r="H10" s="14">
        <f>SUM(H4:H9)</f>
        <v/>
      </c>
      <c r="I10" s="14">
        <f>SUM(I4:I9)</f>
        <v/>
      </c>
      <c r="J10" s="14">
        <f>SUM(J4:J9)</f>
        <v/>
      </c>
      <c r="K10" s="14">
        <f>SUM(K4:K9)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■ 使い方</t>
        </is>
      </c>
    </row>
    <row r="2">
      <c r="A2" s="16" t="inlineStr">
        <is>
          <t>・「架電リスト」の黄色の列（電話番号・架電日・担当者・架電結果・次回連絡日・メモ）に入力してください。</t>
        </is>
      </c>
    </row>
    <row r="3">
      <c r="A3" s="16" t="inlineStr">
        <is>
          <t>・架電結果はプルダウンから選択します（アポ獲得＝緑、NG＝グレーで行が自動着色）。</t>
        </is>
      </c>
    </row>
    <row r="4">
      <c r="A4" s="16" t="inlineStr">
        <is>
          <t>・「学校情報ページ」の「開く」をクリックすると、学校ネットの各校ページが開きます。</t>
        </is>
      </c>
    </row>
    <row r="5">
      <c r="A5" s="16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6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6" t="inlineStr">
        <is>
          <t>・都道府県や市区町村で絞り込む場合は、見出し行の▼（フィルター）を使用してください。</t>
        </is>
      </c>
    </row>
    <row r="8">
      <c r="A8" s="16" t="inlineStr">
        <is>
          <t>・集計シートは入力内容に連動して自動で集計されます。</t>
        </is>
      </c>
    </row>
    <row r="9">
      <c r="A9" s="16" t="inlineStr"/>
    </row>
    <row r="10">
      <c r="A10" s="15" t="inlineStr">
        <is>
          <t>■ 元データについての注意</t>
        </is>
      </c>
    </row>
    <row r="11">
      <c r="A11" s="16" t="inlineStr">
        <is>
          <t>・出典：ご提供いただいた学校ネットの検索結果（私立高校・和歌山県、9校）の貼り付けデータ。並び順は都道府県ごとに元データの掲載順です。</t>
        </is>
      </c>
    </row>
    <row r="12">
      <c r="A12" s="16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6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6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2026-10-14T01:27:43Z</dcterms:created>
  <dcterms:modified xsi:type="dcterms:W3CDTF">2026-10-14T01:27:43Z</dcterms:modified>
</cp:coreProperties>
</file>