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  <sheet name="市区町村別集計" sheetId="2" state="visible" r:id="rId2"/>
    <sheet name="使い方・注意事項" sheetId="3" state="visible" r:id="rId3"/>
  </sheets>
  <definedNames>
    <definedName name="_xlnm._FilterDatabase" localSheetId="0" hidden="1">'架電リスト'!$A$4:$O$62</definedName>
    <definedName name="_xlnm.Print_Titles" localSheetId="0">'架電リスト'!$4:$4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95959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8"/>
    </font>
    <font>
      <name val="Yu Gothic"/>
      <sz val="9"/>
    </font>
    <font>
      <name val="Yu Gothic"/>
      <color rgb="000563C1"/>
      <sz val="10"/>
      <u val="single"/>
    </font>
    <font>
      <name val="Yu Gothic"/>
      <b val="1"/>
      <sz val="10"/>
    </font>
    <font>
      <name val="Yu Gothic"/>
      <b val="1"/>
      <sz val="1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49" fontId="4" fillId="3" borderId="1" applyAlignment="1" pivotButton="0" quotePrefix="0" xfId="0">
      <alignment vertical="center"/>
    </xf>
    <xf numFmtId="0" fontId="4" fillId="6" borderId="1" applyAlignment="1" pivotButton="0" quotePrefix="0" xfId="0">
      <alignment horizontal="center" vertical="center"/>
    </xf>
    <xf numFmtId="0" fontId="4" fillId="0" borderId="1" pivotButton="0" quotePrefix="0" xfId="0"/>
    <xf numFmtId="0" fontId="8" fillId="7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kkou.net/kou/view/index_301667.html" TargetMode="External" Id="rId1" /><Relationship Type="http://schemas.openxmlformats.org/officeDocument/2006/relationships/hyperlink" Target="https://www.gakkou.net/kou/view/index_301733.html" TargetMode="External" Id="rId2" /><Relationship Type="http://schemas.openxmlformats.org/officeDocument/2006/relationships/hyperlink" Target="https://www.gakkou.net/kou/view/index_306495.html" TargetMode="External" Id="rId3" /><Relationship Type="http://schemas.openxmlformats.org/officeDocument/2006/relationships/hyperlink" Target="https://www.gakkou.net/kou/view/index_301644.html" TargetMode="External" Id="rId4" /><Relationship Type="http://schemas.openxmlformats.org/officeDocument/2006/relationships/hyperlink" Target="https://www.gakkou.net/kou/view/index_301666.html" TargetMode="External" Id="rId5" /><Relationship Type="http://schemas.openxmlformats.org/officeDocument/2006/relationships/hyperlink" Target="https://www.gakkou.net/kou/view/index_301773.html" TargetMode="External" Id="rId6" /><Relationship Type="http://schemas.openxmlformats.org/officeDocument/2006/relationships/hyperlink" Target="https://www.gakkou.net/kou/view/index_301599.html" TargetMode="External" Id="rId7" /><Relationship Type="http://schemas.openxmlformats.org/officeDocument/2006/relationships/hyperlink" Target="https://www.gakkou.net/kou/view/index_306439.html" TargetMode="External" Id="rId8" /><Relationship Type="http://schemas.openxmlformats.org/officeDocument/2006/relationships/hyperlink" Target="https://www.gakkou.net/kou/view/index_301796.html" TargetMode="External" Id="rId9" /><Relationship Type="http://schemas.openxmlformats.org/officeDocument/2006/relationships/hyperlink" Target="https://www.gakkou.net/kou/view/index_301777.html" TargetMode="External" Id="rId10" /><Relationship Type="http://schemas.openxmlformats.org/officeDocument/2006/relationships/hyperlink" Target="https://www.gakkou.net/kou/view/index_301784.html" TargetMode="External" Id="rId11" /><Relationship Type="http://schemas.openxmlformats.org/officeDocument/2006/relationships/hyperlink" Target="https://www.gakkou.net/kou/view/index_301623.html" TargetMode="External" Id="rId12" /><Relationship Type="http://schemas.openxmlformats.org/officeDocument/2006/relationships/hyperlink" Target="https://www.gakkou.net/kou/view/index_301763.html" TargetMode="External" Id="rId13" /><Relationship Type="http://schemas.openxmlformats.org/officeDocument/2006/relationships/hyperlink" Target="https://www.gakkou.net/kou/view/index_301653.html" TargetMode="External" Id="rId14" /><Relationship Type="http://schemas.openxmlformats.org/officeDocument/2006/relationships/hyperlink" Target="https://www.gakkou.net/kou/view/index_301668.html" TargetMode="External" Id="rId15" /><Relationship Type="http://schemas.openxmlformats.org/officeDocument/2006/relationships/hyperlink" Target="https://www.gakkou.net/kou/view/index_301782.html" TargetMode="External" Id="rId16" /><Relationship Type="http://schemas.openxmlformats.org/officeDocument/2006/relationships/hyperlink" Target="https://www.gakkou.net/kou/view/index_301705.html" TargetMode="External" Id="rId17" /><Relationship Type="http://schemas.openxmlformats.org/officeDocument/2006/relationships/hyperlink" Target="https://www.gakkou.net/kou/view/index_301616.html" TargetMode="External" Id="rId18" /><Relationship Type="http://schemas.openxmlformats.org/officeDocument/2006/relationships/hyperlink" Target="https://www.gakkou.net/kou/view/index_301697.html" TargetMode="External" Id="rId19" /><Relationship Type="http://schemas.openxmlformats.org/officeDocument/2006/relationships/hyperlink" Target="https://www.gakkou.net/kou/view/index_301810.html" TargetMode="External" Id="rId20" /><Relationship Type="http://schemas.openxmlformats.org/officeDocument/2006/relationships/hyperlink" Target="https://www.gakkou.net/kou/view/index_301665.html" TargetMode="External" Id="rId21" /><Relationship Type="http://schemas.openxmlformats.org/officeDocument/2006/relationships/hyperlink" Target="https://www.gakkou.net/kou/view/index_301615.html" TargetMode="External" Id="rId22" /><Relationship Type="http://schemas.openxmlformats.org/officeDocument/2006/relationships/hyperlink" Target="https://www.gakkou.net/kou/view/index_301639.html" TargetMode="External" Id="rId23" /><Relationship Type="http://schemas.openxmlformats.org/officeDocument/2006/relationships/hyperlink" Target="https://www.gakkou.net/kou/view/index_301655.html" TargetMode="External" Id="rId24" /><Relationship Type="http://schemas.openxmlformats.org/officeDocument/2006/relationships/hyperlink" Target="https://www.gakkou.net/kou/view/index_301785.html" TargetMode="External" Id="rId25" /><Relationship Type="http://schemas.openxmlformats.org/officeDocument/2006/relationships/hyperlink" Target="https://www.gakkou.net/kou/view/index_301700.html" TargetMode="External" Id="rId26" /><Relationship Type="http://schemas.openxmlformats.org/officeDocument/2006/relationships/hyperlink" Target="https://www.gakkou.net/kou/view/index_301726.html" TargetMode="External" Id="rId27" /><Relationship Type="http://schemas.openxmlformats.org/officeDocument/2006/relationships/hyperlink" Target="https://www.gakkou.net/kou/view/index_301732.html" TargetMode="External" Id="rId28" /><Relationship Type="http://schemas.openxmlformats.org/officeDocument/2006/relationships/hyperlink" Target="https://www.gakkou.net/kou/view/index_301621.html" TargetMode="External" Id="rId29" /><Relationship Type="http://schemas.openxmlformats.org/officeDocument/2006/relationships/hyperlink" Target="https://www.gakkou.net/kou/view/index_301792.html" TargetMode="External" Id="rId30" /><Relationship Type="http://schemas.openxmlformats.org/officeDocument/2006/relationships/hyperlink" Target="https://www.gakkou.net/kou/view/index_301672.html" TargetMode="External" Id="rId31" /><Relationship Type="http://schemas.openxmlformats.org/officeDocument/2006/relationships/hyperlink" Target="https://www.gakkou.net/kou/view/index_301598.html" TargetMode="External" Id="rId32" /><Relationship Type="http://schemas.openxmlformats.org/officeDocument/2006/relationships/hyperlink" Target="https://www.gakkou.net/kou/view/index_301685.html" TargetMode="External" Id="rId33" /><Relationship Type="http://schemas.openxmlformats.org/officeDocument/2006/relationships/hyperlink" Target="https://www.gakkou.net/kou/view/index_301749.html" TargetMode="External" Id="rId34" /><Relationship Type="http://schemas.openxmlformats.org/officeDocument/2006/relationships/hyperlink" Target="https://www.gakkou.net/kou/view/index_301603.html" TargetMode="External" Id="rId35" /><Relationship Type="http://schemas.openxmlformats.org/officeDocument/2006/relationships/hyperlink" Target="https://www.gakkou.net/kou/view/index_301758.html" TargetMode="External" Id="rId36" /><Relationship Type="http://schemas.openxmlformats.org/officeDocument/2006/relationships/hyperlink" Target="https://www.gakkou.net/kou/view/index_301642.html" TargetMode="External" Id="rId37" /><Relationship Type="http://schemas.openxmlformats.org/officeDocument/2006/relationships/hyperlink" Target="https://www.gakkou.net/kou/view/index_301770.html" TargetMode="External" Id="rId38" /><Relationship Type="http://schemas.openxmlformats.org/officeDocument/2006/relationships/hyperlink" Target="https://www.gakkou.net/kou/view/index_301725.html" TargetMode="External" Id="rId39" /><Relationship Type="http://schemas.openxmlformats.org/officeDocument/2006/relationships/hyperlink" Target="https://www.gakkou.net/kou/view/index_301724.html" TargetMode="External" Id="rId40" /><Relationship Type="http://schemas.openxmlformats.org/officeDocument/2006/relationships/hyperlink" Target="https://www.gakkou.net/kou/view/index_301740.html" TargetMode="External" Id="rId41" /><Relationship Type="http://schemas.openxmlformats.org/officeDocument/2006/relationships/hyperlink" Target="https://www.gakkou.net/kou/view/index_301682.html" TargetMode="External" Id="rId42" /><Relationship Type="http://schemas.openxmlformats.org/officeDocument/2006/relationships/hyperlink" Target="https://www.gakkou.net/kou/view/index_301695.html" TargetMode="External" Id="rId43" /><Relationship Type="http://schemas.openxmlformats.org/officeDocument/2006/relationships/hyperlink" Target="https://www.gakkou.net/kou/view/index_301691.html" TargetMode="External" Id="rId44" /><Relationship Type="http://schemas.openxmlformats.org/officeDocument/2006/relationships/hyperlink" Target="https://www.gakkou.net/kou/view/index_306488.html" TargetMode="External" Id="rId45" /><Relationship Type="http://schemas.openxmlformats.org/officeDocument/2006/relationships/hyperlink" Target="https://www.gakkou.net/kou/view/index_301742.html" TargetMode="External" Id="rId46" /><Relationship Type="http://schemas.openxmlformats.org/officeDocument/2006/relationships/hyperlink" Target="https://www.gakkou.net/kou/view/index_301716.html" TargetMode="External" Id="rId47" /><Relationship Type="http://schemas.openxmlformats.org/officeDocument/2006/relationships/hyperlink" Target="https://www.gakkou.net/kou/view/index_301703.html" TargetMode="External" Id="rId48" /><Relationship Type="http://schemas.openxmlformats.org/officeDocument/2006/relationships/hyperlink" Target="https://www.gakkou.net/kou/view/index_301686.html" TargetMode="External" Id="rId49" /><Relationship Type="http://schemas.openxmlformats.org/officeDocument/2006/relationships/hyperlink" Target="https://www.gakkou.net/kou/view/index_301658.html" TargetMode="External" Id="rId50" /><Relationship Type="http://schemas.openxmlformats.org/officeDocument/2006/relationships/hyperlink" Target="https://www.gakkou.net/kou/view/index_306418.html" TargetMode="External" Id="rId51" /><Relationship Type="http://schemas.openxmlformats.org/officeDocument/2006/relationships/hyperlink" Target="https://www.gakkou.net/kou/view/index_301815.html" TargetMode="External" Id="rId52" /><Relationship Type="http://schemas.openxmlformats.org/officeDocument/2006/relationships/hyperlink" Target="https://www.gakkou.net/kou/view/index_301701.html" TargetMode="External" Id="rId53" /><Relationship Type="http://schemas.openxmlformats.org/officeDocument/2006/relationships/hyperlink" Target="https://www.gakkou.net/kou/view/index_301762.html" TargetMode="External" Id="rId54" /><Relationship Type="http://schemas.openxmlformats.org/officeDocument/2006/relationships/hyperlink" Target="https://www.gakkou.net/kou/view/index_301714.html" TargetMode="External" Id="rId55" /><Relationship Type="http://schemas.openxmlformats.org/officeDocument/2006/relationships/hyperlink" Target="https://www.gakkou.net/kou/view/index_301707.html" TargetMode="External" Id="rId56" /><Relationship Type="http://schemas.openxmlformats.org/officeDocument/2006/relationships/hyperlink" Target="https://www.gakkou.net/kou/view/index_306444.html" TargetMode="External" Id="rId57" /><Relationship Type="http://schemas.openxmlformats.org/officeDocument/2006/relationships/hyperlink" Target="https://www.gakkou.net/kou/view/index_306307.html" TargetMode="External" Id="rId58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6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8" customWidth="1" min="4" max="4"/>
    <col width="15" customWidth="1" min="5" max="5"/>
    <col width="9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  <col width="30" customWidth="1" min="12" max="12"/>
    <col width="46" customWidth="1" min="13" max="13"/>
    <col width="40" customWidth="1" min="14" max="14"/>
    <col width="12" customWidth="1" min="15" max="15"/>
  </cols>
  <sheetData>
    <row r="1">
      <c r="A1" s="1" t="inlineStr">
        <is>
          <t>私立高等学校 架電リスト（千葉県／58校）</t>
        </is>
      </c>
    </row>
    <row r="2">
      <c r="A2" s="2" t="inlineStr">
        <is>
          <t>出典：学校ネット 私立高校検索結果（ご提供の貼り付けデータ）。電話番号は2026年10月にWeb検索で調査（確度はF列、出典はN列）。架電前に「確度：中・低」の番号は念のためご確認ください。</t>
        </is>
      </c>
    </row>
    <row r="4">
      <c r="A4" s="3" t="inlineStr">
        <is>
          <t>No.</t>
        </is>
      </c>
      <c r="B4" s="3" t="inlineStr">
        <is>
          <t>都道府県</t>
        </is>
      </c>
      <c r="C4" s="3" t="inlineStr">
        <is>
          <t>所在地（市区町村）</t>
        </is>
      </c>
      <c r="D4" s="3" t="inlineStr">
        <is>
          <t>学校名</t>
        </is>
      </c>
      <c r="E4" s="3" t="inlineStr">
        <is>
          <t>電話番号</t>
        </is>
      </c>
      <c r="F4" s="3" t="inlineStr">
        <is>
          <t>番号の確度</t>
        </is>
      </c>
      <c r="G4" s="3" t="inlineStr">
        <is>
          <t>学科</t>
        </is>
      </c>
      <c r="H4" s="3" t="inlineStr">
        <is>
          <t>架電日</t>
        </is>
      </c>
      <c r="I4" s="3" t="inlineStr">
        <is>
          <t>担当者</t>
        </is>
      </c>
      <c r="J4" s="3" t="inlineStr">
        <is>
          <t>架電結果</t>
        </is>
      </c>
      <c r="K4" s="3" t="inlineStr">
        <is>
          <t>次回連絡日</t>
        </is>
      </c>
      <c r="L4" s="3" t="inlineStr">
        <is>
          <t>メモ</t>
        </is>
      </c>
      <c r="M4" s="3" t="inlineStr">
        <is>
          <t>電話番号の補足</t>
        </is>
      </c>
      <c r="N4" s="3" t="inlineStr">
        <is>
          <t>電話番号の出典</t>
        </is>
      </c>
      <c r="O4" s="3" t="inlineStr">
        <is>
          <t>学校情報ページ</t>
        </is>
      </c>
    </row>
    <row r="5">
      <c r="A5" s="4" t="n">
        <v>1</v>
      </c>
      <c r="B5" s="5" t="inlineStr">
        <is>
          <t>千葉県</t>
        </is>
      </c>
      <c r="C5" s="5" t="inlineStr">
        <is>
          <t>市川市</t>
        </is>
      </c>
      <c r="D5" s="5" t="inlineStr">
        <is>
          <t>日出学園高等学校</t>
        </is>
      </c>
      <c r="E5" s="6" t="inlineStr">
        <is>
          <t>047-324-0071</t>
        </is>
      </c>
      <c r="F5" s="7" t="inlineStr">
        <is>
          <t>中</t>
        </is>
      </c>
      <c r="G5" s="5" t="inlineStr">
        <is>
          <t>普通科</t>
        </is>
      </c>
      <c r="H5" s="8" t="n"/>
      <c r="I5" s="9" t="n"/>
      <c r="J5" s="9" t="inlineStr">
        <is>
          <t>未架電</t>
        </is>
      </c>
      <c r="K5" s="8" t="n"/>
      <c r="L5" s="9" t="n"/>
      <c r="M5" s="10" t="inlineStr">
        <is>
          <t>複数サイトで一致するが「学園業務部」の番号とする掲載あり。千葉県の古い一覧には047-322-3660の記載。代表か要確認</t>
        </is>
      </c>
      <c r="N5" s="11" t="inlineStr">
        <is>
          <t>https://www.inter-edu.com/schools/school/169 ; https://school.js88.com/scl_h/22006740/</t>
        </is>
      </c>
      <c r="O5" s="12" t="inlineStr">
        <is>
          <t>開く</t>
        </is>
      </c>
    </row>
    <row r="6">
      <c r="A6" s="4" t="n">
        <v>2</v>
      </c>
      <c r="B6" s="5" t="inlineStr">
        <is>
          <t>千葉県</t>
        </is>
      </c>
      <c r="C6" s="5" t="inlineStr">
        <is>
          <t>四街道市</t>
        </is>
      </c>
      <c r="D6" s="5" t="inlineStr">
        <is>
          <t>愛国学園大学附属四街道高等学校</t>
        </is>
      </c>
      <c r="E6" s="6" t="inlineStr">
        <is>
          <t>043-421-3533</t>
        </is>
      </c>
      <c r="F6" s="13" t="inlineStr">
        <is>
          <t>高</t>
        </is>
      </c>
      <c r="G6" s="5" t="inlineStr">
        <is>
          <t>普通科</t>
        </is>
      </c>
      <c r="H6" s="8" t="n"/>
      <c r="I6" s="9" t="n"/>
      <c r="J6" s="9" t="inlineStr">
        <is>
          <t>未架電</t>
        </is>
      </c>
      <c r="K6" s="8" t="n"/>
      <c r="L6" s="9" t="n"/>
      <c r="M6" s="10" t="inlineStr">
        <is>
          <t>複数サイトで一致</t>
        </is>
      </c>
      <c r="N6" s="11" t="inlineStr">
        <is>
          <t>https://school.js88.com/scl_h/22007000 ; https://www.minkou.jp/hischool/school/4/</t>
        </is>
      </c>
      <c r="O6" s="12" t="inlineStr">
        <is>
          <t>開く</t>
        </is>
      </c>
    </row>
    <row r="7">
      <c r="A7" s="4" t="n">
        <v>3</v>
      </c>
      <c r="B7" s="5" t="inlineStr">
        <is>
          <t>千葉県</t>
        </is>
      </c>
      <c r="C7" s="5" t="inlineStr">
        <is>
          <t>野田市</t>
        </is>
      </c>
      <c r="D7" s="5" t="inlineStr">
        <is>
          <t>あずさ第一高等学校</t>
        </is>
      </c>
      <c r="E7" s="14" t="n"/>
      <c r="F7" s="15" t="inlineStr">
        <is>
          <t>要調査</t>
        </is>
      </c>
      <c r="G7" s="5" t="inlineStr">
        <is>
          <t>普通科</t>
        </is>
      </c>
      <c r="H7" s="8" t="n"/>
      <c r="I7" s="9" t="n"/>
      <c r="J7" s="9" t="inlineStr">
        <is>
          <t>未架電</t>
        </is>
      </c>
      <c r="K7" s="8" t="n"/>
      <c r="L7" s="9" t="n"/>
      <c r="M7" s="10" t="inlineStr">
        <is>
          <t>通信制。代表番号が見つからず。候補：04-7122-2400（求人の応募用番号）</t>
        </is>
      </c>
      <c r="N7" s="11" t="inlineStr">
        <is>
          <t>https://www.minkou.jp/hischool/school/305/</t>
        </is>
      </c>
      <c r="O7" s="12" t="inlineStr">
        <is>
          <t>開く</t>
        </is>
      </c>
    </row>
    <row r="8">
      <c r="A8" s="4" t="n">
        <v>4</v>
      </c>
      <c r="B8" s="5" t="inlineStr">
        <is>
          <t>千葉県</t>
        </is>
      </c>
      <c r="C8" s="5" t="inlineStr">
        <is>
          <t>我孫子市</t>
        </is>
      </c>
      <c r="D8" s="5" t="inlineStr">
        <is>
          <t>我孫子二階堂高等学校</t>
        </is>
      </c>
      <c r="E8" s="6" t="inlineStr">
        <is>
          <t>04-7182-0101</t>
        </is>
      </c>
      <c r="F8" s="13" t="inlineStr">
        <is>
          <t>高</t>
        </is>
      </c>
      <c r="G8" s="5" t="inlineStr">
        <is>
          <t>普通科</t>
        </is>
      </c>
      <c r="H8" s="8" t="n"/>
      <c r="I8" s="9" t="n"/>
      <c r="J8" s="9" t="inlineStr">
        <is>
          <t>未架電</t>
        </is>
      </c>
      <c r="K8" s="8" t="n"/>
      <c r="L8" s="9" t="n"/>
      <c r="M8" s="10" t="inlineStr">
        <is>
          <t>学校情報サイトの複数ページで一致</t>
        </is>
      </c>
      <c r="N8" s="11" t="inlineStr">
        <is>
          <t>https://school.js88.com/scl_h/22006850</t>
        </is>
      </c>
      <c r="O8" s="12" t="inlineStr">
        <is>
          <t>開く</t>
        </is>
      </c>
    </row>
    <row r="9">
      <c r="A9" s="4" t="n">
        <v>5</v>
      </c>
      <c r="B9" s="5" t="inlineStr">
        <is>
          <t>千葉県</t>
        </is>
      </c>
      <c r="C9" s="5" t="inlineStr">
        <is>
          <t>市川市</t>
        </is>
      </c>
      <c r="D9" s="5" t="inlineStr">
        <is>
          <t>市川高等学校（千葉県）</t>
        </is>
      </c>
      <c r="E9" s="6" t="inlineStr">
        <is>
          <t>047-339-2681</t>
        </is>
      </c>
      <c r="F9" s="13" t="inlineStr">
        <is>
          <t>高</t>
        </is>
      </c>
      <c r="G9" s="5" t="inlineStr">
        <is>
          <t>普通科</t>
        </is>
      </c>
      <c r="H9" s="8" t="n"/>
      <c r="I9" s="9" t="n"/>
      <c r="J9" s="9" t="inlineStr">
        <is>
          <t>未架電</t>
        </is>
      </c>
      <c r="K9" s="8" t="n"/>
      <c r="L9" s="9" t="n"/>
      <c r="M9" s="10" t="inlineStr">
        <is>
          <t>中高共通。「代表」として掲載</t>
        </is>
      </c>
      <c r="N9" s="11" t="inlineStr">
        <is>
          <t>https://www.inter-edu.com/schools/school/24 ; https://school.js88.com/scl_h/22006640/</t>
        </is>
      </c>
      <c r="O9" s="12" t="inlineStr">
        <is>
          <t>開く</t>
        </is>
      </c>
    </row>
    <row r="10">
      <c r="A10" s="4" t="n">
        <v>6</v>
      </c>
      <c r="B10" s="5" t="inlineStr">
        <is>
          <t>千葉県</t>
        </is>
      </c>
      <c r="C10" s="5" t="inlineStr">
        <is>
          <t>市原市</t>
        </is>
      </c>
      <c r="D10" s="5" t="inlineStr">
        <is>
          <t>市原中央高等学校</t>
        </is>
      </c>
      <c r="E10" s="6" t="inlineStr">
        <is>
          <t>0436-36-7131</t>
        </is>
      </c>
      <c r="F10" s="7" t="inlineStr">
        <is>
          <t>中</t>
        </is>
      </c>
      <c r="G10" s="5" t="inlineStr">
        <is>
          <t>普通科</t>
        </is>
      </c>
      <c r="H10" s="8" t="n"/>
      <c r="I10" s="9" t="n"/>
      <c r="J10" s="9" t="inlineStr">
        <is>
          <t>未架電</t>
        </is>
      </c>
      <c r="K10" s="8" t="n"/>
      <c r="L10" s="9" t="n"/>
      <c r="M10" s="10" t="inlineStr">
        <is>
          <t>学校情報サイト1件のみで確認</t>
        </is>
      </c>
      <c r="N10" s="11" t="inlineStr">
        <is>
          <t>https://www.inter-edu.com/schools/school/558</t>
        </is>
      </c>
      <c r="O10" s="12" t="inlineStr">
        <is>
          <t>開く</t>
        </is>
      </c>
    </row>
    <row r="11">
      <c r="A11" s="4" t="n">
        <v>7</v>
      </c>
      <c r="B11" s="5" t="inlineStr">
        <is>
          <t>千葉県</t>
        </is>
      </c>
      <c r="C11" s="5" t="inlineStr">
        <is>
          <t>千葉市中央区</t>
        </is>
      </c>
      <c r="D11" s="5" t="inlineStr">
        <is>
          <t>植草学園大学附属高等学校</t>
        </is>
      </c>
      <c r="E11" s="6" t="inlineStr">
        <is>
          <t>043-252-3551</t>
        </is>
      </c>
      <c r="F11" s="13" t="inlineStr">
        <is>
          <t>高</t>
        </is>
      </c>
      <c r="G11" s="5" t="inlineStr">
        <is>
          <t>普通科・専門学科</t>
        </is>
      </c>
      <c r="H11" s="8" t="n"/>
      <c r="I11" s="9" t="n"/>
      <c r="J11" s="9" t="inlineStr">
        <is>
          <t>未架電</t>
        </is>
      </c>
      <c r="K11" s="8" t="n"/>
      <c r="L11" s="9" t="n"/>
      <c r="M11" s="10" t="inlineStr">
        <is>
          <t>2つの情報源で一致</t>
        </is>
      </c>
      <c r="N11" s="11" t="inlineStr">
        <is>
          <t>https://www.inter-edu.com/schools/school/560 ; https://www.univpress.co.jp/gk_pdf/12542.pdf</t>
        </is>
      </c>
      <c r="O11" s="12" t="inlineStr">
        <is>
          <t>開く</t>
        </is>
      </c>
    </row>
    <row r="12">
      <c r="A12" s="4" t="n">
        <v>8</v>
      </c>
      <c r="B12" s="5" t="inlineStr">
        <is>
          <t>千葉県</t>
        </is>
      </c>
      <c r="C12" s="5" t="inlineStr">
        <is>
          <t>千葉市若葉区</t>
        </is>
      </c>
      <c r="D12" s="5" t="inlineStr">
        <is>
          <t>桜林高等学校</t>
        </is>
      </c>
      <c r="E12" s="6" t="inlineStr">
        <is>
          <t>043-233-8081</t>
        </is>
      </c>
      <c r="F12" s="13" t="inlineStr">
        <is>
          <t>高</t>
        </is>
      </c>
      <c r="G12" s="5" t="inlineStr">
        <is>
          <t>普通科</t>
        </is>
      </c>
      <c r="H12" s="8" t="n"/>
      <c r="I12" s="9" t="n"/>
      <c r="J12" s="9" t="inlineStr">
        <is>
          <t>未架電</t>
        </is>
      </c>
      <c r="K12" s="8" t="n"/>
      <c r="L12" s="9" t="n"/>
      <c r="M12" s="10" t="inlineStr">
        <is>
          <t>2つのサイトで一致</t>
        </is>
      </c>
      <c r="N12" s="11" t="inlineStr">
        <is>
          <t>https://www.inter-edu.com/schools/school/1817 ; https://school.js88.com/scl_h/34025096</t>
        </is>
      </c>
      <c r="O12" s="12" t="inlineStr">
        <is>
          <t>開く</t>
        </is>
      </c>
    </row>
    <row r="13">
      <c r="A13" s="4" t="n">
        <v>9</v>
      </c>
      <c r="B13" s="5" t="inlineStr">
        <is>
          <t>千葉県</t>
        </is>
      </c>
      <c r="C13" s="5" t="inlineStr">
        <is>
          <t>鴨川市</t>
        </is>
      </c>
      <c r="D13" s="5" t="inlineStr">
        <is>
          <t>鴨川令徳高等学校</t>
        </is>
      </c>
      <c r="E13" s="6" t="inlineStr">
        <is>
          <t>04-7092-0267</t>
        </is>
      </c>
      <c r="F13" s="13" t="inlineStr">
        <is>
          <t>高</t>
        </is>
      </c>
      <c r="G13" s="5" t="inlineStr">
        <is>
          <t>普通科</t>
        </is>
      </c>
      <c r="H13" s="8" t="n"/>
      <c r="I13" s="9" t="n"/>
      <c r="J13" s="9" t="inlineStr">
        <is>
          <t>未架電</t>
        </is>
      </c>
      <c r="K13" s="8" t="n"/>
      <c r="L13" s="9" t="n"/>
      <c r="M13" s="10" t="inlineStr">
        <is>
          <t>公式の募集要項で確認</t>
        </is>
      </c>
      <c r="N13" s="11" t="inlineStr">
        <is>
          <t>https://reitoku.ed.jp/pdf/2024年度生徒募集要項.pdf</t>
        </is>
      </c>
      <c r="O13" s="12" t="inlineStr">
        <is>
          <t>開く</t>
        </is>
      </c>
    </row>
    <row r="14">
      <c r="A14" s="4" t="n">
        <v>10</v>
      </c>
      <c r="B14" s="5" t="inlineStr">
        <is>
          <t>千葉県</t>
        </is>
      </c>
      <c r="C14" s="5" t="inlineStr">
        <is>
          <t>木更津市</t>
        </is>
      </c>
      <c r="D14" s="5" t="inlineStr">
        <is>
          <t>木更津総合高等学校</t>
        </is>
      </c>
      <c r="E14" s="6" t="inlineStr">
        <is>
          <t>0438-30-5511</t>
        </is>
      </c>
      <c r="F14" s="7" t="inlineStr">
        <is>
          <t>中</t>
        </is>
      </c>
      <c r="G14" s="5" t="inlineStr">
        <is>
          <t>普通科</t>
        </is>
      </c>
      <c r="H14" s="8" t="n"/>
      <c r="I14" s="9" t="n"/>
      <c r="J14" s="9" t="inlineStr">
        <is>
          <t>未架電</t>
        </is>
      </c>
      <c r="K14" s="8" t="n"/>
      <c r="L14" s="9" t="n"/>
      <c r="M14" s="10" t="inlineStr">
        <is>
          <t>学校情報サイト1件のみで確認</t>
        </is>
      </c>
      <c r="N14" s="11" t="inlineStr">
        <is>
          <t>https://www.inter-edu.com/schools/school/579</t>
        </is>
      </c>
      <c r="O14" s="12" t="inlineStr">
        <is>
          <t>開く</t>
        </is>
      </c>
    </row>
    <row r="15">
      <c r="A15" s="4" t="n">
        <v>11</v>
      </c>
      <c r="B15" s="5" t="inlineStr">
        <is>
          <t>千葉県</t>
        </is>
      </c>
      <c r="C15" s="5" t="inlineStr">
        <is>
          <t>木更津市</t>
        </is>
      </c>
      <c r="D15" s="5" t="inlineStr">
        <is>
          <t>暁星国際高等学校</t>
        </is>
      </c>
      <c r="E15" s="6" t="inlineStr">
        <is>
          <t>0438-52-3291</t>
        </is>
      </c>
      <c r="F15" s="13" t="inlineStr">
        <is>
          <t>高</t>
        </is>
      </c>
      <c r="G15" s="5" t="inlineStr">
        <is>
          <t>普通科</t>
        </is>
      </c>
      <c r="H15" s="8" t="n"/>
      <c r="I15" s="9" t="n"/>
      <c r="J15" s="9" t="inlineStr">
        <is>
          <t>未架電</t>
        </is>
      </c>
      <c r="K15" s="8" t="n"/>
      <c r="L15" s="9" t="n"/>
      <c r="M15" s="10" t="inlineStr">
        <is>
          <t>中高共通。東京の暁星とは別の学校</t>
        </is>
      </c>
      <c r="N15" s="11" t="inlineStr">
        <is>
          <t>https://www.inter-edu.com/schools/school/27 ; https://www.minkou.jp/junior/school/9352/</t>
        </is>
      </c>
      <c r="O15" s="12" t="inlineStr">
        <is>
          <t>開く</t>
        </is>
      </c>
    </row>
    <row r="16">
      <c r="A16" s="4" t="n">
        <v>12</v>
      </c>
      <c r="B16" s="5" t="inlineStr">
        <is>
          <t>千葉県</t>
        </is>
      </c>
      <c r="C16" s="5" t="inlineStr">
        <is>
          <t>千葉市稲毛区</t>
        </is>
      </c>
      <c r="D16" s="5" t="inlineStr">
        <is>
          <t>敬愛学園高等学校</t>
        </is>
      </c>
      <c r="E16" s="6" t="inlineStr">
        <is>
          <t>043-251-6361</t>
        </is>
      </c>
      <c r="F16" s="13" t="inlineStr">
        <is>
          <t>高</t>
        </is>
      </c>
      <c r="G16" s="5" t="inlineStr">
        <is>
          <t>普通科</t>
        </is>
      </c>
      <c r="H16" s="8" t="n"/>
      <c r="I16" s="9" t="n"/>
      <c r="J16" s="9" t="inlineStr">
        <is>
          <t>未架電</t>
        </is>
      </c>
      <c r="K16" s="8" t="n"/>
      <c r="L16" s="9" t="n"/>
      <c r="M16" s="10" t="inlineStr">
        <is>
          <t>2つのサイトで一致。千葉敬愛・敬愛大学八日市場・横芝敬愛とは別の学校</t>
        </is>
      </c>
      <c r="N16" s="11" t="inlineStr">
        <is>
          <t>https://www.inter-edu.com/schools/school/583 ; https://school.js88.com/scl_h/22006800</t>
        </is>
      </c>
      <c r="O16" s="12" t="inlineStr">
        <is>
          <t>開く</t>
        </is>
      </c>
    </row>
    <row r="17">
      <c r="A17" s="4" t="n">
        <v>13</v>
      </c>
      <c r="B17" s="5" t="inlineStr">
        <is>
          <t>千葉県</t>
        </is>
      </c>
      <c r="C17" s="5" t="inlineStr">
        <is>
          <t>匝瑳市</t>
        </is>
      </c>
      <c r="D17" s="5" t="inlineStr">
        <is>
          <t>敬愛大学八日市場高等学校</t>
        </is>
      </c>
      <c r="E17" s="6" t="inlineStr">
        <is>
          <t>0479-72-1588</t>
        </is>
      </c>
      <c r="F17" s="13" t="inlineStr">
        <is>
          <t>高</t>
        </is>
      </c>
      <c r="G17" s="5" t="inlineStr">
        <is>
          <t>普通科</t>
        </is>
      </c>
      <c r="H17" s="8" t="n"/>
      <c r="I17" s="9" t="n"/>
      <c r="J17" s="9" t="inlineStr">
        <is>
          <t>未架電</t>
        </is>
      </c>
      <c r="K17" s="8" t="n"/>
      <c r="L17" s="9" t="n"/>
      <c r="M17" s="10" t="inlineStr">
        <is>
          <t>千葉県の私立高校名簿と一致。通信制の問い合わせは0479-79-6600とみられる</t>
        </is>
      </c>
      <c r="N17" s="11" t="inlineStr">
        <is>
          <t>https://www.pref.chiba.lg.jp/gakuji/shiritsutou/shiritsugakkou/koukou-meibo.html ; https://school.js88.com/scl_h/22006590</t>
        </is>
      </c>
      <c r="O17" s="12" t="inlineStr">
        <is>
          <t>開く</t>
        </is>
      </c>
    </row>
    <row r="18">
      <c r="A18" s="4" t="n">
        <v>14</v>
      </c>
      <c r="B18" s="5" t="inlineStr">
        <is>
          <t>千葉県</t>
        </is>
      </c>
      <c r="C18" s="5" t="inlineStr">
        <is>
          <t>松戸市</t>
        </is>
      </c>
      <c r="D18" s="5" t="inlineStr">
        <is>
          <t>光英VERITAS高等学校</t>
        </is>
      </c>
      <c r="E18" s="6" t="inlineStr">
        <is>
          <t>047-392-8111</t>
        </is>
      </c>
      <c r="F18" s="7" t="inlineStr">
        <is>
          <t>中</t>
        </is>
      </c>
      <c r="G18" s="5" t="inlineStr">
        <is>
          <t>普通科・専門学科</t>
        </is>
      </c>
      <c r="H18" s="8" t="n"/>
      <c r="I18" s="9" t="n"/>
      <c r="J18" s="9" t="inlineStr">
        <is>
          <t>未架電</t>
        </is>
      </c>
      <c r="K18" s="8" t="n"/>
      <c r="L18" s="9" t="n"/>
      <c r="M18" s="10" t="inlineStr">
        <is>
          <t>中高共通。旧 聖徳大学附属女子高校</t>
        </is>
      </c>
      <c r="N18" s="11" t="inlineStr">
        <is>
          <t>https://www.inter-edu.com/schools/school/532 ; https://school.js88.com/scl_h/22007070</t>
        </is>
      </c>
      <c r="O18" s="12" t="inlineStr">
        <is>
          <t>開く</t>
        </is>
      </c>
    </row>
    <row r="19">
      <c r="A19" s="4" t="n">
        <v>15</v>
      </c>
      <c r="B19" s="5" t="inlineStr">
        <is>
          <t>千葉県</t>
        </is>
      </c>
      <c r="C19" s="5" t="inlineStr">
        <is>
          <t>市川市</t>
        </is>
      </c>
      <c r="D19" s="5" t="inlineStr">
        <is>
          <t>国府台女子学院高等部</t>
        </is>
      </c>
      <c r="E19" s="6" t="inlineStr">
        <is>
          <t>047-326-8100</t>
        </is>
      </c>
      <c r="F19" s="7" t="inlineStr">
        <is>
          <t>中</t>
        </is>
      </c>
      <c r="G19" s="5" t="inlineStr">
        <is>
          <t>普通科・専門学科</t>
        </is>
      </c>
      <c r="H19" s="8" t="n"/>
      <c r="I19" s="9" t="n"/>
      <c r="J19" s="9" t="inlineStr">
        <is>
          <t>未架電</t>
        </is>
      </c>
      <c r="K19" s="8" t="n"/>
      <c r="L19" s="9" t="n"/>
      <c r="M19" s="10" t="inlineStr">
        <is>
          <t>千葉県の教育便覧では高等部の番号。中高の番号として047-322-7770を載せる資料もあり、代表か不明。中学部は047-322-7777</t>
        </is>
      </c>
      <c r="N19" s="11" t="inlineStr">
        <is>
          <t>https://school.js88.com/scl_h/22006780 ; https://www.pref.chiba.lg.jp/kyouiku/seisaku/kouhou/kyouikubinran/documents/192-197_1.pdf</t>
        </is>
      </c>
      <c r="O19" s="12" t="inlineStr">
        <is>
          <t>開く</t>
        </is>
      </c>
    </row>
    <row r="20">
      <c r="A20" s="4" t="n">
        <v>16</v>
      </c>
      <c r="B20" s="5" t="inlineStr">
        <is>
          <t>千葉県</t>
        </is>
      </c>
      <c r="C20" s="5" t="inlineStr">
        <is>
          <t>木更津市</t>
        </is>
      </c>
      <c r="D20" s="5" t="inlineStr">
        <is>
          <t>志学館高等部</t>
        </is>
      </c>
      <c r="E20" s="6" t="inlineStr">
        <is>
          <t>0438-37-3131</t>
        </is>
      </c>
      <c r="F20" s="13" t="inlineStr">
        <is>
          <t>高</t>
        </is>
      </c>
      <c r="G20" s="5" t="inlineStr">
        <is>
          <t>普通科</t>
        </is>
      </c>
      <c r="H20" s="8" t="n"/>
      <c r="I20" s="9" t="n"/>
      <c r="J20" s="9" t="inlineStr">
        <is>
          <t>未架電</t>
        </is>
      </c>
      <c r="K20" s="8" t="n"/>
      <c r="L20" s="9" t="n"/>
      <c r="M20" s="10" t="inlineStr">
        <is>
          <t>公式パンフレットに「代表」と記載</t>
        </is>
      </c>
      <c r="N20" s="11" t="inlineStr">
        <is>
          <t>https://www.shigakukan.ed.jp/contents/wp-content/uploads/2025/09/SS_Pamph2026.pdf</t>
        </is>
      </c>
      <c r="O20" s="12" t="inlineStr">
        <is>
          <t>開く</t>
        </is>
      </c>
    </row>
    <row r="21">
      <c r="A21" s="4" t="n">
        <v>17</v>
      </c>
      <c r="B21" s="5" t="inlineStr">
        <is>
          <t>千葉県</t>
        </is>
      </c>
      <c r="C21" s="5" t="inlineStr">
        <is>
          <t>柏市</t>
        </is>
      </c>
      <c r="D21" s="5" t="inlineStr">
        <is>
          <t>芝浦工業大学柏高等学校</t>
        </is>
      </c>
      <c r="E21" s="6" t="inlineStr">
        <is>
          <t>04-7174-3100</t>
        </is>
      </c>
      <c r="F21" s="13" t="inlineStr">
        <is>
          <t>高</t>
        </is>
      </c>
      <c r="G21" s="5" t="inlineStr">
        <is>
          <t>普通科</t>
        </is>
      </c>
      <c r="H21" s="8" t="n"/>
      <c r="I21" s="9" t="n"/>
      <c r="J21" s="9" t="inlineStr">
        <is>
          <t>未架電</t>
        </is>
      </c>
      <c r="K21" s="8" t="n"/>
      <c r="L21" s="9" t="n"/>
      <c r="M21" s="10" t="inlineStr">
        <is>
          <t>公式資料で確認。中高共通</t>
        </is>
      </c>
      <c r="N21" s="11" t="inlineStr">
        <is>
          <t>https://www.ka.shibaura-it.ac.jp/wp-content/uploads/2026/02/b3c50081251967bacbbff120efa7d4b7.pdf</t>
        </is>
      </c>
      <c r="O21" s="12" t="inlineStr">
        <is>
          <t>開く</t>
        </is>
      </c>
    </row>
    <row r="22">
      <c r="A22" s="4" t="n">
        <v>18</v>
      </c>
      <c r="B22" s="5" t="inlineStr">
        <is>
          <t>千葉県</t>
        </is>
      </c>
      <c r="C22" s="5" t="inlineStr">
        <is>
          <t>千葉市美浜区</t>
        </is>
      </c>
      <c r="D22" s="5" t="inlineStr">
        <is>
          <t>渋谷教育学園幕張高等学校</t>
        </is>
      </c>
      <c r="E22" s="6" t="inlineStr">
        <is>
          <t>043-271-1221</t>
        </is>
      </c>
      <c r="F22" s="13" t="inlineStr">
        <is>
          <t>高</t>
        </is>
      </c>
      <c r="G22" s="5" t="inlineStr">
        <is>
          <t>普通科</t>
        </is>
      </c>
      <c r="H22" s="8" t="n"/>
      <c r="I22" s="9" t="n"/>
      <c r="J22" s="9" t="inlineStr">
        <is>
          <t>未架電</t>
        </is>
      </c>
      <c r="K22" s="8" t="n"/>
      <c r="L22" s="9" t="n"/>
      <c r="M22" s="10" t="inlineStr">
        <is>
          <t>公式資料で確認。中高共通</t>
        </is>
      </c>
      <c r="N22" s="11" t="inlineStr">
        <is>
          <t>https://www.shibumaku.jp/wp-content/uploads/2021/03/transfer2021-4.pdf</t>
        </is>
      </c>
      <c r="O22" s="12" t="inlineStr">
        <is>
          <t>開く</t>
        </is>
      </c>
    </row>
    <row r="23">
      <c r="A23" s="4" t="n">
        <v>19</v>
      </c>
      <c r="B23" s="5" t="inlineStr">
        <is>
          <t>千葉県</t>
        </is>
      </c>
      <c r="C23" s="5" t="inlineStr">
        <is>
          <t>八千代市</t>
        </is>
      </c>
      <c r="D23" s="5" t="inlineStr">
        <is>
          <t>秀明大学学校教師学部附属秀明八千代高等学校</t>
        </is>
      </c>
      <c r="E23" s="6" t="inlineStr">
        <is>
          <t>047-450-7001</t>
        </is>
      </c>
      <c r="F23" s="13" t="inlineStr">
        <is>
          <t>高</t>
        </is>
      </c>
      <c r="G23" s="5" t="inlineStr">
        <is>
          <t>普通科</t>
        </is>
      </c>
      <c r="H23" s="8" t="n"/>
      <c r="I23" s="9" t="n"/>
      <c r="J23" s="9" t="inlineStr">
        <is>
          <t>未架電</t>
        </is>
      </c>
      <c r="K23" s="8" t="n"/>
      <c r="L23" s="9" t="n"/>
      <c r="M23" s="10" t="inlineStr">
        <is>
          <t>2つのサイトで一致</t>
        </is>
      </c>
      <c r="N23" s="11" t="inlineStr">
        <is>
          <t>https://school.js88.com/scl_h/22007080 ; https://www.inter-edu.com/schools/school/209</t>
        </is>
      </c>
      <c r="O23" s="12" t="inlineStr">
        <is>
          <t>開く</t>
        </is>
      </c>
    </row>
    <row r="24">
      <c r="A24" s="4" t="n">
        <v>20</v>
      </c>
      <c r="B24" s="5" t="inlineStr">
        <is>
          <t>千葉県</t>
        </is>
      </c>
      <c r="C24" s="5" t="inlineStr">
        <is>
          <t>君津市</t>
        </is>
      </c>
      <c r="D24" s="5" t="inlineStr">
        <is>
          <t>翔凜高等学校</t>
        </is>
      </c>
      <c r="E24" s="6" t="inlineStr">
        <is>
          <t>0439-55-1200</t>
        </is>
      </c>
      <c r="F24" s="13" t="inlineStr">
        <is>
          <t>高</t>
        </is>
      </c>
      <c r="G24" s="5" t="inlineStr">
        <is>
          <t>専門学科</t>
        </is>
      </c>
      <c r="H24" s="8" t="n"/>
      <c r="I24" s="9" t="n"/>
      <c r="J24" s="9" t="inlineStr">
        <is>
          <t>未架電</t>
        </is>
      </c>
      <c r="K24" s="8" t="n"/>
      <c r="L24" s="9" t="n"/>
      <c r="M24" s="10" t="inlineStr">
        <is>
          <t>中高共通</t>
        </is>
      </c>
      <c r="N24" s="11" t="inlineStr">
        <is>
          <t>https://school.js88.com/scl_h/22007120/ ; https://www.inter-edu.com/schools/school/1485</t>
        </is>
      </c>
      <c r="O24" s="12" t="inlineStr">
        <is>
          <t>開く</t>
        </is>
      </c>
    </row>
    <row r="25">
      <c r="A25" s="4" t="n">
        <v>21</v>
      </c>
      <c r="B25" s="5" t="inlineStr">
        <is>
          <t>千葉県</t>
        </is>
      </c>
      <c r="C25" s="5" t="inlineStr">
        <is>
          <t>市川市</t>
        </is>
      </c>
      <c r="D25" s="5" t="inlineStr">
        <is>
          <t>昭和学院高等学校</t>
        </is>
      </c>
      <c r="E25" s="6" t="inlineStr">
        <is>
          <t>047-323-4171</t>
        </is>
      </c>
      <c r="F25" s="13" t="inlineStr">
        <is>
          <t>高</t>
        </is>
      </c>
      <c r="G25" s="5" t="inlineStr">
        <is>
          <t>普通科</t>
        </is>
      </c>
      <c r="H25" s="8" t="n"/>
      <c r="I25" s="9" t="n"/>
      <c r="J25" s="9" t="inlineStr">
        <is>
          <t>未架電</t>
        </is>
      </c>
      <c r="K25" s="8" t="n"/>
      <c r="L25" s="9" t="n"/>
      <c r="M25" s="10" t="inlineStr">
        <is>
          <t>中高共通。昭和学院秀英（千葉市）とは別の学校</t>
        </is>
      </c>
      <c r="N25" s="11" t="inlineStr">
        <is>
          <t>https://www.inter-edu.com/schools/school/214 ; https://www.pref.chiba.lg.jp/gakuji/shiritsutou/shiritsugakkou/documents/r8chugaku.pdf</t>
        </is>
      </c>
      <c r="O25" s="12" t="inlineStr">
        <is>
          <t>開く</t>
        </is>
      </c>
    </row>
    <row r="26">
      <c r="A26" s="4" t="n">
        <v>22</v>
      </c>
      <c r="B26" s="5" t="inlineStr">
        <is>
          <t>千葉県</t>
        </is>
      </c>
      <c r="C26" s="5" t="inlineStr">
        <is>
          <t>千葉市美浜区</t>
        </is>
      </c>
      <c r="D26" s="5" t="inlineStr">
        <is>
          <t>昭和学院秀英高等学校</t>
        </is>
      </c>
      <c r="E26" s="6" t="inlineStr">
        <is>
          <t>043-272-2481</t>
        </is>
      </c>
      <c r="F26" s="13" t="inlineStr">
        <is>
          <t>高</t>
        </is>
      </c>
      <c r="G26" s="5" t="inlineStr">
        <is>
          <t>普通科</t>
        </is>
      </c>
      <c r="H26" s="8" t="n"/>
      <c r="I26" s="9" t="n"/>
      <c r="J26" s="9" t="inlineStr">
        <is>
          <t>未架電</t>
        </is>
      </c>
      <c r="K26" s="8" t="n"/>
      <c r="L26" s="9" t="n"/>
      <c r="M26" s="10" t="inlineStr">
        <is>
          <t>中高共通。複数サイトで一致</t>
        </is>
      </c>
      <c r="N26" s="11" t="inlineStr">
        <is>
          <t>https://www.inter-edu.com/schools/school/34</t>
        </is>
      </c>
      <c r="O26" s="12" t="inlineStr">
        <is>
          <t>開く</t>
        </is>
      </c>
    </row>
    <row r="27">
      <c r="A27" s="4" t="n">
        <v>23</v>
      </c>
      <c r="B27" s="5" t="inlineStr">
        <is>
          <t>千葉県</t>
        </is>
      </c>
      <c r="C27" s="5" t="inlineStr">
        <is>
          <t>野田市</t>
        </is>
      </c>
      <c r="D27" s="5" t="inlineStr">
        <is>
          <t>西武台千葉高等学校</t>
        </is>
      </c>
      <c r="E27" s="6" t="inlineStr">
        <is>
          <t>04-7127-1111</t>
        </is>
      </c>
      <c r="F27" s="13" t="inlineStr">
        <is>
          <t>高</t>
        </is>
      </c>
      <c r="G27" s="5" t="inlineStr">
        <is>
          <t>普通科</t>
        </is>
      </c>
      <c r="H27" s="8" t="n"/>
      <c r="I27" s="9" t="n"/>
      <c r="J27" s="9" t="inlineStr">
        <is>
          <t>未架電</t>
        </is>
      </c>
      <c r="K27" s="8" t="n"/>
      <c r="L27" s="9" t="n"/>
      <c r="M27" s="10" t="inlineStr">
        <is>
          <t>中高共通</t>
        </is>
      </c>
      <c r="N27" s="11" t="inlineStr">
        <is>
          <t>https://school.js88.com/scl_h/22007100/ ; https://www.inter-edu.com/schools/school/163</t>
        </is>
      </c>
      <c r="O27" s="12" t="inlineStr">
        <is>
          <t>開く</t>
        </is>
      </c>
    </row>
    <row r="28">
      <c r="A28" s="4" t="n">
        <v>24</v>
      </c>
      <c r="B28" s="5" t="inlineStr">
        <is>
          <t>千葉県</t>
        </is>
      </c>
      <c r="C28" s="5" t="inlineStr">
        <is>
          <t>松戸市</t>
        </is>
      </c>
      <c r="D28" s="5" t="inlineStr">
        <is>
          <t>専修大学松戸高等学校</t>
        </is>
      </c>
      <c r="E28" s="6" t="inlineStr">
        <is>
          <t>047-362-9101</t>
        </is>
      </c>
      <c r="F28" s="7" t="inlineStr">
        <is>
          <t>中</t>
        </is>
      </c>
      <c r="G28" s="5" t="inlineStr">
        <is>
          <t>普通科</t>
        </is>
      </c>
      <c r="H28" s="8" t="n"/>
      <c r="I28" s="9" t="n"/>
      <c r="J28" s="9" t="inlineStr">
        <is>
          <t>未架電</t>
        </is>
      </c>
      <c r="K28" s="8" t="n"/>
      <c r="L28" s="9" t="n"/>
      <c r="M28" s="10" t="inlineStr">
        <is>
          <t>資料では高校9101・中学9102と併記。中高代表を047-362-9102とするサイトもあり食い違い</t>
        </is>
      </c>
      <c r="N28" s="11" t="inlineStr">
        <is>
          <t>https://univpress.co.jp/gk_pdf/12524.pdf</t>
        </is>
      </c>
      <c r="O28" s="12" t="inlineStr">
        <is>
          <t>開く</t>
        </is>
      </c>
    </row>
    <row r="29">
      <c r="A29" s="4" t="n">
        <v>25</v>
      </c>
      <c r="B29" s="5" t="inlineStr">
        <is>
          <t>千葉県</t>
        </is>
      </c>
      <c r="C29" s="5" t="inlineStr">
        <is>
          <t>木更津市</t>
        </is>
      </c>
      <c r="D29" s="5" t="inlineStr">
        <is>
          <t>拓殖大学紅陵高等学校</t>
        </is>
      </c>
      <c r="E29" s="6" t="inlineStr">
        <is>
          <t>0438-37-2511</t>
        </is>
      </c>
      <c r="F29" s="7" t="inlineStr">
        <is>
          <t>中</t>
        </is>
      </c>
      <c r="G29" s="5" t="inlineStr">
        <is>
          <t>普通科</t>
        </is>
      </c>
      <c r="H29" s="8" t="n"/>
      <c r="I29" s="9" t="n"/>
      <c r="J29" s="9" t="inlineStr">
        <is>
          <t>未架電</t>
        </is>
      </c>
      <c r="K29" s="8" t="n"/>
      <c r="L29" s="9" t="n"/>
      <c r="M29" s="10" t="inlineStr">
        <is>
          <t>学校情報サイト1件のみで確認</t>
        </is>
      </c>
      <c r="N29" s="11" t="inlineStr">
        <is>
          <t>https://www.inter-edu.com/schools/school/627</t>
        </is>
      </c>
      <c r="O29" s="12" t="inlineStr">
        <is>
          <t>開く</t>
        </is>
      </c>
    </row>
    <row r="30">
      <c r="A30" s="4" t="n">
        <v>26</v>
      </c>
      <c r="B30" s="5" t="inlineStr">
        <is>
          <t>千葉県</t>
        </is>
      </c>
      <c r="C30" s="5" t="inlineStr">
        <is>
          <t>八千代市</t>
        </is>
      </c>
      <c r="D30" s="5" t="inlineStr">
        <is>
          <t>千葉英和高等学校</t>
        </is>
      </c>
      <c r="E30" s="6" t="inlineStr">
        <is>
          <t>047-484-5141</t>
        </is>
      </c>
      <c r="F30" s="13" t="inlineStr">
        <is>
          <t>高</t>
        </is>
      </c>
      <c r="G30" s="5" t="inlineStr">
        <is>
          <t>普通科・専門学科</t>
        </is>
      </c>
      <c r="H30" s="8" t="n"/>
      <c r="I30" s="9" t="n"/>
      <c r="J30" s="9" t="inlineStr">
        <is>
          <t>未架電</t>
        </is>
      </c>
      <c r="K30" s="8" t="n"/>
      <c r="L30" s="9" t="n"/>
      <c r="M30" s="10" t="inlineStr">
        <is>
          <t>2つのサイトで一致</t>
        </is>
      </c>
      <c r="N30" s="11" t="inlineStr">
        <is>
          <t>https://www.inter-edu.com/schools/school/643 ; https://school.js88.com/scl_h/22006720?page=5</t>
        </is>
      </c>
      <c r="O30" s="12" t="inlineStr">
        <is>
          <t>開く</t>
        </is>
      </c>
    </row>
    <row r="31">
      <c r="A31" s="4" t="n">
        <v>27</v>
      </c>
      <c r="B31" s="5" t="inlineStr">
        <is>
          <t>千葉県</t>
        </is>
      </c>
      <c r="C31" s="5" t="inlineStr">
        <is>
          <t>東金市</t>
        </is>
      </c>
      <c r="D31" s="5" t="inlineStr">
        <is>
          <t>千葉学芸高等学校</t>
        </is>
      </c>
      <c r="E31" s="6" t="inlineStr">
        <is>
          <t>0475-52-1161</t>
        </is>
      </c>
      <c r="F31" s="13" t="inlineStr">
        <is>
          <t>高</t>
        </is>
      </c>
      <c r="G31" s="5" t="inlineStr">
        <is>
          <t>普通科</t>
        </is>
      </c>
      <c r="H31" s="8" t="n"/>
      <c r="I31" s="9" t="n"/>
      <c r="J31" s="9" t="inlineStr">
        <is>
          <t>未架電</t>
        </is>
      </c>
      <c r="K31" s="8" t="n"/>
      <c r="L31" s="9" t="n"/>
      <c r="M31" s="10" t="inlineStr">
        <is>
          <t>公式資料で確認</t>
        </is>
      </c>
      <c r="N31" s="11" t="inlineStr">
        <is>
          <t>https://cgh.ed.jp/edu-contents/hyoka/2025evaluation.pdf</t>
        </is>
      </c>
      <c r="O31" s="12" t="inlineStr">
        <is>
          <t>開く</t>
        </is>
      </c>
    </row>
    <row r="32">
      <c r="A32" s="4" t="n">
        <v>28</v>
      </c>
      <c r="B32" s="5" t="inlineStr">
        <is>
          <t>千葉県</t>
        </is>
      </c>
      <c r="C32" s="5" t="inlineStr">
        <is>
          <t>四街道市</t>
        </is>
      </c>
      <c r="D32" s="5" t="inlineStr">
        <is>
          <t>千葉敬愛高等学校</t>
        </is>
      </c>
      <c r="E32" s="6" t="inlineStr">
        <is>
          <t>043-422-0131</t>
        </is>
      </c>
      <c r="F32" s="13" t="inlineStr">
        <is>
          <t>高</t>
        </is>
      </c>
      <c r="G32" s="5" t="inlineStr">
        <is>
          <t>普通科</t>
        </is>
      </c>
      <c r="H32" s="8" t="n"/>
      <c r="I32" s="9" t="n"/>
      <c r="J32" s="9" t="inlineStr">
        <is>
          <t>未架電</t>
        </is>
      </c>
      <c r="K32" s="8" t="n"/>
      <c r="L32" s="9" t="n"/>
      <c r="M32" s="10" t="inlineStr">
        <is>
          <t>千葉県の私立高校名簿（R8）で確認</t>
        </is>
      </c>
      <c r="N32" s="11" t="inlineStr">
        <is>
          <t>https://www.pref.chiba.lg.jp/gakuji/shiritsutou/shiritsugakkou/koukou-meibo.html</t>
        </is>
      </c>
      <c r="O32" s="12" t="inlineStr">
        <is>
          <t>開く</t>
        </is>
      </c>
    </row>
    <row r="33">
      <c r="A33" s="4" t="n">
        <v>29</v>
      </c>
      <c r="B33" s="5" t="inlineStr">
        <is>
          <t>千葉県</t>
        </is>
      </c>
      <c r="C33" s="5" t="inlineStr">
        <is>
          <t>千葉市稲毛区</t>
        </is>
      </c>
      <c r="D33" s="5" t="inlineStr">
        <is>
          <t>千葉経済大学附属高等学校</t>
        </is>
      </c>
      <c r="E33" s="6" t="inlineStr">
        <is>
          <t>043-251-7221</t>
        </is>
      </c>
      <c r="F33" s="13" t="inlineStr">
        <is>
          <t>高</t>
        </is>
      </c>
      <c r="G33" s="5" t="inlineStr">
        <is>
          <t>普通科・専門学科</t>
        </is>
      </c>
      <c r="H33" s="8" t="n"/>
      <c r="I33" s="9" t="n"/>
      <c r="J33" s="9" t="inlineStr">
        <is>
          <t>未架電</t>
        </is>
      </c>
      <c r="K33" s="8" t="n"/>
      <c r="L33" s="9" t="n"/>
      <c r="M33" s="10" t="inlineStr">
        <is>
          <t>千葉県の私立高校名簿で確認</t>
        </is>
      </c>
      <c r="N33" s="11" t="inlineStr">
        <is>
          <t>https://www.pref.chiba.lg.jp/gakuji/shiritsutou/shiritsugakkou/koukou-meibo.html</t>
        </is>
      </c>
      <c r="O33" s="12" t="inlineStr">
        <is>
          <t>開く</t>
        </is>
      </c>
    </row>
    <row r="34">
      <c r="A34" s="4" t="n">
        <v>30</v>
      </c>
      <c r="B34" s="5" t="inlineStr">
        <is>
          <t>千葉県</t>
        </is>
      </c>
      <c r="C34" s="5" t="inlineStr">
        <is>
          <t>館山市</t>
        </is>
      </c>
      <c r="D34" s="5" t="inlineStr">
        <is>
          <t>千葉県安房西高等学校</t>
        </is>
      </c>
      <c r="E34" s="6" t="inlineStr">
        <is>
          <t>0470-22-0545</t>
        </is>
      </c>
      <c r="F34" s="7" t="inlineStr">
        <is>
          <t>中</t>
        </is>
      </c>
      <c r="G34" s="5" t="inlineStr">
        <is>
          <t>普通科</t>
        </is>
      </c>
      <c r="H34" s="8" t="n"/>
      <c r="I34" s="9" t="n"/>
      <c r="J34" s="9" t="inlineStr">
        <is>
          <t>未架電</t>
        </is>
      </c>
      <c r="K34" s="8" t="n"/>
      <c r="L34" s="9" t="n"/>
      <c r="M34" s="10" t="inlineStr">
        <is>
          <t>私立。学校情報サイト1件のみで確認。県立安房高校（0470-22-0130）とは別の学校</t>
        </is>
      </c>
      <c r="N34" s="11" t="inlineStr">
        <is>
          <t>https://school.js88.com/scl_h/22006670</t>
        </is>
      </c>
      <c r="O34" s="12" t="inlineStr">
        <is>
          <t>開く</t>
        </is>
      </c>
    </row>
    <row r="35">
      <c r="A35" s="4" t="n">
        <v>31</v>
      </c>
      <c r="B35" s="5" t="inlineStr">
        <is>
          <t>千葉県</t>
        </is>
      </c>
      <c r="C35" s="5" t="inlineStr">
        <is>
          <t>市川市</t>
        </is>
      </c>
      <c r="D35" s="5" t="inlineStr">
        <is>
          <t>千葉商科大学付属高等学校</t>
        </is>
      </c>
      <c r="E35" s="6" t="inlineStr">
        <is>
          <t>047-373-2111</t>
        </is>
      </c>
      <c r="F35" s="13" t="inlineStr">
        <is>
          <t>高</t>
        </is>
      </c>
      <c r="G35" s="5" t="inlineStr">
        <is>
          <t>普通科・専門学科</t>
        </is>
      </c>
      <c r="H35" s="8" t="n"/>
      <c r="I35" s="9" t="n"/>
      <c r="J35" s="9" t="inlineStr">
        <is>
          <t>未架電</t>
        </is>
      </c>
      <c r="K35" s="8" t="n"/>
      <c r="L35" s="9" t="n"/>
      <c r="M35" s="10" t="inlineStr">
        <is>
          <t>2つの情報源で一致</t>
        </is>
      </c>
      <c r="N35" s="11" t="inlineStr">
        <is>
          <t>https://www.inter-edu.com/schools/school/644 ; https://www.univpress.co.jp/gk_pdf/12519.pdf</t>
        </is>
      </c>
      <c r="O35" s="12" t="inlineStr">
        <is>
          <t>開く</t>
        </is>
      </c>
    </row>
    <row r="36">
      <c r="A36" s="4" t="n">
        <v>32</v>
      </c>
      <c r="B36" s="5" t="inlineStr">
        <is>
          <t>千葉県</t>
        </is>
      </c>
      <c r="C36" s="5" t="inlineStr">
        <is>
          <t>千葉市中央区</t>
        </is>
      </c>
      <c r="D36" s="5" t="inlineStr">
        <is>
          <t>千葉聖心高等学校</t>
        </is>
      </c>
      <c r="E36" s="6" t="inlineStr">
        <is>
          <t>043-225-4151</t>
        </is>
      </c>
      <c r="F36" s="7" t="inlineStr">
        <is>
          <t>中</t>
        </is>
      </c>
      <c r="G36" s="5" t="inlineStr">
        <is>
          <t>普通科</t>
        </is>
      </c>
      <c r="H36" s="8" t="n"/>
      <c r="I36" s="9" t="n"/>
      <c r="J36" s="9" t="inlineStr">
        <is>
          <t>未架電</t>
        </is>
      </c>
      <c r="K36" s="8" t="n"/>
      <c r="L36" s="9" t="n"/>
      <c r="M36" s="10" t="inlineStr">
        <is>
          <t>学校情報サイト1件のみで確認</t>
        </is>
      </c>
      <c r="N36" s="11" t="inlineStr">
        <is>
          <t>https://www.inter-edu.com/schools/school/999</t>
        </is>
      </c>
      <c r="O36" s="12" t="inlineStr">
        <is>
          <t>開く</t>
        </is>
      </c>
    </row>
    <row r="37">
      <c r="A37" s="4" t="n">
        <v>33</v>
      </c>
      <c r="B37" s="5" t="inlineStr">
        <is>
          <t>千葉県</t>
        </is>
      </c>
      <c r="C37" s="5" t="inlineStr">
        <is>
          <t>船橋市</t>
        </is>
      </c>
      <c r="D37" s="5" t="inlineStr">
        <is>
          <t>千葉日本大学第一高等学校</t>
        </is>
      </c>
      <c r="E37" s="6" t="inlineStr">
        <is>
          <t>047-466-5155</t>
        </is>
      </c>
      <c r="F37" s="7" t="inlineStr">
        <is>
          <t>中</t>
        </is>
      </c>
      <c r="G37" s="5" t="inlineStr">
        <is>
          <t>普通科</t>
        </is>
      </c>
      <c r="H37" s="8" t="n"/>
      <c r="I37" s="9" t="n"/>
      <c r="J37" s="9" t="inlineStr">
        <is>
          <t>未架電</t>
        </is>
      </c>
      <c r="K37" s="8" t="n"/>
      <c r="L37" s="9" t="n"/>
      <c r="M37" s="10" t="inlineStr">
        <is>
          <t>中高共通。学校情報サイト1件のみで確認</t>
        </is>
      </c>
      <c r="N37" s="11" t="inlineStr">
        <is>
          <t>https://www.inter-edu.com/schools/school/165</t>
        </is>
      </c>
      <c r="O37" s="12" t="inlineStr">
        <is>
          <t>開く</t>
        </is>
      </c>
    </row>
    <row r="38">
      <c r="A38" s="4" t="n">
        <v>34</v>
      </c>
      <c r="B38" s="5" t="inlineStr">
        <is>
          <t>千葉県</t>
        </is>
      </c>
      <c r="C38" s="5" t="inlineStr">
        <is>
          <t>香取市</t>
        </is>
      </c>
      <c r="D38" s="5" t="inlineStr">
        <is>
          <t>千葉萌陽高等学校</t>
        </is>
      </c>
      <c r="E38" s="6" t="inlineStr">
        <is>
          <t>0478-52-2959</t>
        </is>
      </c>
      <c r="F38" s="7" t="inlineStr">
        <is>
          <t>中</t>
        </is>
      </c>
      <c r="G38" s="5" t="inlineStr">
        <is>
          <t>普通科</t>
        </is>
      </c>
      <c r="H38" s="8" t="n"/>
      <c r="I38" s="9" t="n"/>
      <c r="J38" s="9" t="inlineStr">
        <is>
          <t>未架電</t>
        </is>
      </c>
      <c r="K38" s="8" t="n"/>
      <c r="L38" s="9" t="n"/>
      <c r="M38" s="10" t="inlineStr">
        <is>
          <t>学校情報サイト1件のみで確認</t>
        </is>
      </c>
      <c r="N38" s="11" t="inlineStr">
        <is>
          <t>https://school.js88.com/scl_h/22006730?page=6</t>
        </is>
      </c>
      <c r="O38" s="12" t="inlineStr">
        <is>
          <t>開く</t>
        </is>
      </c>
    </row>
    <row r="39">
      <c r="A39" s="4" t="n">
        <v>35</v>
      </c>
      <c r="B39" s="5" t="inlineStr">
        <is>
          <t>千葉県</t>
        </is>
      </c>
      <c r="C39" s="5" t="inlineStr">
        <is>
          <t>千葉市中央区</t>
        </is>
      </c>
      <c r="D39" s="5" t="inlineStr">
        <is>
          <t>千葉明徳高等学校</t>
        </is>
      </c>
      <c r="E39" s="6" t="inlineStr">
        <is>
          <t>043-265-1612</t>
        </is>
      </c>
      <c r="F39" s="13" t="inlineStr">
        <is>
          <t>高</t>
        </is>
      </c>
      <c r="G39" s="5" t="inlineStr">
        <is>
          <t>普通科</t>
        </is>
      </c>
      <c r="H39" s="8" t="n"/>
      <c r="I39" s="9" t="n"/>
      <c r="J39" s="9" t="inlineStr">
        <is>
          <t>未架電</t>
        </is>
      </c>
      <c r="K39" s="8" t="n"/>
      <c r="L39" s="9" t="n"/>
      <c r="M39" s="10" t="inlineStr">
        <is>
          <t>中高共通（公式資料で確認）。043-265-1611は法人事務所</t>
        </is>
      </c>
      <c r="N39" s="11" t="inlineStr">
        <is>
          <t>https://edu.chibameitoku.ac.jp/contents/wp-content/uploads/2025/06/sembatsu.pdf</t>
        </is>
      </c>
      <c r="O39" s="12" t="inlineStr">
        <is>
          <t>開く</t>
        </is>
      </c>
    </row>
    <row r="40">
      <c r="A40" s="4" t="n">
        <v>36</v>
      </c>
      <c r="B40" s="5" t="inlineStr">
        <is>
          <t>千葉県</t>
        </is>
      </c>
      <c r="C40" s="5" t="inlineStr">
        <is>
          <t>八街市</t>
        </is>
      </c>
      <c r="D40" s="5" t="inlineStr">
        <is>
          <t>千葉黎明高等学校</t>
        </is>
      </c>
      <c r="E40" s="6" t="inlineStr">
        <is>
          <t>043-443-3221</t>
        </is>
      </c>
      <c r="F40" s="13" t="inlineStr">
        <is>
          <t>高</t>
        </is>
      </c>
      <c r="G40" s="5" t="inlineStr">
        <is>
          <t>普通科・専門学科</t>
        </is>
      </c>
      <c r="H40" s="8" t="n"/>
      <c r="I40" s="9" t="n"/>
      <c r="J40" s="9" t="inlineStr">
        <is>
          <t>未架電</t>
        </is>
      </c>
      <c r="K40" s="8" t="n"/>
      <c r="L40" s="9" t="n"/>
      <c r="M40" s="10" t="inlineStr">
        <is>
          <t>2つの情報源で一致</t>
        </is>
      </c>
      <c r="N40" s="11" t="inlineStr">
        <is>
          <t>https://www.inter-edu.com/schools/school/642 ; https://map.yahoo.co.jp/v3/place/QKbeFNPqVqA</t>
        </is>
      </c>
      <c r="O40" s="12" t="inlineStr">
        <is>
          <t>開く</t>
        </is>
      </c>
    </row>
    <row r="41">
      <c r="A41" s="4" t="n">
        <v>37</v>
      </c>
      <c r="B41" s="5" t="inlineStr">
        <is>
          <t>千葉県</t>
        </is>
      </c>
      <c r="C41" s="5" t="inlineStr">
        <is>
          <t>我孫子市</t>
        </is>
      </c>
      <c r="D41" s="5" t="inlineStr">
        <is>
          <t>中央学院高等学校</t>
        </is>
      </c>
      <c r="E41" s="6" t="inlineStr">
        <is>
          <t>04-7188-1101</t>
        </is>
      </c>
      <c r="F41" s="13" t="inlineStr">
        <is>
          <t>高</t>
        </is>
      </c>
      <c r="G41" s="5" t="inlineStr">
        <is>
          <t>普通科</t>
        </is>
      </c>
      <c r="H41" s="8" t="n"/>
      <c r="I41" s="9" t="n"/>
      <c r="J41" s="9" t="inlineStr">
        <is>
          <t>未架電</t>
        </is>
      </c>
      <c r="K41" s="8" t="n"/>
      <c r="L41" s="9" t="n"/>
      <c r="M41" s="10" t="inlineStr">
        <is>
          <t>公式資料で確認</t>
        </is>
      </c>
      <c r="N41" s="11" t="inlineStr">
        <is>
          <t>https://www.chuogakuin-h.ed.jp/contents/wp-content/uploads/2022/06/549b6957b0479fd3fb964d3fc7063ede.pdf</t>
        </is>
      </c>
      <c r="O41" s="12" t="inlineStr">
        <is>
          <t>開く</t>
        </is>
      </c>
    </row>
    <row r="42">
      <c r="A42" s="4" t="n">
        <v>38</v>
      </c>
      <c r="B42" s="5" t="inlineStr">
        <is>
          <t>千葉県</t>
        </is>
      </c>
      <c r="C42" s="5" t="inlineStr">
        <is>
          <t>市原市</t>
        </is>
      </c>
      <c r="D42" s="5" t="inlineStr">
        <is>
          <t>東海大学付属市原望洋高等学校</t>
        </is>
      </c>
      <c r="E42" s="6" t="inlineStr">
        <is>
          <t>0436-74-4721</t>
        </is>
      </c>
      <c r="F42" s="7" t="inlineStr">
        <is>
          <t>中</t>
        </is>
      </c>
      <c r="G42" s="5" t="inlineStr">
        <is>
          <t>普通科</t>
        </is>
      </c>
      <c r="H42" s="8" t="n"/>
      <c r="I42" s="9" t="n"/>
      <c r="J42" s="9" t="inlineStr">
        <is>
          <t>未架電</t>
        </is>
      </c>
      <c r="K42" s="8" t="n"/>
      <c r="L42" s="9" t="n"/>
      <c r="M42" s="10" t="inlineStr">
        <is>
          <t>学校情報サイト1件のみで確認</t>
        </is>
      </c>
      <c r="N42" s="11" t="inlineStr">
        <is>
          <t>https://school.js88.com/scl_h/22006900</t>
        </is>
      </c>
      <c r="O42" s="12" t="inlineStr">
        <is>
          <t>開く</t>
        </is>
      </c>
    </row>
    <row r="43">
      <c r="A43" s="4" t="n">
        <v>39</v>
      </c>
      <c r="B43" s="5" t="inlineStr">
        <is>
          <t>千葉県</t>
        </is>
      </c>
      <c r="C43" s="5" t="inlineStr">
        <is>
          <t>浦安市</t>
        </is>
      </c>
      <c r="D43" s="5" t="inlineStr">
        <is>
          <t>東海大学付属浦安高等学校</t>
        </is>
      </c>
      <c r="E43" s="6" t="inlineStr">
        <is>
          <t>047-351-2371</t>
        </is>
      </c>
      <c r="F43" s="13" t="inlineStr">
        <is>
          <t>高</t>
        </is>
      </c>
      <c r="G43" s="5" t="inlineStr">
        <is>
          <t>普通科</t>
        </is>
      </c>
      <c r="H43" s="8" t="n"/>
      <c r="I43" s="9" t="n"/>
      <c r="J43" s="9" t="inlineStr">
        <is>
          <t>未架電</t>
        </is>
      </c>
      <c r="K43" s="8" t="n"/>
      <c r="L43" s="9" t="n"/>
      <c r="M43" s="10" t="inlineStr">
        <is>
          <t>高校・中等部共通。複数サイトで一致</t>
        </is>
      </c>
      <c r="N43" s="11" t="inlineStr">
        <is>
          <t>https://www.inter-edu.com/schools/school/166</t>
        </is>
      </c>
      <c r="O43" s="12" t="inlineStr">
        <is>
          <t>開く</t>
        </is>
      </c>
    </row>
    <row r="44">
      <c r="A44" s="4" t="n">
        <v>40</v>
      </c>
      <c r="B44" s="5" t="inlineStr">
        <is>
          <t>千葉県</t>
        </is>
      </c>
      <c r="C44" s="5" t="inlineStr">
        <is>
          <t>浦安市</t>
        </is>
      </c>
      <c r="D44" s="5" t="inlineStr">
        <is>
          <t>東京学館浦安高等学校</t>
        </is>
      </c>
      <c r="E44" s="6" t="inlineStr">
        <is>
          <t>047-353-8821</t>
        </is>
      </c>
      <c r="F44" s="13" t="inlineStr">
        <is>
          <t>高</t>
        </is>
      </c>
      <c r="G44" s="5" t="inlineStr">
        <is>
          <t>普通科</t>
        </is>
      </c>
      <c r="H44" s="8" t="n"/>
      <c r="I44" s="9" t="n"/>
      <c r="J44" s="9" t="inlineStr">
        <is>
          <t>未架電</t>
        </is>
      </c>
      <c r="K44" s="8" t="n"/>
      <c r="L44" s="9" t="n"/>
      <c r="M44" s="10" t="inlineStr">
        <is>
          <t>2つのサイトで一致</t>
        </is>
      </c>
      <c r="N44" s="11" t="inlineStr">
        <is>
          <t>https://www.inter-edu.com/schools/school/167 ; https://school.js88.com/scl_h/22007020?page=5</t>
        </is>
      </c>
      <c r="O44" s="12" t="inlineStr">
        <is>
          <t>開く</t>
        </is>
      </c>
    </row>
    <row r="45">
      <c r="A45" s="4" t="n">
        <v>41</v>
      </c>
      <c r="B45" s="5" t="inlineStr">
        <is>
          <t>千葉県</t>
        </is>
      </c>
      <c r="C45" s="5" t="inlineStr">
        <is>
          <t>酒々井町</t>
        </is>
      </c>
      <c r="D45" s="5" t="inlineStr">
        <is>
          <t>東京学館高等学校</t>
        </is>
      </c>
      <c r="E45" s="6" t="inlineStr">
        <is>
          <t>043-496-3881</t>
        </is>
      </c>
      <c r="F45" s="7" t="inlineStr">
        <is>
          <t>中</t>
        </is>
      </c>
      <c r="G45" s="5" t="inlineStr">
        <is>
          <t>普通科</t>
        </is>
      </c>
      <c r="H45" s="8" t="n"/>
      <c r="I45" s="9" t="n"/>
      <c r="J45" s="9" t="inlineStr">
        <is>
          <t>未架電</t>
        </is>
      </c>
      <c r="K45" s="8" t="n"/>
      <c r="L45" s="9" t="n"/>
      <c r="M45" s="10" t="inlineStr">
        <is>
          <t>学校情報サイト1件のみで確認。東京学館浦安・東京学館船橋とは別の学校</t>
        </is>
      </c>
      <c r="N45" s="11" t="inlineStr">
        <is>
          <t>https://www.inter-edu.com/schools/school/660</t>
        </is>
      </c>
      <c r="O45" s="12" t="inlineStr">
        <is>
          <t>開く</t>
        </is>
      </c>
    </row>
    <row r="46">
      <c r="A46" s="4" t="n">
        <v>42</v>
      </c>
      <c r="B46" s="5" t="inlineStr">
        <is>
          <t>千葉県</t>
        </is>
      </c>
      <c r="C46" s="5" t="inlineStr">
        <is>
          <t>船橋市</t>
        </is>
      </c>
      <c r="D46" s="5" t="inlineStr">
        <is>
          <t>東京学館船橋高等学校</t>
        </is>
      </c>
      <c r="E46" s="6" t="inlineStr">
        <is>
          <t>047-457-4611</t>
        </is>
      </c>
      <c r="F46" s="7" t="inlineStr">
        <is>
          <t>中</t>
        </is>
      </c>
      <c r="G46" s="5" t="inlineStr">
        <is>
          <t>普通科・専門学科</t>
        </is>
      </c>
      <c r="H46" s="8" t="n"/>
      <c r="I46" s="9" t="n"/>
      <c r="J46" s="9" t="inlineStr">
        <is>
          <t>未架電</t>
        </is>
      </c>
      <c r="K46" s="8" t="n"/>
      <c r="L46" s="9" t="n"/>
      <c r="M46" s="10" t="inlineStr">
        <is>
          <t>代表として掲載。学校情報サイト1件のみで確認</t>
        </is>
      </c>
      <c r="N46" s="11" t="inlineStr">
        <is>
          <t>https://school.js88.com/scl_h/22007110</t>
        </is>
      </c>
      <c r="O46" s="12" t="inlineStr">
        <is>
          <t>開く</t>
        </is>
      </c>
    </row>
    <row r="47">
      <c r="A47" s="4" t="n">
        <v>43</v>
      </c>
      <c r="B47" s="5" t="inlineStr">
        <is>
          <t>千葉県</t>
        </is>
      </c>
      <c r="C47" s="5" t="inlineStr">
        <is>
          <t>習志野市</t>
        </is>
      </c>
      <c r="D47" s="5" t="inlineStr">
        <is>
          <t>東邦大学付属東邦高等学校</t>
        </is>
      </c>
      <c r="E47" s="6" t="inlineStr">
        <is>
          <t>047-472-8191</t>
        </is>
      </c>
      <c r="F47" s="7" t="inlineStr">
        <is>
          <t>中</t>
        </is>
      </c>
      <c r="G47" s="5" t="inlineStr">
        <is>
          <t>普通科</t>
        </is>
      </c>
      <c r="H47" s="8" t="n"/>
      <c r="I47" s="9" t="n"/>
      <c r="J47" s="9" t="inlineStr">
        <is>
          <t>未架電</t>
        </is>
      </c>
      <c r="K47" s="8" t="n"/>
      <c r="L47" s="9" t="n"/>
      <c r="M47" s="10" t="inlineStr">
        <is>
          <t>中高共通。高校募集なし（完全中高一貫）との情報あり</t>
        </is>
      </c>
      <c r="N47" s="11" t="inlineStr">
        <is>
          <t>https://www.inter-edu.com/schools/school/39</t>
        </is>
      </c>
      <c r="O47" s="12" t="inlineStr">
        <is>
          <t>開く</t>
        </is>
      </c>
    </row>
    <row r="48">
      <c r="A48" s="4" t="n">
        <v>44</v>
      </c>
      <c r="B48" s="5" t="inlineStr">
        <is>
          <t>千葉県</t>
        </is>
      </c>
      <c r="C48" s="5" t="inlineStr">
        <is>
          <t>船橋市</t>
        </is>
      </c>
      <c r="D48" s="5" t="inlineStr">
        <is>
          <t>東葉高等学校</t>
        </is>
      </c>
      <c r="E48" s="6" t="inlineStr">
        <is>
          <t>047-463-2111</t>
        </is>
      </c>
      <c r="F48" s="7" t="inlineStr">
        <is>
          <t>中</t>
        </is>
      </c>
      <c r="G48" s="5" t="inlineStr">
        <is>
          <t>普通科</t>
        </is>
      </c>
      <c r="H48" s="8" t="n"/>
      <c r="I48" s="9" t="n"/>
      <c r="J48" s="9" t="inlineStr">
        <is>
          <t>未架電</t>
        </is>
      </c>
      <c r="K48" s="8" t="n"/>
      <c r="L48" s="9" t="n"/>
      <c r="M48" s="10" t="inlineStr">
        <is>
          <t>学校情報サイト1件のみで確認</t>
        </is>
      </c>
      <c r="N48" s="11" t="inlineStr">
        <is>
          <t>https://www.inter-edu.com/schools/school/1027</t>
        </is>
      </c>
      <c r="O48" s="12" t="inlineStr">
        <is>
          <t>開く</t>
        </is>
      </c>
    </row>
    <row r="49">
      <c r="A49" s="4" t="n">
        <v>45</v>
      </c>
      <c r="B49" s="5" t="inlineStr">
        <is>
          <t>千葉県</t>
        </is>
      </c>
      <c r="C49" s="5" t="inlineStr">
        <is>
          <t>船橋市</t>
        </is>
      </c>
      <c r="D49" s="5" t="inlineStr">
        <is>
          <t>中山学園高等学校</t>
        </is>
      </c>
      <c r="E49" s="6" t="inlineStr">
        <is>
          <t>047-422-4380</t>
        </is>
      </c>
      <c r="F49" s="7" t="inlineStr">
        <is>
          <t>中</t>
        </is>
      </c>
      <c r="G49" s="5" t="inlineStr">
        <is>
          <t>普通科</t>
        </is>
      </c>
      <c r="H49" s="8" t="n"/>
      <c r="I49" s="9" t="n"/>
      <c r="J49" s="9" t="inlineStr">
        <is>
          <t>未架電</t>
        </is>
      </c>
      <c r="K49" s="8" t="n"/>
      <c r="L49" s="9" t="n"/>
      <c r="M49" s="10" t="inlineStr">
        <is>
          <t>通信制。学校情報サイト1件のみで確認</t>
        </is>
      </c>
      <c r="N49" s="11" t="inlineStr">
        <is>
          <t>https://studychain.jp/media/?p=36633</t>
        </is>
      </c>
      <c r="O49" s="12" t="inlineStr">
        <is>
          <t>開く</t>
        </is>
      </c>
    </row>
    <row r="50">
      <c r="A50" s="4" t="n">
        <v>46</v>
      </c>
      <c r="B50" s="5" t="inlineStr">
        <is>
          <t>千葉県</t>
        </is>
      </c>
      <c r="C50" s="5" t="inlineStr">
        <is>
          <t>成田市</t>
        </is>
      </c>
      <c r="D50" s="5" t="inlineStr">
        <is>
          <t>成田高等学校</t>
        </is>
      </c>
      <c r="E50" s="6" t="inlineStr">
        <is>
          <t>0476-22-2131</t>
        </is>
      </c>
      <c r="F50" s="13" t="inlineStr">
        <is>
          <t>高</t>
        </is>
      </c>
      <c r="G50" s="5" t="inlineStr">
        <is>
          <t>普通科</t>
        </is>
      </c>
      <c r="H50" s="8" t="n"/>
      <c r="I50" s="9" t="n"/>
      <c r="J50" s="9" t="inlineStr">
        <is>
          <t>未架電</t>
        </is>
      </c>
      <c r="K50" s="8" t="n"/>
      <c r="L50" s="9" t="n"/>
      <c r="M50" s="10" t="inlineStr">
        <is>
          <t>中高共通。2つのサイトで一致</t>
        </is>
      </c>
      <c r="N50" s="11" t="inlineStr">
        <is>
          <t>https://www.inter-edu.com/schools/school/168</t>
        </is>
      </c>
      <c r="O50" s="12" t="inlineStr">
        <is>
          <t>開く</t>
        </is>
      </c>
    </row>
    <row r="51">
      <c r="A51" s="4" t="n">
        <v>47</v>
      </c>
      <c r="B51" s="5" t="inlineStr">
        <is>
          <t>千葉県</t>
        </is>
      </c>
      <c r="C51" s="5" t="inlineStr">
        <is>
          <t>柏市</t>
        </is>
      </c>
      <c r="D51" s="5" t="inlineStr">
        <is>
          <t>二松学舎大学附属柏高等学校</t>
        </is>
      </c>
      <c r="E51" s="6" t="inlineStr">
        <is>
          <t>04-7191-5242</t>
        </is>
      </c>
      <c r="F51" s="7" t="inlineStr">
        <is>
          <t>中</t>
        </is>
      </c>
      <c r="G51" s="5" t="inlineStr">
        <is>
          <t>普通科</t>
        </is>
      </c>
      <c r="H51" s="8" t="n"/>
      <c r="I51" s="9" t="n"/>
      <c r="J51" s="9" t="inlineStr">
        <is>
          <t>未架電</t>
        </is>
      </c>
      <c r="K51" s="8" t="n"/>
      <c r="L51" s="9" t="n"/>
      <c r="M51" s="10" t="inlineStr">
        <is>
          <t>04-7191-3179を載せるサイトもあり食い違い</t>
        </is>
      </c>
      <c r="N51" s="11" t="inlineStr">
        <is>
          <t>https://school.js88.com/scl_h/22006870 ; https://univpress.co.jp/gk_pdf/12531.pdf</t>
        </is>
      </c>
      <c r="O51" s="12" t="inlineStr">
        <is>
          <t>開く</t>
        </is>
      </c>
    </row>
    <row r="52">
      <c r="A52" s="4" t="n">
        <v>48</v>
      </c>
      <c r="B52" s="5" t="inlineStr">
        <is>
          <t>千葉県</t>
        </is>
      </c>
      <c r="C52" s="5" t="inlineStr">
        <is>
          <t>柏市</t>
        </is>
      </c>
      <c r="D52" s="5" t="inlineStr">
        <is>
          <t>日本体育大学柏高等学校</t>
        </is>
      </c>
      <c r="E52" s="6" t="inlineStr">
        <is>
          <t>04-7167-1301</t>
        </is>
      </c>
      <c r="F52" s="7" t="inlineStr">
        <is>
          <t>中</t>
        </is>
      </c>
      <c r="G52" s="5" t="inlineStr">
        <is>
          <t>普通科</t>
        </is>
      </c>
      <c r="H52" s="8" t="n"/>
      <c r="I52" s="9" t="n"/>
      <c r="J52" s="9" t="inlineStr">
        <is>
          <t>未架電</t>
        </is>
      </c>
      <c r="K52" s="8" t="n"/>
      <c r="L52" s="9" t="n"/>
      <c r="M52" s="10" t="inlineStr">
        <is>
          <t>学校情報サイト1件のみで確認</t>
        </is>
      </c>
      <c r="N52" s="11" t="inlineStr">
        <is>
          <t>https://www.inter-edu.com/schools/school/667</t>
        </is>
      </c>
      <c r="O52" s="12" t="inlineStr">
        <is>
          <t>開く</t>
        </is>
      </c>
    </row>
    <row r="53">
      <c r="A53" s="4" t="n">
        <v>49</v>
      </c>
      <c r="B53" s="5" t="inlineStr">
        <is>
          <t>千葉県</t>
        </is>
      </c>
      <c r="C53" s="5" t="inlineStr">
        <is>
          <t>船橋市</t>
        </is>
      </c>
      <c r="D53" s="5" t="inlineStr">
        <is>
          <t>日本大学習志野高等学校</t>
        </is>
      </c>
      <c r="E53" s="6" t="inlineStr">
        <is>
          <t>047-469-5555</t>
        </is>
      </c>
      <c r="F53" s="13" t="inlineStr">
        <is>
          <t>高</t>
        </is>
      </c>
      <c r="G53" s="5" t="inlineStr">
        <is>
          <t>普通科</t>
        </is>
      </c>
      <c r="H53" s="8" t="n"/>
      <c r="I53" s="9" t="n"/>
      <c r="J53" s="9" t="inlineStr">
        <is>
          <t>未架電</t>
        </is>
      </c>
      <c r="K53" s="8" t="n"/>
      <c r="L53" s="9" t="n"/>
      <c r="M53" s="10" t="inlineStr">
        <is>
          <t>公式資料に「代表」と記載</t>
        </is>
      </c>
      <c r="N53" s="11" t="inlineStr">
        <is>
          <t>https://www.nnhs.cst.nihon-u.ac.jp/pdf/recruit/educational_r9.pdf</t>
        </is>
      </c>
      <c r="O53" s="12" t="inlineStr">
        <is>
          <t>開く</t>
        </is>
      </c>
    </row>
    <row r="54">
      <c r="A54" s="4" t="n">
        <v>50</v>
      </c>
      <c r="B54" s="5" t="inlineStr">
        <is>
          <t>千葉県</t>
        </is>
      </c>
      <c r="C54" s="5" t="inlineStr">
        <is>
          <t>市川市</t>
        </is>
      </c>
      <c r="D54" s="5" t="inlineStr">
        <is>
          <t>不二女子高等学校</t>
        </is>
      </c>
      <c r="E54" s="6" t="inlineStr">
        <is>
          <t>047-333-6345</t>
        </is>
      </c>
      <c r="F54" s="13" t="inlineStr">
        <is>
          <t>高</t>
        </is>
      </c>
      <c r="G54" s="5" t="inlineStr">
        <is>
          <t>普通科</t>
        </is>
      </c>
      <c r="H54" s="8" t="n"/>
      <c r="I54" s="9" t="n"/>
      <c r="J54" s="9" t="inlineStr">
        <is>
          <t>未架電</t>
        </is>
      </c>
      <c r="K54" s="8" t="n"/>
      <c r="L54" s="9" t="n"/>
      <c r="M54" s="10" t="inlineStr">
        <is>
          <t>2つのサイトで一致</t>
        </is>
      </c>
      <c r="N54" s="11" t="inlineStr">
        <is>
          <t>https://www.inter-edu.com/schools/school/1000 ; https://school.js88.com/scl_h/22006940</t>
        </is>
      </c>
      <c r="O54" s="12" t="inlineStr">
        <is>
          <t>開く</t>
        </is>
      </c>
    </row>
    <row r="55">
      <c r="A55" s="4" t="n">
        <v>51</v>
      </c>
      <c r="B55" s="5" t="inlineStr">
        <is>
          <t>千葉県</t>
        </is>
      </c>
      <c r="C55" s="5" t="inlineStr">
        <is>
          <t>千葉市中央区</t>
        </is>
      </c>
      <c r="D55" s="5" t="inlineStr">
        <is>
          <t>明聖高等学校</t>
        </is>
      </c>
      <c r="E55" s="14" t="n"/>
      <c r="F55" s="15" t="inlineStr">
        <is>
          <t>要調査</t>
        </is>
      </c>
      <c r="G55" s="5" t="inlineStr">
        <is>
          <t>普通科</t>
        </is>
      </c>
      <c r="H55" s="8" t="n"/>
      <c r="I55" s="9" t="n"/>
      <c r="J55" s="9" t="inlineStr">
        <is>
          <t>未架電</t>
        </is>
      </c>
      <c r="K55" s="8" t="n"/>
      <c r="L55" s="9" t="n"/>
      <c r="M55" s="10" t="inlineStr">
        <is>
          <t>通信制。【移転】2026年9月に千葉本校が中央区中央港へ移転。移転前の番号は043-225-5622で、移転後の番号は確認できず</t>
        </is>
      </c>
      <c r="N55" s="11" t="inlineStr">
        <is>
          <t>https://map.yahoo.co.jp/v3/place/luayqlYCpL2 ; https://resemom.jp/release/prtimes/20260903/209471.html</t>
        </is>
      </c>
      <c r="O55" s="12" t="inlineStr">
        <is>
          <t>開く</t>
        </is>
      </c>
    </row>
    <row r="56">
      <c r="A56" s="4" t="n">
        <v>52</v>
      </c>
      <c r="B56" s="5" t="inlineStr">
        <is>
          <t>千葉県</t>
        </is>
      </c>
      <c r="C56" s="5" t="inlineStr">
        <is>
          <t>茂原市</t>
        </is>
      </c>
      <c r="D56" s="5" t="inlineStr">
        <is>
          <t>茂原北陵高等学校</t>
        </is>
      </c>
      <c r="E56" s="6" t="inlineStr">
        <is>
          <t>0475-34-3211</t>
        </is>
      </c>
      <c r="F56" s="7" t="inlineStr">
        <is>
          <t>中</t>
        </is>
      </c>
      <c r="G56" s="5" t="inlineStr">
        <is>
          <t>普通科・専門学科</t>
        </is>
      </c>
      <c r="H56" s="8" t="n"/>
      <c r="I56" s="9" t="n"/>
      <c r="J56" s="9" t="inlineStr">
        <is>
          <t>未架電</t>
        </is>
      </c>
      <c r="K56" s="8" t="n"/>
      <c r="L56" s="9" t="n"/>
      <c r="M56" s="10" t="inlineStr">
        <is>
          <t>学校情報サイト1件のみで確認</t>
        </is>
      </c>
      <c r="N56" s="11" t="inlineStr">
        <is>
          <t>https://www.inter-edu.com/schools/school/1028</t>
        </is>
      </c>
      <c r="O56" s="12" t="inlineStr">
        <is>
          <t>開く</t>
        </is>
      </c>
    </row>
    <row r="57">
      <c r="A57" s="4" t="n">
        <v>53</v>
      </c>
      <c r="B57" s="5" t="inlineStr">
        <is>
          <t>千葉県</t>
        </is>
      </c>
      <c r="C57" s="5" t="inlineStr">
        <is>
          <t>八千代市</t>
        </is>
      </c>
      <c r="D57" s="5" t="inlineStr">
        <is>
          <t>八千代松陰高等学校</t>
        </is>
      </c>
      <c r="E57" s="6" t="inlineStr">
        <is>
          <t>047-482-1234</t>
        </is>
      </c>
      <c r="F57" s="13" t="inlineStr">
        <is>
          <t>高</t>
        </is>
      </c>
      <c r="G57" s="5" t="inlineStr">
        <is>
          <t>普通科</t>
        </is>
      </c>
      <c r="H57" s="8" t="n"/>
      <c r="I57" s="9" t="n"/>
      <c r="J57" s="9" t="inlineStr">
        <is>
          <t>未架電</t>
        </is>
      </c>
      <c r="K57" s="8" t="n"/>
      <c r="L57" s="9" t="n"/>
      <c r="M57" s="10" t="inlineStr">
        <is>
          <t>公式サイトで確認。中高共通</t>
        </is>
      </c>
      <c r="N57" s="11" t="inlineStr">
        <is>
          <t>https://www.yachiyoshoin.ac.jp/shs/admission-s/school-guide-s/</t>
        </is>
      </c>
      <c r="O57" s="12" t="inlineStr">
        <is>
          <t>開く</t>
        </is>
      </c>
    </row>
    <row r="58">
      <c r="A58" s="4" t="n">
        <v>54</v>
      </c>
      <c r="B58" s="5" t="inlineStr">
        <is>
          <t>千葉県</t>
        </is>
      </c>
      <c r="C58" s="5" t="inlineStr">
        <is>
          <t>横芝光町</t>
        </is>
      </c>
      <c r="D58" s="5" t="inlineStr">
        <is>
          <t>横芝敬愛高等学校</t>
        </is>
      </c>
      <c r="E58" s="6" t="inlineStr">
        <is>
          <t>0479-82-1239</t>
        </is>
      </c>
      <c r="F58" s="7" t="inlineStr">
        <is>
          <t>中</t>
        </is>
      </c>
      <c r="G58" s="5" t="inlineStr">
        <is>
          <t>普通科</t>
        </is>
      </c>
      <c r="H58" s="8" t="n"/>
      <c r="I58" s="9" t="n"/>
      <c r="J58" s="9" t="inlineStr">
        <is>
          <t>未架電</t>
        </is>
      </c>
      <c r="K58" s="8" t="n"/>
      <c r="L58" s="9" t="n"/>
      <c r="M58" s="10" t="inlineStr">
        <is>
          <t>学校情報サイト1件のみで確認</t>
        </is>
      </c>
      <c r="N58" s="11" t="inlineStr">
        <is>
          <t>https://school.js88.com/scl_h/22006910</t>
        </is>
      </c>
      <c r="O58" s="12" t="inlineStr">
        <is>
          <t>開く</t>
        </is>
      </c>
    </row>
    <row r="59">
      <c r="A59" s="4" t="n">
        <v>55</v>
      </c>
      <c r="B59" s="5" t="inlineStr">
        <is>
          <t>千葉県</t>
        </is>
      </c>
      <c r="C59" s="5" t="inlineStr">
        <is>
          <t>柏市</t>
        </is>
      </c>
      <c r="D59" s="5" t="inlineStr">
        <is>
          <t>流通経済大学付属柏高等学校</t>
        </is>
      </c>
      <c r="E59" s="6" t="inlineStr">
        <is>
          <t>04-7131-5611</t>
        </is>
      </c>
      <c r="F59" s="13" t="inlineStr">
        <is>
          <t>高</t>
        </is>
      </c>
      <c r="G59" s="5" t="inlineStr">
        <is>
          <t>普通科</t>
        </is>
      </c>
      <c r="H59" s="8" t="n"/>
      <c r="I59" s="9" t="n"/>
      <c r="J59" s="9" t="inlineStr">
        <is>
          <t>未架電</t>
        </is>
      </c>
      <c r="K59" s="8" t="n"/>
      <c r="L59" s="9" t="n"/>
      <c r="M59" s="10" t="inlineStr">
        <is>
          <t>2つのサイトで一致</t>
        </is>
      </c>
      <c r="N59" s="11" t="inlineStr">
        <is>
          <t>https://www.inter-edu.com/schools/school/2185 ; https://school.js88.com/scl_h/22007090</t>
        </is>
      </c>
      <c r="O59" s="12" t="inlineStr">
        <is>
          <t>開く</t>
        </is>
      </c>
    </row>
    <row r="60">
      <c r="A60" s="4" t="n">
        <v>56</v>
      </c>
      <c r="B60" s="5" t="inlineStr">
        <is>
          <t>千葉県</t>
        </is>
      </c>
      <c r="C60" s="5" t="inlineStr">
        <is>
          <t>柏市</t>
        </is>
      </c>
      <c r="D60" s="5" t="inlineStr">
        <is>
          <t>麗澤高等学校</t>
        </is>
      </c>
      <c r="E60" s="6" t="inlineStr">
        <is>
          <t>04-7173-3700</t>
        </is>
      </c>
      <c r="F60" s="13" t="inlineStr">
        <is>
          <t>高</t>
        </is>
      </c>
      <c r="G60" s="5" t="inlineStr">
        <is>
          <t>普通科</t>
        </is>
      </c>
      <c r="H60" s="8" t="n"/>
      <c r="I60" s="9" t="n"/>
      <c r="J60" s="9" t="inlineStr">
        <is>
          <t>未架電</t>
        </is>
      </c>
      <c r="K60" s="8" t="n"/>
      <c r="L60" s="9" t="n"/>
      <c r="M60" s="10" t="inlineStr">
        <is>
          <t>中高共通</t>
        </is>
      </c>
      <c r="N60" s="11" t="inlineStr">
        <is>
          <t>https://www.inter-edu.com/schools/school/46 ; https://school.js88.com/scl_h/22006710?page=5</t>
        </is>
      </c>
      <c r="O60" s="12" t="inlineStr">
        <is>
          <t>開く</t>
        </is>
      </c>
    </row>
    <row r="61">
      <c r="A61" s="4" t="n">
        <v>57</v>
      </c>
      <c r="B61" s="5" t="inlineStr">
        <is>
          <t>千葉県</t>
        </is>
      </c>
      <c r="C61" s="5" t="inlineStr">
        <is>
          <t>多古町</t>
        </is>
      </c>
      <c r="D61" s="5" t="inlineStr">
        <is>
          <t>わせがく高等学校</t>
        </is>
      </c>
      <c r="E61" s="6" t="inlineStr">
        <is>
          <t>0479-70-7622</t>
        </is>
      </c>
      <c r="F61" s="13" t="inlineStr">
        <is>
          <t>高</t>
        </is>
      </c>
      <c r="G61" s="5" t="inlineStr">
        <is>
          <t>普通科</t>
        </is>
      </c>
      <c r="H61" s="8" t="n"/>
      <c r="I61" s="9" t="n"/>
      <c r="J61" s="9" t="inlineStr">
        <is>
          <t>未架電</t>
        </is>
      </c>
      <c r="K61" s="8" t="n"/>
      <c r="L61" s="9" t="n"/>
      <c r="M61" s="10" t="inlineStr">
        <is>
          <t>通信制。公式の学校要覧で多古町の本校の番号として確認</t>
        </is>
      </c>
      <c r="N61" s="11" t="inlineStr">
        <is>
          <t>https://www.wasegaku.ac.jp/img/others/informationdisclosure/schoolcatalog.pdf</t>
        </is>
      </c>
      <c r="O61" s="12" t="inlineStr">
        <is>
          <t>開く</t>
        </is>
      </c>
    </row>
    <row r="62">
      <c r="A62" s="4" t="n">
        <v>58</v>
      </c>
      <c r="B62" s="5" t="inlineStr">
        <is>
          <t>千葉県</t>
        </is>
      </c>
      <c r="C62" s="5" t="inlineStr">
        <is>
          <t>市川市</t>
        </is>
      </c>
      <c r="D62" s="5" t="inlineStr">
        <is>
          <t>和洋国府台女子高等学校</t>
        </is>
      </c>
      <c r="E62" s="6" t="inlineStr">
        <is>
          <t>047-371-1120</t>
        </is>
      </c>
      <c r="F62" s="13" t="inlineStr">
        <is>
          <t>高</t>
        </is>
      </c>
      <c r="G62" s="5" t="inlineStr">
        <is>
          <t>普通科</t>
        </is>
      </c>
      <c r="H62" s="8" t="n"/>
      <c r="I62" s="9" t="n"/>
      <c r="J62" s="9" t="inlineStr">
        <is>
          <t>未架電</t>
        </is>
      </c>
      <c r="K62" s="8" t="n"/>
      <c r="L62" s="9" t="n"/>
      <c r="M62" s="10" t="inlineStr">
        <is>
          <t>2つのサイトで一致</t>
        </is>
      </c>
      <c r="N62" s="11" t="inlineStr">
        <is>
          <t>https://www.inter-edu.com/schools/school/2051 ; https://school.js88.com/scl_h/22006700</t>
        </is>
      </c>
      <c r="O62" s="12" t="inlineStr">
        <is>
          <t>開く</t>
        </is>
      </c>
    </row>
  </sheetData>
  <autoFilter ref="A4:O62"/>
  <conditionalFormatting sqref="A5:O62">
    <cfRule type="expression" priority="1" dxfId="0">
      <formula>$J5="アポ獲得"</formula>
    </cfRule>
    <cfRule type="expression" priority="2" dxfId="1">
      <formula>$J5="NG"</formula>
    </cfRule>
  </conditionalFormatting>
  <dataValidations count="2">
    <dataValidation sqref="J5:J62" showDropDown="0" showInputMessage="0" showErrorMessage="0" allowBlank="1" type="list">
      <formula1>"未架電,不在・折返し待ち,担当者不在,資料送付,アポ獲得,検討中,NG,番号不明"</formula1>
    </dataValidation>
    <dataValidation sqref="H5:H62 K5:K62" showDropDown="0" showInputMessage="0" showErrorMessage="0" allowBlank="1" errorTitle="日付" error="日付で入力してください（例：2026/10/9）" type="date" operator="greaterThan">
      <formula1>36526</formula1>
    </dataValidation>
  </dataValidation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  <hyperlink xmlns:r="http://schemas.openxmlformats.org/officeDocument/2006/relationships" ref="O16" r:id="rId12"/>
    <hyperlink xmlns:r="http://schemas.openxmlformats.org/officeDocument/2006/relationships" ref="O17" r:id="rId13"/>
    <hyperlink xmlns:r="http://schemas.openxmlformats.org/officeDocument/2006/relationships" ref="O18" r:id="rId14"/>
    <hyperlink xmlns:r="http://schemas.openxmlformats.org/officeDocument/2006/relationships" ref="O19" r:id="rId15"/>
    <hyperlink xmlns:r="http://schemas.openxmlformats.org/officeDocument/2006/relationships" ref="O20" r:id="rId16"/>
    <hyperlink xmlns:r="http://schemas.openxmlformats.org/officeDocument/2006/relationships" ref="O21" r:id="rId17"/>
    <hyperlink xmlns:r="http://schemas.openxmlformats.org/officeDocument/2006/relationships" ref="O22" r:id="rId18"/>
    <hyperlink xmlns:r="http://schemas.openxmlformats.org/officeDocument/2006/relationships" ref="O23" r:id="rId19"/>
    <hyperlink xmlns:r="http://schemas.openxmlformats.org/officeDocument/2006/relationships" ref="O24" r:id="rId20"/>
    <hyperlink xmlns:r="http://schemas.openxmlformats.org/officeDocument/2006/relationships" ref="O25" r:id="rId21"/>
    <hyperlink xmlns:r="http://schemas.openxmlformats.org/officeDocument/2006/relationships" ref="O26" r:id="rId22"/>
    <hyperlink xmlns:r="http://schemas.openxmlformats.org/officeDocument/2006/relationships" ref="O27" r:id="rId23"/>
    <hyperlink xmlns:r="http://schemas.openxmlformats.org/officeDocument/2006/relationships" ref="O28" r:id="rId24"/>
    <hyperlink xmlns:r="http://schemas.openxmlformats.org/officeDocument/2006/relationships" ref="O29" r:id="rId25"/>
    <hyperlink xmlns:r="http://schemas.openxmlformats.org/officeDocument/2006/relationships" ref="O30" r:id="rId26"/>
    <hyperlink xmlns:r="http://schemas.openxmlformats.org/officeDocument/2006/relationships" ref="O31" r:id="rId27"/>
    <hyperlink xmlns:r="http://schemas.openxmlformats.org/officeDocument/2006/relationships" ref="O32" r:id="rId28"/>
    <hyperlink xmlns:r="http://schemas.openxmlformats.org/officeDocument/2006/relationships" ref="O33" r:id="rId29"/>
    <hyperlink xmlns:r="http://schemas.openxmlformats.org/officeDocument/2006/relationships" ref="O34" r:id="rId30"/>
    <hyperlink xmlns:r="http://schemas.openxmlformats.org/officeDocument/2006/relationships" ref="O35" r:id="rId31"/>
    <hyperlink xmlns:r="http://schemas.openxmlformats.org/officeDocument/2006/relationships" ref="O36" r:id="rId32"/>
    <hyperlink xmlns:r="http://schemas.openxmlformats.org/officeDocument/2006/relationships" ref="O37" r:id="rId33"/>
    <hyperlink xmlns:r="http://schemas.openxmlformats.org/officeDocument/2006/relationships" ref="O38" r:id="rId34"/>
    <hyperlink xmlns:r="http://schemas.openxmlformats.org/officeDocument/2006/relationships" ref="O39" r:id="rId35"/>
    <hyperlink xmlns:r="http://schemas.openxmlformats.org/officeDocument/2006/relationships" ref="O40" r:id="rId36"/>
    <hyperlink xmlns:r="http://schemas.openxmlformats.org/officeDocument/2006/relationships" ref="O41" r:id="rId37"/>
    <hyperlink xmlns:r="http://schemas.openxmlformats.org/officeDocument/2006/relationships" ref="O42" r:id="rId38"/>
    <hyperlink xmlns:r="http://schemas.openxmlformats.org/officeDocument/2006/relationships" ref="O43" r:id="rId39"/>
    <hyperlink xmlns:r="http://schemas.openxmlformats.org/officeDocument/2006/relationships" ref="O44" r:id="rId40"/>
    <hyperlink xmlns:r="http://schemas.openxmlformats.org/officeDocument/2006/relationships" ref="O45" r:id="rId41"/>
    <hyperlink xmlns:r="http://schemas.openxmlformats.org/officeDocument/2006/relationships" ref="O46" r:id="rId42"/>
    <hyperlink xmlns:r="http://schemas.openxmlformats.org/officeDocument/2006/relationships" ref="O47" r:id="rId43"/>
    <hyperlink xmlns:r="http://schemas.openxmlformats.org/officeDocument/2006/relationships" ref="O48" r:id="rId44"/>
    <hyperlink xmlns:r="http://schemas.openxmlformats.org/officeDocument/2006/relationships" ref="O49" r:id="rId45"/>
    <hyperlink xmlns:r="http://schemas.openxmlformats.org/officeDocument/2006/relationships" ref="O50" r:id="rId46"/>
    <hyperlink xmlns:r="http://schemas.openxmlformats.org/officeDocument/2006/relationships" ref="O51" r:id="rId47"/>
    <hyperlink xmlns:r="http://schemas.openxmlformats.org/officeDocument/2006/relationships" ref="O52" r:id="rId48"/>
    <hyperlink xmlns:r="http://schemas.openxmlformats.org/officeDocument/2006/relationships" ref="O53" r:id="rId49"/>
    <hyperlink xmlns:r="http://schemas.openxmlformats.org/officeDocument/2006/relationships" ref="O54" r:id="rId50"/>
    <hyperlink xmlns:r="http://schemas.openxmlformats.org/officeDocument/2006/relationships" ref="O55" r:id="rId51"/>
    <hyperlink xmlns:r="http://schemas.openxmlformats.org/officeDocument/2006/relationships" ref="O56" r:id="rId52"/>
    <hyperlink xmlns:r="http://schemas.openxmlformats.org/officeDocument/2006/relationships" ref="O57" r:id="rId53"/>
    <hyperlink xmlns:r="http://schemas.openxmlformats.org/officeDocument/2006/relationships" ref="O58" r:id="rId54"/>
    <hyperlink xmlns:r="http://schemas.openxmlformats.org/officeDocument/2006/relationships" ref="O59" r:id="rId55"/>
    <hyperlink xmlns:r="http://schemas.openxmlformats.org/officeDocument/2006/relationships" ref="O60" r:id="rId56"/>
    <hyperlink xmlns:r="http://schemas.openxmlformats.org/officeDocument/2006/relationships" ref="O61" r:id="rId57"/>
    <hyperlink xmlns:r="http://schemas.openxmlformats.org/officeDocument/2006/relationships" ref="O62" r:id="rId58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市区町村別 進捗集計（架電リストの入力に連動して自動計算）</t>
        </is>
      </c>
    </row>
    <row r="3" ht="30" customHeight="1">
      <c r="A3" s="3" t="inlineStr">
        <is>
          <t>所在地</t>
        </is>
      </c>
      <c r="B3" s="3" t="inlineStr">
        <is>
          <t>学校数</t>
        </is>
      </c>
      <c r="C3" s="3" t="inlineStr">
        <is>
          <t>電話番号入力済</t>
        </is>
      </c>
      <c r="D3" s="3" t="inlineStr">
        <is>
          <t>架電済</t>
        </is>
      </c>
      <c r="E3" s="3" t="inlineStr">
        <is>
          <t>不在・折返し待ち</t>
        </is>
      </c>
      <c r="F3" s="3" t="inlineStr">
        <is>
          <t>担当者不在</t>
        </is>
      </c>
      <c r="G3" s="3" t="inlineStr">
        <is>
          <t>資料送付</t>
        </is>
      </c>
      <c r="H3" s="3" t="inlineStr">
        <is>
          <t>アポ獲得</t>
        </is>
      </c>
      <c r="I3" s="3" t="inlineStr">
        <is>
          <t>検討中</t>
        </is>
      </c>
      <c r="J3" s="3" t="inlineStr">
        <is>
          <t>NG</t>
        </is>
      </c>
      <c r="K3" s="3" t="inlineStr">
        <is>
          <t>番号不明</t>
        </is>
      </c>
    </row>
    <row r="4">
      <c r="A4" s="16" t="inlineStr">
        <is>
          <t>市川市</t>
        </is>
      </c>
      <c r="B4" s="16">
        <f>COUNTIF('架電リスト'!$C$5:$C$62,A4)</f>
        <v/>
      </c>
      <c r="C4" s="16">
        <f>COUNTIFS('架電リスト'!$C$5:$C$62,A4,'架電リスト'!$E$5:$E$62,"&lt;&gt;")</f>
        <v/>
      </c>
      <c r="D4" s="16">
        <f>B4-COUNTIFS('架電リスト'!$C$5:$C$62,A4,'架電リスト'!$J$5:$J$62,"未架電")-COUNTIFS('架電リスト'!$C$5:$C$62,A4,'架電リスト'!$J$5:$J$62,"")</f>
        <v/>
      </c>
      <c r="E4" s="16">
        <f>COUNTIFS('架電リスト'!$C$5:$C$62,$A4,'架電リスト'!$J$5:$J$62,"不在・折返し待ち")</f>
        <v/>
      </c>
      <c r="F4" s="16">
        <f>COUNTIFS('架電リスト'!$C$5:$C$62,$A4,'架電リスト'!$J$5:$J$62,"担当者不在")</f>
        <v/>
      </c>
      <c r="G4" s="16">
        <f>COUNTIFS('架電リスト'!$C$5:$C$62,$A4,'架電リスト'!$J$5:$J$62,"資料送付")</f>
        <v/>
      </c>
      <c r="H4" s="16">
        <f>COUNTIFS('架電リスト'!$C$5:$C$62,$A4,'架電リスト'!$J$5:$J$62,"アポ獲得")</f>
        <v/>
      </c>
      <c r="I4" s="16">
        <f>COUNTIFS('架電リスト'!$C$5:$C$62,$A4,'架電リスト'!$J$5:$J$62,"検討中")</f>
        <v/>
      </c>
      <c r="J4" s="16">
        <f>COUNTIFS('架電リスト'!$C$5:$C$62,$A4,'架電リスト'!$J$5:$J$62,"NG")</f>
        <v/>
      </c>
      <c r="K4" s="16">
        <f>COUNTIFS('架電リスト'!$C$5:$C$62,$A4,'架電リスト'!$J$5:$J$62,"番号不明")</f>
        <v/>
      </c>
    </row>
    <row r="5">
      <c r="A5" s="16" t="inlineStr">
        <is>
          <t>柏市</t>
        </is>
      </c>
      <c r="B5" s="16">
        <f>COUNTIF('架電リスト'!$C$5:$C$62,A5)</f>
        <v/>
      </c>
      <c r="C5" s="16">
        <f>COUNTIFS('架電リスト'!$C$5:$C$62,A5,'架電リスト'!$E$5:$E$62,"&lt;&gt;")</f>
        <v/>
      </c>
      <c r="D5" s="16">
        <f>B5-COUNTIFS('架電リスト'!$C$5:$C$62,A5,'架電リスト'!$J$5:$J$62,"未架電")-COUNTIFS('架電リスト'!$C$5:$C$62,A5,'架電リスト'!$J$5:$J$62,"")</f>
        <v/>
      </c>
      <c r="E5" s="16">
        <f>COUNTIFS('架電リスト'!$C$5:$C$62,$A5,'架電リスト'!$J$5:$J$62,"不在・折返し待ち")</f>
        <v/>
      </c>
      <c r="F5" s="16">
        <f>COUNTIFS('架電リスト'!$C$5:$C$62,$A5,'架電リスト'!$J$5:$J$62,"担当者不在")</f>
        <v/>
      </c>
      <c r="G5" s="16">
        <f>COUNTIFS('架電リスト'!$C$5:$C$62,$A5,'架電リスト'!$J$5:$J$62,"資料送付")</f>
        <v/>
      </c>
      <c r="H5" s="16">
        <f>COUNTIFS('架電リスト'!$C$5:$C$62,$A5,'架電リスト'!$J$5:$J$62,"アポ獲得")</f>
        <v/>
      </c>
      <c r="I5" s="16">
        <f>COUNTIFS('架電リスト'!$C$5:$C$62,$A5,'架電リスト'!$J$5:$J$62,"検討中")</f>
        <v/>
      </c>
      <c r="J5" s="16">
        <f>COUNTIFS('架電リスト'!$C$5:$C$62,$A5,'架電リスト'!$J$5:$J$62,"NG")</f>
        <v/>
      </c>
      <c r="K5" s="16">
        <f>COUNTIFS('架電リスト'!$C$5:$C$62,$A5,'架電リスト'!$J$5:$J$62,"番号不明")</f>
        <v/>
      </c>
    </row>
    <row r="6">
      <c r="A6" s="16" t="inlineStr">
        <is>
          <t>船橋市</t>
        </is>
      </c>
      <c r="B6" s="16">
        <f>COUNTIF('架電リスト'!$C$5:$C$62,A6)</f>
        <v/>
      </c>
      <c r="C6" s="16">
        <f>COUNTIFS('架電リスト'!$C$5:$C$62,A6,'架電リスト'!$E$5:$E$62,"&lt;&gt;")</f>
        <v/>
      </c>
      <c r="D6" s="16">
        <f>B6-COUNTIFS('架電リスト'!$C$5:$C$62,A6,'架電リスト'!$J$5:$J$62,"未架電")-COUNTIFS('架電リスト'!$C$5:$C$62,A6,'架電リスト'!$J$5:$J$62,"")</f>
        <v/>
      </c>
      <c r="E6" s="16">
        <f>COUNTIFS('架電リスト'!$C$5:$C$62,$A6,'架電リスト'!$J$5:$J$62,"不在・折返し待ち")</f>
        <v/>
      </c>
      <c r="F6" s="16">
        <f>COUNTIFS('架電リスト'!$C$5:$C$62,$A6,'架電リスト'!$J$5:$J$62,"担当者不在")</f>
        <v/>
      </c>
      <c r="G6" s="16">
        <f>COUNTIFS('架電リスト'!$C$5:$C$62,$A6,'架電リスト'!$J$5:$J$62,"資料送付")</f>
        <v/>
      </c>
      <c r="H6" s="16">
        <f>COUNTIFS('架電リスト'!$C$5:$C$62,$A6,'架電リスト'!$J$5:$J$62,"アポ獲得")</f>
        <v/>
      </c>
      <c r="I6" s="16">
        <f>COUNTIFS('架電リスト'!$C$5:$C$62,$A6,'架電リスト'!$J$5:$J$62,"検討中")</f>
        <v/>
      </c>
      <c r="J6" s="16">
        <f>COUNTIFS('架電リスト'!$C$5:$C$62,$A6,'架電リスト'!$J$5:$J$62,"NG")</f>
        <v/>
      </c>
      <c r="K6" s="16">
        <f>COUNTIFS('架電リスト'!$C$5:$C$62,$A6,'架電リスト'!$J$5:$J$62,"番号不明")</f>
        <v/>
      </c>
    </row>
    <row r="7">
      <c r="A7" s="16" t="inlineStr">
        <is>
          <t>千葉市中央区</t>
        </is>
      </c>
      <c r="B7" s="16">
        <f>COUNTIF('架電リスト'!$C$5:$C$62,A7)</f>
        <v/>
      </c>
      <c r="C7" s="16">
        <f>COUNTIFS('架電リスト'!$C$5:$C$62,A7,'架電リスト'!$E$5:$E$62,"&lt;&gt;")</f>
        <v/>
      </c>
      <c r="D7" s="16">
        <f>B7-COUNTIFS('架電リスト'!$C$5:$C$62,A7,'架電リスト'!$J$5:$J$62,"未架電")-COUNTIFS('架電リスト'!$C$5:$C$62,A7,'架電リスト'!$J$5:$J$62,"")</f>
        <v/>
      </c>
      <c r="E7" s="16">
        <f>COUNTIFS('架電リスト'!$C$5:$C$62,$A7,'架電リスト'!$J$5:$J$62,"不在・折返し待ち")</f>
        <v/>
      </c>
      <c r="F7" s="16">
        <f>COUNTIFS('架電リスト'!$C$5:$C$62,$A7,'架電リスト'!$J$5:$J$62,"担当者不在")</f>
        <v/>
      </c>
      <c r="G7" s="16">
        <f>COUNTIFS('架電リスト'!$C$5:$C$62,$A7,'架電リスト'!$J$5:$J$62,"資料送付")</f>
        <v/>
      </c>
      <c r="H7" s="16">
        <f>COUNTIFS('架電リスト'!$C$5:$C$62,$A7,'架電リスト'!$J$5:$J$62,"アポ獲得")</f>
        <v/>
      </c>
      <c r="I7" s="16">
        <f>COUNTIFS('架電リスト'!$C$5:$C$62,$A7,'架電リスト'!$J$5:$J$62,"検討中")</f>
        <v/>
      </c>
      <c r="J7" s="16">
        <f>COUNTIFS('架電リスト'!$C$5:$C$62,$A7,'架電リスト'!$J$5:$J$62,"NG")</f>
        <v/>
      </c>
      <c r="K7" s="16">
        <f>COUNTIFS('架電リスト'!$C$5:$C$62,$A7,'架電リスト'!$J$5:$J$62,"番号不明")</f>
        <v/>
      </c>
    </row>
    <row r="8">
      <c r="A8" s="16" t="inlineStr">
        <is>
          <t>木更津市</t>
        </is>
      </c>
      <c r="B8" s="16">
        <f>COUNTIF('架電リスト'!$C$5:$C$62,A8)</f>
        <v/>
      </c>
      <c r="C8" s="16">
        <f>COUNTIFS('架電リスト'!$C$5:$C$62,A8,'架電リスト'!$E$5:$E$62,"&lt;&gt;")</f>
        <v/>
      </c>
      <c r="D8" s="16">
        <f>B8-COUNTIFS('架電リスト'!$C$5:$C$62,A8,'架電リスト'!$J$5:$J$62,"未架電")-COUNTIFS('架電リスト'!$C$5:$C$62,A8,'架電リスト'!$J$5:$J$62,"")</f>
        <v/>
      </c>
      <c r="E8" s="16">
        <f>COUNTIFS('架電リスト'!$C$5:$C$62,$A8,'架電リスト'!$J$5:$J$62,"不在・折返し待ち")</f>
        <v/>
      </c>
      <c r="F8" s="16">
        <f>COUNTIFS('架電リスト'!$C$5:$C$62,$A8,'架電リスト'!$J$5:$J$62,"担当者不在")</f>
        <v/>
      </c>
      <c r="G8" s="16">
        <f>COUNTIFS('架電リスト'!$C$5:$C$62,$A8,'架電リスト'!$J$5:$J$62,"資料送付")</f>
        <v/>
      </c>
      <c r="H8" s="16">
        <f>COUNTIFS('架電リスト'!$C$5:$C$62,$A8,'架電リスト'!$J$5:$J$62,"アポ獲得")</f>
        <v/>
      </c>
      <c r="I8" s="16">
        <f>COUNTIFS('架電リスト'!$C$5:$C$62,$A8,'架電リスト'!$J$5:$J$62,"検討中")</f>
        <v/>
      </c>
      <c r="J8" s="16">
        <f>COUNTIFS('架電リスト'!$C$5:$C$62,$A8,'架電リスト'!$J$5:$J$62,"NG")</f>
        <v/>
      </c>
      <c r="K8" s="16">
        <f>COUNTIFS('架電リスト'!$C$5:$C$62,$A8,'架電リスト'!$J$5:$J$62,"番号不明")</f>
        <v/>
      </c>
    </row>
    <row r="9">
      <c r="A9" s="16" t="inlineStr">
        <is>
          <t>八千代市</t>
        </is>
      </c>
      <c r="B9" s="16">
        <f>COUNTIF('架電リスト'!$C$5:$C$62,A9)</f>
        <v/>
      </c>
      <c r="C9" s="16">
        <f>COUNTIFS('架電リスト'!$C$5:$C$62,A9,'架電リスト'!$E$5:$E$62,"&lt;&gt;")</f>
        <v/>
      </c>
      <c r="D9" s="16">
        <f>B9-COUNTIFS('架電リスト'!$C$5:$C$62,A9,'架電リスト'!$J$5:$J$62,"未架電")-COUNTIFS('架電リスト'!$C$5:$C$62,A9,'架電リスト'!$J$5:$J$62,"")</f>
        <v/>
      </c>
      <c r="E9" s="16">
        <f>COUNTIFS('架電リスト'!$C$5:$C$62,$A9,'架電リスト'!$J$5:$J$62,"不在・折返し待ち")</f>
        <v/>
      </c>
      <c r="F9" s="16">
        <f>COUNTIFS('架電リスト'!$C$5:$C$62,$A9,'架電リスト'!$J$5:$J$62,"担当者不在")</f>
        <v/>
      </c>
      <c r="G9" s="16">
        <f>COUNTIFS('架電リスト'!$C$5:$C$62,$A9,'架電リスト'!$J$5:$J$62,"資料送付")</f>
        <v/>
      </c>
      <c r="H9" s="16">
        <f>COUNTIFS('架電リスト'!$C$5:$C$62,$A9,'架電リスト'!$J$5:$J$62,"アポ獲得")</f>
        <v/>
      </c>
      <c r="I9" s="16">
        <f>COUNTIFS('架電リスト'!$C$5:$C$62,$A9,'架電リスト'!$J$5:$J$62,"検討中")</f>
        <v/>
      </c>
      <c r="J9" s="16">
        <f>COUNTIFS('架電リスト'!$C$5:$C$62,$A9,'架電リスト'!$J$5:$J$62,"NG")</f>
        <v/>
      </c>
      <c r="K9" s="16">
        <f>COUNTIFS('架電リスト'!$C$5:$C$62,$A9,'架電リスト'!$J$5:$J$62,"番号不明")</f>
        <v/>
      </c>
    </row>
    <row r="10">
      <c r="A10" s="16" t="inlineStr">
        <is>
          <t>四街道市</t>
        </is>
      </c>
      <c r="B10" s="16">
        <f>COUNTIF('架電リスト'!$C$5:$C$62,A10)</f>
        <v/>
      </c>
      <c r="C10" s="16">
        <f>COUNTIFS('架電リスト'!$C$5:$C$62,A10,'架電リスト'!$E$5:$E$62,"&lt;&gt;")</f>
        <v/>
      </c>
      <c r="D10" s="16">
        <f>B10-COUNTIFS('架電リスト'!$C$5:$C$62,A10,'架電リスト'!$J$5:$J$62,"未架電")-COUNTIFS('架電リスト'!$C$5:$C$62,A10,'架電リスト'!$J$5:$J$62,"")</f>
        <v/>
      </c>
      <c r="E10" s="16">
        <f>COUNTIFS('架電リスト'!$C$5:$C$62,$A10,'架電リスト'!$J$5:$J$62,"不在・折返し待ち")</f>
        <v/>
      </c>
      <c r="F10" s="16">
        <f>COUNTIFS('架電リスト'!$C$5:$C$62,$A10,'架電リスト'!$J$5:$J$62,"担当者不在")</f>
        <v/>
      </c>
      <c r="G10" s="16">
        <f>COUNTIFS('架電リスト'!$C$5:$C$62,$A10,'架電リスト'!$J$5:$J$62,"資料送付")</f>
        <v/>
      </c>
      <c r="H10" s="16">
        <f>COUNTIFS('架電リスト'!$C$5:$C$62,$A10,'架電リスト'!$J$5:$J$62,"アポ獲得")</f>
        <v/>
      </c>
      <c r="I10" s="16">
        <f>COUNTIFS('架電リスト'!$C$5:$C$62,$A10,'架電リスト'!$J$5:$J$62,"検討中")</f>
        <v/>
      </c>
      <c r="J10" s="16">
        <f>COUNTIFS('架電リスト'!$C$5:$C$62,$A10,'架電リスト'!$J$5:$J$62,"NG")</f>
        <v/>
      </c>
      <c r="K10" s="16">
        <f>COUNTIFS('架電リスト'!$C$5:$C$62,$A10,'架電リスト'!$J$5:$J$62,"番号不明")</f>
        <v/>
      </c>
    </row>
    <row r="11">
      <c r="A11" s="16" t="inlineStr">
        <is>
          <t>野田市</t>
        </is>
      </c>
      <c r="B11" s="16">
        <f>COUNTIF('架電リスト'!$C$5:$C$62,A11)</f>
        <v/>
      </c>
      <c r="C11" s="16">
        <f>COUNTIFS('架電リスト'!$C$5:$C$62,A11,'架電リスト'!$E$5:$E$62,"&lt;&gt;")</f>
        <v/>
      </c>
      <c r="D11" s="16">
        <f>B11-COUNTIFS('架電リスト'!$C$5:$C$62,A11,'架電リスト'!$J$5:$J$62,"未架電")-COUNTIFS('架電リスト'!$C$5:$C$62,A11,'架電リスト'!$J$5:$J$62,"")</f>
        <v/>
      </c>
      <c r="E11" s="16">
        <f>COUNTIFS('架電リスト'!$C$5:$C$62,$A11,'架電リスト'!$J$5:$J$62,"不在・折返し待ち")</f>
        <v/>
      </c>
      <c r="F11" s="16">
        <f>COUNTIFS('架電リスト'!$C$5:$C$62,$A11,'架電リスト'!$J$5:$J$62,"担当者不在")</f>
        <v/>
      </c>
      <c r="G11" s="16">
        <f>COUNTIFS('架電リスト'!$C$5:$C$62,$A11,'架電リスト'!$J$5:$J$62,"資料送付")</f>
        <v/>
      </c>
      <c r="H11" s="16">
        <f>COUNTIFS('架電リスト'!$C$5:$C$62,$A11,'架電リスト'!$J$5:$J$62,"アポ獲得")</f>
        <v/>
      </c>
      <c r="I11" s="16">
        <f>COUNTIFS('架電リスト'!$C$5:$C$62,$A11,'架電リスト'!$J$5:$J$62,"検討中")</f>
        <v/>
      </c>
      <c r="J11" s="16">
        <f>COUNTIFS('架電リスト'!$C$5:$C$62,$A11,'架電リスト'!$J$5:$J$62,"NG")</f>
        <v/>
      </c>
      <c r="K11" s="16">
        <f>COUNTIFS('架電リスト'!$C$5:$C$62,$A11,'架電リスト'!$J$5:$J$62,"番号不明")</f>
        <v/>
      </c>
    </row>
    <row r="12">
      <c r="A12" s="16" t="inlineStr">
        <is>
          <t>我孫子市</t>
        </is>
      </c>
      <c r="B12" s="16">
        <f>COUNTIF('架電リスト'!$C$5:$C$62,A12)</f>
        <v/>
      </c>
      <c r="C12" s="16">
        <f>COUNTIFS('架電リスト'!$C$5:$C$62,A12,'架電リスト'!$E$5:$E$62,"&lt;&gt;")</f>
        <v/>
      </c>
      <c r="D12" s="16">
        <f>B12-COUNTIFS('架電リスト'!$C$5:$C$62,A12,'架電リスト'!$J$5:$J$62,"未架電")-COUNTIFS('架電リスト'!$C$5:$C$62,A12,'架電リスト'!$J$5:$J$62,"")</f>
        <v/>
      </c>
      <c r="E12" s="16">
        <f>COUNTIFS('架電リスト'!$C$5:$C$62,$A12,'架電リスト'!$J$5:$J$62,"不在・折返し待ち")</f>
        <v/>
      </c>
      <c r="F12" s="16">
        <f>COUNTIFS('架電リスト'!$C$5:$C$62,$A12,'架電リスト'!$J$5:$J$62,"担当者不在")</f>
        <v/>
      </c>
      <c r="G12" s="16">
        <f>COUNTIFS('架電リスト'!$C$5:$C$62,$A12,'架電リスト'!$J$5:$J$62,"資料送付")</f>
        <v/>
      </c>
      <c r="H12" s="16">
        <f>COUNTIFS('架電リスト'!$C$5:$C$62,$A12,'架電リスト'!$J$5:$J$62,"アポ獲得")</f>
        <v/>
      </c>
      <c r="I12" s="16">
        <f>COUNTIFS('架電リスト'!$C$5:$C$62,$A12,'架電リスト'!$J$5:$J$62,"検討中")</f>
        <v/>
      </c>
      <c r="J12" s="16">
        <f>COUNTIFS('架電リスト'!$C$5:$C$62,$A12,'架電リスト'!$J$5:$J$62,"NG")</f>
        <v/>
      </c>
      <c r="K12" s="16">
        <f>COUNTIFS('架電リスト'!$C$5:$C$62,$A12,'架電リスト'!$J$5:$J$62,"番号不明")</f>
        <v/>
      </c>
    </row>
    <row r="13">
      <c r="A13" s="16" t="inlineStr">
        <is>
          <t>市原市</t>
        </is>
      </c>
      <c r="B13" s="16">
        <f>COUNTIF('架電リスト'!$C$5:$C$62,A13)</f>
        <v/>
      </c>
      <c r="C13" s="16">
        <f>COUNTIFS('架電リスト'!$C$5:$C$62,A13,'架電リスト'!$E$5:$E$62,"&lt;&gt;")</f>
        <v/>
      </c>
      <c r="D13" s="16">
        <f>B13-COUNTIFS('架電リスト'!$C$5:$C$62,A13,'架電リスト'!$J$5:$J$62,"未架電")-COUNTIFS('架電リスト'!$C$5:$C$62,A13,'架電リスト'!$J$5:$J$62,"")</f>
        <v/>
      </c>
      <c r="E13" s="16">
        <f>COUNTIFS('架電リスト'!$C$5:$C$62,$A13,'架電リスト'!$J$5:$J$62,"不在・折返し待ち")</f>
        <v/>
      </c>
      <c r="F13" s="16">
        <f>COUNTIFS('架電リスト'!$C$5:$C$62,$A13,'架電リスト'!$J$5:$J$62,"担当者不在")</f>
        <v/>
      </c>
      <c r="G13" s="16">
        <f>COUNTIFS('架電リスト'!$C$5:$C$62,$A13,'架電リスト'!$J$5:$J$62,"資料送付")</f>
        <v/>
      </c>
      <c r="H13" s="16">
        <f>COUNTIFS('架電リスト'!$C$5:$C$62,$A13,'架電リスト'!$J$5:$J$62,"アポ獲得")</f>
        <v/>
      </c>
      <c r="I13" s="16">
        <f>COUNTIFS('架電リスト'!$C$5:$C$62,$A13,'架電リスト'!$J$5:$J$62,"検討中")</f>
        <v/>
      </c>
      <c r="J13" s="16">
        <f>COUNTIFS('架電リスト'!$C$5:$C$62,$A13,'架電リスト'!$J$5:$J$62,"NG")</f>
        <v/>
      </c>
      <c r="K13" s="16">
        <f>COUNTIFS('架電リスト'!$C$5:$C$62,$A13,'架電リスト'!$J$5:$J$62,"番号不明")</f>
        <v/>
      </c>
    </row>
    <row r="14">
      <c r="A14" s="16" t="inlineStr">
        <is>
          <t>千葉市稲毛区</t>
        </is>
      </c>
      <c r="B14" s="16">
        <f>COUNTIF('架電リスト'!$C$5:$C$62,A14)</f>
        <v/>
      </c>
      <c r="C14" s="16">
        <f>COUNTIFS('架電リスト'!$C$5:$C$62,A14,'架電リスト'!$E$5:$E$62,"&lt;&gt;")</f>
        <v/>
      </c>
      <c r="D14" s="16">
        <f>B14-COUNTIFS('架電リスト'!$C$5:$C$62,A14,'架電リスト'!$J$5:$J$62,"未架電")-COUNTIFS('架電リスト'!$C$5:$C$62,A14,'架電リスト'!$J$5:$J$62,"")</f>
        <v/>
      </c>
      <c r="E14" s="16">
        <f>COUNTIFS('架電リスト'!$C$5:$C$62,$A14,'架電リスト'!$J$5:$J$62,"不在・折返し待ち")</f>
        <v/>
      </c>
      <c r="F14" s="16">
        <f>COUNTIFS('架電リスト'!$C$5:$C$62,$A14,'架電リスト'!$J$5:$J$62,"担当者不在")</f>
        <v/>
      </c>
      <c r="G14" s="16">
        <f>COUNTIFS('架電リスト'!$C$5:$C$62,$A14,'架電リスト'!$J$5:$J$62,"資料送付")</f>
        <v/>
      </c>
      <c r="H14" s="16">
        <f>COUNTIFS('架電リスト'!$C$5:$C$62,$A14,'架電リスト'!$J$5:$J$62,"アポ獲得")</f>
        <v/>
      </c>
      <c r="I14" s="16">
        <f>COUNTIFS('架電リスト'!$C$5:$C$62,$A14,'架電リスト'!$J$5:$J$62,"検討中")</f>
        <v/>
      </c>
      <c r="J14" s="16">
        <f>COUNTIFS('架電リスト'!$C$5:$C$62,$A14,'架電リスト'!$J$5:$J$62,"NG")</f>
        <v/>
      </c>
      <c r="K14" s="16">
        <f>COUNTIFS('架電リスト'!$C$5:$C$62,$A14,'架電リスト'!$J$5:$J$62,"番号不明")</f>
        <v/>
      </c>
    </row>
    <row r="15">
      <c r="A15" s="16" t="inlineStr">
        <is>
          <t>松戸市</t>
        </is>
      </c>
      <c r="B15" s="16">
        <f>COUNTIF('架電リスト'!$C$5:$C$62,A15)</f>
        <v/>
      </c>
      <c r="C15" s="16">
        <f>COUNTIFS('架電リスト'!$C$5:$C$62,A15,'架電リスト'!$E$5:$E$62,"&lt;&gt;")</f>
        <v/>
      </c>
      <c r="D15" s="16">
        <f>B15-COUNTIFS('架電リスト'!$C$5:$C$62,A15,'架電リスト'!$J$5:$J$62,"未架電")-COUNTIFS('架電リスト'!$C$5:$C$62,A15,'架電リスト'!$J$5:$J$62,"")</f>
        <v/>
      </c>
      <c r="E15" s="16">
        <f>COUNTIFS('架電リスト'!$C$5:$C$62,$A15,'架電リスト'!$J$5:$J$62,"不在・折返し待ち")</f>
        <v/>
      </c>
      <c r="F15" s="16">
        <f>COUNTIFS('架電リスト'!$C$5:$C$62,$A15,'架電リスト'!$J$5:$J$62,"担当者不在")</f>
        <v/>
      </c>
      <c r="G15" s="16">
        <f>COUNTIFS('架電リスト'!$C$5:$C$62,$A15,'架電リスト'!$J$5:$J$62,"資料送付")</f>
        <v/>
      </c>
      <c r="H15" s="16">
        <f>COUNTIFS('架電リスト'!$C$5:$C$62,$A15,'架電リスト'!$J$5:$J$62,"アポ獲得")</f>
        <v/>
      </c>
      <c r="I15" s="16">
        <f>COUNTIFS('架電リスト'!$C$5:$C$62,$A15,'架電リスト'!$J$5:$J$62,"検討中")</f>
        <v/>
      </c>
      <c r="J15" s="16">
        <f>COUNTIFS('架電リスト'!$C$5:$C$62,$A15,'架電リスト'!$J$5:$J$62,"NG")</f>
        <v/>
      </c>
      <c r="K15" s="16">
        <f>COUNTIFS('架電リスト'!$C$5:$C$62,$A15,'架電リスト'!$J$5:$J$62,"番号不明")</f>
        <v/>
      </c>
    </row>
    <row r="16">
      <c r="A16" s="16" t="inlineStr">
        <is>
          <t>千葉市美浜区</t>
        </is>
      </c>
      <c r="B16" s="16">
        <f>COUNTIF('架電リスト'!$C$5:$C$62,A16)</f>
        <v/>
      </c>
      <c r="C16" s="16">
        <f>COUNTIFS('架電リスト'!$C$5:$C$62,A16,'架電リスト'!$E$5:$E$62,"&lt;&gt;")</f>
        <v/>
      </c>
      <c r="D16" s="16">
        <f>B16-COUNTIFS('架電リスト'!$C$5:$C$62,A16,'架電リスト'!$J$5:$J$62,"未架電")-COUNTIFS('架電リスト'!$C$5:$C$62,A16,'架電リスト'!$J$5:$J$62,"")</f>
        <v/>
      </c>
      <c r="E16" s="16">
        <f>COUNTIFS('架電リスト'!$C$5:$C$62,$A16,'架電リスト'!$J$5:$J$62,"不在・折返し待ち")</f>
        <v/>
      </c>
      <c r="F16" s="16">
        <f>COUNTIFS('架電リスト'!$C$5:$C$62,$A16,'架電リスト'!$J$5:$J$62,"担当者不在")</f>
        <v/>
      </c>
      <c r="G16" s="16">
        <f>COUNTIFS('架電リスト'!$C$5:$C$62,$A16,'架電リスト'!$J$5:$J$62,"資料送付")</f>
        <v/>
      </c>
      <c r="H16" s="16">
        <f>COUNTIFS('架電リスト'!$C$5:$C$62,$A16,'架電リスト'!$J$5:$J$62,"アポ獲得")</f>
        <v/>
      </c>
      <c r="I16" s="16">
        <f>COUNTIFS('架電リスト'!$C$5:$C$62,$A16,'架電リスト'!$J$5:$J$62,"検討中")</f>
        <v/>
      </c>
      <c r="J16" s="16">
        <f>COUNTIFS('架電リスト'!$C$5:$C$62,$A16,'架電リスト'!$J$5:$J$62,"NG")</f>
        <v/>
      </c>
      <c r="K16" s="16">
        <f>COUNTIFS('架電リスト'!$C$5:$C$62,$A16,'架電リスト'!$J$5:$J$62,"番号不明")</f>
        <v/>
      </c>
    </row>
    <row r="17">
      <c r="A17" s="16" t="inlineStr">
        <is>
          <t>浦安市</t>
        </is>
      </c>
      <c r="B17" s="16">
        <f>COUNTIF('架電リスト'!$C$5:$C$62,A17)</f>
        <v/>
      </c>
      <c r="C17" s="16">
        <f>COUNTIFS('架電リスト'!$C$5:$C$62,A17,'架電リスト'!$E$5:$E$62,"&lt;&gt;")</f>
        <v/>
      </c>
      <c r="D17" s="16">
        <f>B17-COUNTIFS('架電リスト'!$C$5:$C$62,A17,'架電リスト'!$J$5:$J$62,"未架電")-COUNTIFS('架電リスト'!$C$5:$C$62,A17,'架電リスト'!$J$5:$J$62,"")</f>
        <v/>
      </c>
      <c r="E17" s="16">
        <f>COUNTIFS('架電リスト'!$C$5:$C$62,$A17,'架電リスト'!$J$5:$J$62,"不在・折返し待ち")</f>
        <v/>
      </c>
      <c r="F17" s="16">
        <f>COUNTIFS('架電リスト'!$C$5:$C$62,$A17,'架電リスト'!$J$5:$J$62,"担当者不在")</f>
        <v/>
      </c>
      <c r="G17" s="16">
        <f>COUNTIFS('架電リスト'!$C$5:$C$62,$A17,'架電リスト'!$J$5:$J$62,"資料送付")</f>
        <v/>
      </c>
      <c r="H17" s="16">
        <f>COUNTIFS('架電リスト'!$C$5:$C$62,$A17,'架電リスト'!$J$5:$J$62,"アポ獲得")</f>
        <v/>
      </c>
      <c r="I17" s="16">
        <f>COUNTIFS('架電リスト'!$C$5:$C$62,$A17,'架電リスト'!$J$5:$J$62,"検討中")</f>
        <v/>
      </c>
      <c r="J17" s="16">
        <f>COUNTIFS('架電リスト'!$C$5:$C$62,$A17,'架電リスト'!$J$5:$J$62,"NG")</f>
        <v/>
      </c>
      <c r="K17" s="16">
        <f>COUNTIFS('架電リスト'!$C$5:$C$62,$A17,'架電リスト'!$J$5:$J$62,"番号不明")</f>
        <v/>
      </c>
    </row>
    <row r="18">
      <c r="A18" s="16" t="inlineStr">
        <is>
          <t>千葉市若葉区</t>
        </is>
      </c>
      <c r="B18" s="16">
        <f>COUNTIF('架電リスト'!$C$5:$C$62,A18)</f>
        <v/>
      </c>
      <c r="C18" s="16">
        <f>COUNTIFS('架電リスト'!$C$5:$C$62,A18,'架電リスト'!$E$5:$E$62,"&lt;&gt;")</f>
        <v/>
      </c>
      <c r="D18" s="16">
        <f>B18-COUNTIFS('架電リスト'!$C$5:$C$62,A18,'架電リスト'!$J$5:$J$62,"未架電")-COUNTIFS('架電リスト'!$C$5:$C$62,A18,'架電リスト'!$J$5:$J$62,"")</f>
        <v/>
      </c>
      <c r="E18" s="16">
        <f>COUNTIFS('架電リスト'!$C$5:$C$62,$A18,'架電リスト'!$J$5:$J$62,"不在・折返し待ち")</f>
        <v/>
      </c>
      <c r="F18" s="16">
        <f>COUNTIFS('架電リスト'!$C$5:$C$62,$A18,'架電リスト'!$J$5:$J$62,"担当者不在")</f>
        <v/>
      </c>
      <c r="G18" s="16">
        <f>COUNTIFS('架電リスト'!$C$5:$C$62,$A18,'架電リスト'!$J$5:$J$62,"資料送付")</f>
        <v/>
      </c>
      <c r="H18" s="16">
        <f>COUNTIFS('架電リスト'!$C$5:$C$62,$A18,'架電リスト'!$J$5:$J$62,"アポ獲得")</f>
        <v/>
      </c>
      <c r="I18" s="16">
        <f>COUNTIFS('架電リスト'!$C$5:$C$62,$A18,'架電リスト'!$J$5:$J$62,"検討中")</f>
        <v/>
      </c>
      <c r="J18" s="16">
        <f>COUNTIFS('架電リスト'!$C$5:$C$62,$A18,'架電リスト'!$J$5:$J$62,"NG")</f>
        <v/>
      </c>
      <c r="K18" s="16">
        <f>COUNTIFS('架電リスト'!$C$5:$C$62,$A18,'架電リスト'!$J$5:$J$62,"番号不明")</f>
        <v/>
      </c>
    </row>
    <row r="19">
      <c r="A19" s="16" t="inlineStr">
        <is>
          <t>鴨川市</t>
        </is>
      </c>
      <c r="B19" s="16">
        <f>COUNTIF('架電リスト'!$C$5:$C$62,A19)</f>
        <v/>
      </c>
      <c r="C19" s="16">
        <f>COUNTIFS('架電リスト'!$C$5:$C$62,A19,'架電リスト'!$E$5:$E$62,"&lt;&gt;")</f>
        <v/>
      </c>
      <c r="D19" s="16">
        <f>B19-COUNTIFS('架電リスト'!$C$5:$C$62,A19,'架電リスト'!$J$5:$J$62,"未架電")-COUNTIFS('架電リスト'!$C$5:$C$62,A19,'架電リスト'!$J$5:$J$62,"")</f>
        <v/>
      </c>
      <c r="E19" s="16">
        <f>COUNTIFS('架電リスト'!$C$5:$C$62,$A19,'架電リスト'!$J$5:$J$62,"不在・折返し待ち")</f>
        <v/>
      </c>
      <c r="F19" s="16">
        <f>COUNTIFS('架電リスト'!$C$5:$C$62,$A19,'架電リスト'!$J$5:$J$62,"担当者不在")</f>
        <v/>
      </c>
      <c r="G19" s="16">
        <f>COUNTIFS('架電リスト'!$C$5:$C$62,$A19,'架電リスト'!$J$5:$J$62,"資料送付")</f>
        <v/>
      </c>
      <c r="H19" s="16">
        <f>COUNTIFS('架電リスト'!$C$5:$C$62,$A19,'架電リスト'!$J$5:$J$62,"アポ獲得")</f>
        <v/>
      </c>
      <c r="I19" s="16">
        <f>COUNTIFS('架電リスト'!$C$5:$C$62,$A19,'架電リスト'!$J$5:$J$62,"検討中")</f>
        <v/>
      </c>
      <c r="J19" s="16">
        <f>COUNTIFS('架電リスト'!$C$5:$C$62,$A19,'架電リスト'!$J$5:$J$62,"NG")</f>
        <v/>
      </c>
      <c r="K19" s="16">
        <f>COUNTIFS('架電リスト'!$C$5:$C$62,$A19,'架電リスト'!$J$5:$J$62,"番号不明")</f>
        <v/>
      </c>
    </row>
    <row r="20">
      <c r="A20" s="16" t="inlineStr">
        <is>
          <t>匝瑳市</t>
        </is>
      </c>
      <c r="B20" s="16">
        <f>COUNTIF('架電リスト'!$C$5:$C$62,A20)</f>
        <v/>
      </c>
      <c r="C20" s="16">
        <f>COUNTIFS('架電リスト'!$C$5:$C$62,A20,'架電リスト'!$E$5:$E$62,"&lt;&gt;")</f>
        <v/>
      </c>
      <c r="D20" s="16">
        <f>B20-COUNTIFS('架電リスト'!$C$5:$C$62,A20,'架電リスト'!$J$5:$J$62,"未架電")-COUNTIFS('架電リスト'!$C$5:$C$62,A20,'架電リスト'!$J$5:$J$62,"")</f>
        <v/>
      </c>
      <c r="E20" s="16">
        <f>COUNTIFS('架電リスト'!$C$5:$C$62,$A20,'架電リスト'!$J$5:$J$62,"不在・折返し待ち")</f>
        <v/>
      </c>
      <c r="F20" s="16">
        <f>COUNTIFS('架電リスト'!$C$5:$C$62,$A20,'架電リスト'!$J$5:$J$62,"担当者不在")</f>
        <v/>
      </c>
      <c r="G20" s="16">
        <f>COUNTIFS('架電リスト'!$C$5:$C$62,$A20,'架電リスト'!$J$5:$J$62,"資料送付")</f>
        <v/>
      </c>
      <c r="H20" s="16">
        <f>COUNTIFS('架電リスト'!$C$5:$C$62,$A20,'架電リスト'!$J$5:$J$62,"アポ獲得")</f>
        <v/>
      </c>
      <c r="I20" s="16">
        <f>COUNTIFS('架電リスト'!$C$5:$C$62,$A20,'架電リスト'!$J$5:$J$62,"検討中")</f>
        <v/>
      </c>
      <c r="J20" s="16">
        <f>COUNTIFS('架電リスト'!$C$5:$C$62,$A20,'架電リスト'!$J$5:$J$62,"NG")</f>
        <v/>
      </c>
      <c r="K20" s="16">
        <f>COUNTIFS('架電リスト'!$C$5:$C$62,$A20,'架電リスト'!$J$5:$J$62,"番号不明")</f>
        <v/>
      </c>
    </row>
    <row r="21">
      <c r="A21" s="16" t="inlineStr">
        <is>
          <t>君津市</t>
        </is>
      </c>
      <c r="B21" s="16">
        <f>COUNTIF('架電リスト'!$C$5:$C$62,A21)</f>
        <v/>
      </c>
      <c r="C21" s="16">
        <f>COUNTIFS('架電リスト'!$C$5:$C$62,A21,'架電リスト'!$E$5:$E$62,"&lt;&gt;")</f>
        <v/>
      </c>
      <c r="D21" s="16">
        <f>B21-COUNTIFS('架電リスト'!$C$5:$C$62,A21,'架電リスト'!$J$5:$J$62,"未架電")-COUNTIFS('架電リスト'!$C$5:$C$62,A21,'架電リスト'!$J$5:$J$62,"")</f>
        <v/>
      </c>
      <c r="E21" s="16">
        <f>COUNTIFS('架電リスト'!$C$5:$C$62,$A21,'架電リスト'!$J$5:$J$62,"不在・折返し待ち")</f>
        <v/>
      </c>
      <c r="F21" s="16">
        <f>COUNTIFS('架電リスト'!$C$5:$C$62,$A21,'架電リスト'!$J$5:$J$62,"担当者不在")</f>
        <v/>
      </c>
      <c r="G21" s="16">
        <f>COUNTIFS('架電リスト'!$C$5:$C$62,$A21,'架電リスト'!$J$5:$J$62,"資料送付")</f>
        <v/>
      </c>
      <c r="H21" s="16">
        <f>COUNTIFS('架電リスト'!$C$5:$C$62,$A21,'架電リスト'!$J$5:$J$62,"アポ獲得")</f>
        <v/>
      </c>
      <c r="I21" s="16">
        <f>COUNTIFS('架電リスト'!$C$5:$C$62,$A21,'架電リスト'!$J$5:$J$62,"検討中")</f>
        <v/>
      </c>
      <c r="J21" s="16">
        <f>COUNTIFS('架電リスト'!$C$5:$C$62,$A21,'架電リスト'!$J$5:$J$62,"NG")</f>
        <v/>
      </c>
      <c r="K21" s="16">
        <f>COUNTIFS('架電リスト'!$C$5:$C$62,$A21,'架電リスト'!$J$5:$J$62,"番号不明")</f>
        <v/>
      </c>
    </row>
    <row r="22">
      <c r="A22" s="16" t="inlineStr">
        <is>
          <t>東金市</t>
        </is>
      </c>
      <c r="B22" s="16">
        <f>COUNTIF('架電リスト'!$C$5:$C$62,A22)</f>
        <v/>
      </c>
      <c r="C22" s="16">
        <f>COUNTIFS('架電リスト'!$C$5:$C$62,A22,'架電リスト'!$E$5:$E$62,"&lt;&gt;")</f>
        <v/>
      </c>
      <c r="D22" s="16">
        <f>B22-COUNTIFS('架電リスト'!$C$5:$C$62,A22,'架電リスト'!$J$5:$J$62,"未架電")-COUNTIFS('架電リスト'!$C$5:$C$62,A22,'架電リスト'!$J$5:$J$62,"")</f>
        <v/>
      </c>
      <c r="E22" s="16">
        <f>COUNTIFS('架電リスト'!$C$5:$C$62,$A22,'架電リスト'!$J$5:$J$62,"不在・折返し待ち")</f>
        <v/>
      </c>
      <c r="F22" s="16">
        <f>COUNTIFS('架電リスト'!$C$5:$C$62,$A22,'架電リスト'!$J$5:$J$62,"担当者不在")</f>
        <v/>
      </c>
      <c r="G22" s="16">
        <f>COUNTIFS('架電リスト'!$C$5:$C$62,$A22,'架電リスト'!$J$5:$J$62,"資料送付")</f>
        <v/>
      </c>
      <c r="H22" s="16">
        <f>COUNTIFS('架電リスト'!$C$5:$C$62,$A22,'架電リスト'!$J$5:$J$62,"アポ獲得")</f>
        <v/>
      </c>
      <c r="I22" s="16">
        <f>COUNTIFS('架電リスト'!$C$5:$C$62,$A22,'架電リスト'!$J$5:$J$62,"検討中")</f>
        <v/>
      </c>
      <c r="J22" s="16">
        <f>COUNTIFS('架電リスト'!$C$5:$C$62,$A22,'架電リスト'!$J$5:$J$62,"NG")</f>
        <v/>
      </c>
      <c r="K22" s="16">
        <f>COUNTIFS('架電リスト'!$C$5:$C$62,$A22,'架電リスト'!$J$5:$J$62,"番号不明")</f>
        <v/>
      </c>
    </row>
    <row r="23">
      <c r="A23" s="16" t="inlineStr">
        <is>
          <t>館山市</t>
        </is>
      </c>
      <c r="B23" s="16">
        <f>COUNTIF('架電リスト'!$C$5:$C$62,A23)</f>
        <v/>
      </c>
      <c r="C23" s="16">
        <f>COUNTIFS('架電リスト'!$C$5:$C$62,A23,'架電リスト'!$E$5:$E$62,"&lt;&gt;")</f>
        <v/>
      </c>
      <c r="D23" s="16">
        <f>B23-COUNTIFS('架電リスト'!$C$5:$C$62,A23,'架電リスト'!$J$5:$J$62,"未架電")-COUNTIFS('架電リスト'!$C$5:$C$62,A23,'架電リスト'!$J$5:$J$62,"")</f>
        <v/>
      </c>
      <c r="E23" s="16">
        <f>COUNTIFS('架電リスト'!$C$5:$C$62,$A23,'架電リスト'!$J$5:$J$62,"不在・折返し待ち")</f>
        <v/>
      </c>
      <c r="F23" s="16">
        <f>COUNTIFS('架電リスト'!$C$5:$C$62,$A23,'架電リスト'!$J$5:$J$62,"担当者不在")</f>
        <v/>
      </c>
      <c r="G23" s="16">
        <f>COUNTIFS('架電リスト'!$C$5:$C$62,$A23,'架電リスト'!$J$5:$J$62,"資料送付")</f>
        <v/>
      </c>
      <c r="H23" s="16">
        <f>COUNTIFS('架電リスト'!$C$5:$C$62,$A23,'架電リスト'!$J$5:$J$62,"アポ獲得")</f>
        <v/>
      </c>
      <c r="I23" s="16">
        <f>COUNTIFS('架電リスト'!$C$5:$C$62,$A23,'架電リスト'!$J$5:$J$62,"検討中")</f>
        <v/>
      </c>
      <c r="J23" s="16">
        <f>COUNTIFS('架電リスト'!$C$5:$C$62,$A23,'架電リスト'!$J$5:$J$62,"NG")</f>
        <v/>
      </c>
      <c r="K23" s="16">
        <f>COUNTIFS('架電リスト'!$C$5:$C$62,$A23,'架電リスト'!$J$5:$J$62,"番号不明")</f>
        <v/>
      </c>
    </row>
    <row r="24">
      <c r="A24" s="16" t="inlineStr">
        <is>
          <t>香取市</t>
        </is>
      </c>
      <c r="B24" s="16">
        <f>COUNTIF('架電リスト'!$C$5:$C$62,A24)</f>
        <v/>
      </c>
      <c r="C24" s="16">
        <f>COUNTIFS('架電リスト'!$C$5:$C$62,A24,'架電リスト'!$E$5:$E$62,"&lt;&gt;")</f>
        <v/>
      </c>
      <c r="D24" s="16">
        <f>B24-COUNTIFS('架電リスト'!$C$5:$C$62,A24,'架電リスト'!$J$5:$J$62,"未架電")-COUNTIFS('架電リスト'!$C$5:$C$62,A24,'架電リスト'!$J$5:$J$62,"")</f>
        <v/>
      </c>
      <c r="E24" s="16">
        <f>COUNTIFS('架電リスト'!$C$5:$C$62,$A24,'架電リスト'!$J$5:$J$62,"不在・折返し待ち")</f>
        <v/>
      </c>
      <c r="F24" s="16">
        <f>COUNTIFS('架電リスト'!$C$5:$C$62,$A24,'架電リスト'!$J$5:$J$62,"担当者不在")</f>
        <v/>
      </c>
      <c r="G24" s="16">
        <f>COUNTIFS('架電リスト'!$C$5:$C$62,$A24,'架電リスト'!$J$5:$J$62,"資料送付")</f>
        <v/>
      </c>
      <c r="H24" s="16">
        <f>COUNTIFS('架電リスト'!$C$5:$C$62,$A24,'架電リスト'!$J$5:$J$62,"アポ獲得")</f>
        <v/>
      </c>
      <c r="I24" s="16">
        <f>COUNTIFS('架電リスト'!$C$5:$C$62,$A24,'架電リスト'!$J$5:$J$62,"検討中")</f>
        <v/>
      </c>
      <c r="J24" s="16">
        <f>COUNTIFS('架電リスト'!$C$5:$C$62,$A24,'架電リスト'!$J$5:$J$62,"NG")</f>
        <v/>
      </c>
      <c r="K24" s="16">
        <f>COUNTIFS('架電リスト'!$C$5:$C$62,$A24,'架電リスト'!$J$5:$J$62,"番号不明")</f>
        <v/>
      </c>
    </row>
    <row r="25">
      <c r="A25" s="16" t="inlineStr">
        <is>
          <t>八街市</t>
        </is>
      </c>
      <c r="B25" s="16">
        <f>COUNTIF('架電リスト'!$C$5:$C$62,A25)</f>
        <v/>
      </c>
      <c r="C25" s="16">
        <f>COUNTIFS('架電リスト'!$C$5:$C$62,A25,'架電リスト'!$E$5:$E$62,"&lt;&gt;")</f>
        <v/>
      </c>
      <c r="D25" s="16">
        <f>B25-COUNTIFS('架電リスト'!$C$5:$C$62,A25,'架電リスト'!$J$5:$J$62,"未架電")-COUNTIFS('架電リスト'!$C$5:$C$62,A25,'架電リスト'!$J$5:$J$62,"")</f>
        <v/>
      </c>
      <c r="E25" s="16">
        <f>COUNTIFS('架電リスト'!$C$5:$C$62,$A25,'架電リスト'!$J$5:$J$62,"不在・折返し待ち")</f>
        <v/>
      </c>
      <c r="F25" s="16">
        <f>COUNTIFS('架電リスト'!$C$5:$C$62,$A25,'架電リスト'!$J$5:$J$62,"担当者不在")</f>
        <v/>
      </c>
      <c r="G25" s="16">
        <f>COUNTIFS('架電リスト'!$C$5:$C$62,$A25,'架電リスト'!$J$5:$J$62,"資料送付")</f>
        <v/>
      </c>
      <c r="H25" s="16">
        <f>COUNTIFS('架電リスト'!$C$5:$C$62,$A25,'架電リスト'!$J$5:$J$62,"アポ獲得")</f>
        <v/>
      </c>
      <c r="I25" s="16">
        <f>COUNTIFS('架電リスト'!$C$5:$C$62,$A25,'架電リスト'!$J$5:$J$62,"検討中")</f>
        <v/>
      </c>
      <c r="J25" s="16">
        <f>COUNTIFS('架電リスト'!$C$5:$C$62,$A25,'架電リスト'!$J$5:$J$62,"NG")</f>
        <v/>
      </c>
      <c r="K25" s="16">
        <f>COUNTIFS('架電リスト'!$C$5:$C$62,$A25,'架電リスト'!$J$5:$J$62,"番号不明")</f>
        <v/>
      </c>
    </row>
    <row r="26">
      <c r="A26" s="16" t="inlineStr">
        <is>
          <t>酒々井町</t>
        </is>
      </c>
      <c r="B26" s="16">
        <f>COUNTIF('架電リスト'!$C$5:$C$62,A26)</f>
        <v/>
      </c>
      <c r="C26" s="16">
        <f>COUNTIFS('架電リスト'!$C$5:$C$62,A26,'架電リスト'!$E$5:$E$62,"&lt;&gt;")</f>
        <v/>
      </c>
      <c r="D26" s="16">
        <f>B26-COUNTIFS('架電リスト'!$C$5:$C$62,A26,'架電リスト'!$J$5:$J$62,"未架電")-COUNTIFS('架電リスト'!$C$5:$C$62,A26,'架電リスト'!$J$5:$J$62,"")</f>
        <v/>
      </c>
      <c r="E26" s="16">
        <f>COUNTIFS('架電リスト'!$C$5:$C$62,$A26,'架電リスト'!$J$5:$J$62,"不在・折返し待ち")</f>
        <v/>
      </c>
      <c r="F26" s="16">
        <f>COUNTIFS('架電リスト'!$C$5:$C$62,$A26,'架電リスト'!$J$5:$J$62,"担当者不在")</f>
        <v/>
      </c>
      <c r="G26" s="16">
        <f>COUNTIFS('架電リスト'!$C$5:$C$62,$A26,'架電リスト'!$J$5:$J$62,"資料送付")</f>
        <v/>
      </c>
      <c r="H26" s="16">
        <f>COUNTIFS('架電リスト'!$C$5:$C$62,$A26,'架電リスト'!$J$5:$J$62,"アポ獲得")</f>
        <v/>
      </c>
      <c r="I26" s="16">
        <f>COUNTIFS('架電リスト'!$C$5:$C$62,$A26,'架電リスト'!$J$5:$J$62,"検討中")</f>
        <v/>
      </c>
      <c r="J26" s="16">
        <f>COUNTIFS('架電リスト'!$C$5:$C$62,$A26,'架電リスト'!$J$5:$J$62,"NG")</f>
        <v/>
      </c>
      <c r="K26" s="16">
        <f>COUNTIFS('架電リスト'!$C$5:$C$62,$A26,'架電リスト'!$J$5:$J$62,"番号不明")</f>
        <v/>
      </c>
    </row>
    <row r="27">
      <c r="A27" s="16" t="inlineStr">
        <is>
          <t>習志野市</t>
        </is>
      </c>
      <c r="B27" s="16">
        <f>COUNTIF('架電リスト'!$C$5:$C$62,A27)</f>
        <v/>
      </c>
      <c r="C27" s="16">
        <f>COUNTIFS('架電リスト'!$C$5:$C$62,A27,'架電リスト'!$E$5:$E$62,"&lt;&gt;")</f>
        <v/>
      </c>
      <c r="D27" s="16">
        <f>B27-COUNTIFS('架電リスト'!$C$5:$C$62,A27,'架電リスト'!$J$5:$J$62,"未架電")-COUNTIFS('架電リスト'!$C$5:$C$62,A27,'架電リスト'!$J$5:$J$62,"")</f>
        <v/>
      </c>
      <c r="E27" s="16">
        <f>COUNTIFS('架電リスト'!$C$5:$C$62,$A27,'架電リスト'!$J$5:$J$62,"不在・折返し待ち")</f>
        <v/>
      </c>
      <c r="F27" s="16">
        <f>COUNTIFS('架電リスト'!$C$5:$C$62,$A27,'架電リスト'!$J$5:$J$62,"担当者不在")</f>
        <v/>
      </c>
      <c r="G27" s="16">
        <f>COUNTIFS('架電リスト'!$C$5:$C$62,$A27,'架電リスト'!$J$5:$J$62,"資料送付")</f>
        <v/>
      </c>
      <c r="H27" s="16">
        <f>COUNTIFS('架電リスト'!$C$5:$C$62,$A27,'架電リスト'!$J$5:$J$62,"アポ獲得")</f>
        <v/>
      </c>
      <c r="I27" s="16">
        <f>COUNTIFS('架電リスト'!$C$5:$C$62,$A27,'架電リスト'!$J$5:$J$62,"検討中")</f>
        <v/>
      </c>
      <c r="J27" s="16">
        <f>COUNTIFS('架電リスト'!$C$5:$C$62,$A27,'架電リスト'!$J$5:$J$62,"NG")</f>
        <v/>
      </c>
      <c r="K27" s="16">
        <f>COUNTIFS('架電リスト'!$C$5:$C$62,$A27,'架電リスト'!$J$5:$J$62,"番号不明")</f>
        <v/>
      </c>
    </row>
    <row r="28">
      <c r="A28" s="16" t="inlineStr">
        <is>
          <t>成田市</t>
        </is>
      </c>
      <c r="B28" s="16">
        <f>COUNTIF('架電リスト'!$C$5:$C$62,A28)</f>
        <v/>
      </c>
      <c r="C28" s="16">
        <f>COUNTIFS('架電リスト'!$C$5:$C$62,A28,'架電リスト'!$E$5:$E$62,"&lt;&gt;")</f>
        <v/>
      </c>
      <c r="D28" s="16">
        <f>B28-COUNTIFS('架電リスト'!$C$5:$C$62,A28,'架電リスト'!$J$5:$J$62,"未架電")-COUNTIFS('架電リスト'!$C$5:$C$62,A28,'架電リスト'!$J$5:$J$62,"")</f>
        <v/>
      </c>
      <c r="E28" s="16">
        <f>COUNTIFS('架電リスト'!$C$5:$C$62,$A28,'架電リスト'!$J$5:$J$62,"不在・折返し待ち")</f>
        <v/>
      </c>
      <c r="F28" s="16">
        <f>COUNTIFS('架電リスト'!$C$5:$C$62,$A28,'架電リスト'!$J$5:$J$62,"担当者不在")</f>
        <v/>
      </c>
      <c r="G28" s="16">
        <f>COUNTIFS('架電リスト'!$C$5:$C$62,$A28,'架電リスト'!$J$5:$J$62,"資料送付")</f>
        <v/>
      </c>
      <c r="H28" s="16">
        <f>COUNTIFS('架電リスト'!$C$5:$C$62,$A28,'架電リスト'!$J$5:$J$62,"アポ獲得")</f>
        <v/>
      </c>
      <c r="I28" s="16">
        <f>COUNTIFS('架電リスト'!$C$5:$C$62,$A28,'架電リスト'!$J$5:$J$62,"検討中")</f>
        <v/>
      </c>
      <c r="J28" s="16">
        <f>COUNTIFS('架電リスト'!$C$5:$C$62,$A28,'架電リスト'!$J$5:$J$62,"NG")</f>
        <v/>
      </c>
      <c r="K28" s="16">
        <f>COUNTIFS('架電リスト'!$C$5:$C$62,$A28,'架電リスト'!$J$5:$J$62,"番号不明")</f>
        <v/>
      </c>
    </row>
    <row r="29">
      <c r="A29" s="16" t="inlineStr">
        <is>
          <t>茂原市</t>
        </is>
      </c>
      <c r="B29" s="16">
        <f>COUNTIF('架電リスト'!$C$5:$C$62,A29)</f>
        <v/>
      </c>
      <c r="C29" s="16">
        <f>COUNTIFS('架電リスト'!$C$5:$C$62,A29,'架電リスト'!$E$5:$E$62,"&lt;&gt;")</f>
        <v/>
      </c>
      <c r="D29" s="16">
        <f>B29-COUNTIFS('架電リスト'!$C$5:$C$62,A29,'架電リスト'!$J$5:$J$62,"未架電")-COUNTIFS('架電リスト'!$C$5:$C$62,A29,'架電リスト'!$J$5:$J$62,"")</f>
        <v/>
      </c>
      <c r="E29" s="16">
        <f>COUNTIFS('架電リスト'!$C$5:$C$62,$A29,'架電リスト'!$J$5:$J$62,"不在・折返し待ち")</f>
        <v/>
      </c>
      <c r="F29" s="16">
        <f>COUNTIFS('架電リスト'!$C$5:$C$62,$A29,'架電リスト'!$J$5:$J$62,"担当者不在")</f>
        <v/>
      </c>
      <c r="G29" s="16">
        <f>COUNTIFS('架電リスト'!$C$5:$C$62,$A29,'架電リスト'!$J$5:$J$62,"資料送付")</f>
        <v/>
      </c>
      <c r="H29" s="16">
        <f>COUNTIFS('架電リスト'!$C$5:$C$62,$A29,'架電リスト'!$J$5:$J$62,"アポ獲得")</f>
        <v/>
      </c>
      <c r="I29" s="16">
        <f>COUNTIFS('架電リスト'!$C$5:$C$62,$A29,'架電リスト'!$J$5:$J$62,"検討中")</f>
        <v/>
      </c>
      <c r="J29" s="16">
        <f>COUNTIFS('架電リスト'!$C$5:$C$62,$A29,'架電リスト'!$J$5:$J$62,"NG")</f>
        <v/>
      </c>
      <c r="K29" s="16">
        <f>COUNTIFS('架電リスト'!$C$5:$C$62,$A29,'架電リスト'!$J$5:$J$62,"番号不明")</f>
        <v/>
      </c>
    </row>
    <row r="30">
      <c r="A30" s="16" t="inlineStr">
        <is>
          <t>横芝光町</t>
        </is>
      </c>
      <c r="B30" s="16">
        <f>COUNTIF('架電リスト'!$C$5:$C$62,A30)</f>
        <v/>
      </c>
      <c r="C30" s="16">
        <f>COUNTIFS('架電リスト'!$C$5:$C$62,A30,'架電リスト'!$E$5:$E$62,"&lt;&gt;")</f>
        <v/>
      </c>
      <c r="D30" s="16">
        <f>B30-COUNTIFS('架電リスト'!$C$5:$C$62,A30,'架電リスト'!$J$5:$J$62,"未架電")-COUNTIFS('架電リスト'!$C$5:$C$62,A30,'架電リスト'!$J$5:$J$62,"")</f>
        <v/>
      </c>
      <c r="E30" s="16">
        <f>COUNTIFS('架電リスト'!$C$5:$C$62,$A30,'架電リスト'!$J$5:$J$62,"不在・折返し待ち")</f>
        <v/>
      </c>
      <c r="F30" s="16">
        <f>COUNTIFS('架電リスト'!$C$5:$C$62,$A30,'架電リスト'!$J$5:$J$62,"担当者不在")</f>
        <v/>
      </c>
      <c r="G30" s="16">
        <f>COUNTIFS('架電リスト'!$C$5:$C$62,$A30,'架電リスト'!$J$5:$J$62,"資料送付")</f>
        <v/>
      </c>
      <c r="H30" s="16">
        <f>COUNTIFS('架電リスト'!$C$5:$C$62,$A30,'架電リスト'!$J$5:$J$62,"アポ獲得")</f>
        <v/>
      </c>
      <c r="I30" s="16">
        <f>COUNTIFS('架電リスト'!$C$5:$C$62,$A30,'架電リスト'!$J$5:$J$62,"検討中")</f>
        <v/>
      </c>
      <c r="J30" s="16">
        <f>COUNTIFS('架電リスト'!$C$5:$C$62,$A30,'架電リスト'!$J$5:$J$62,"NG")</f>
        <v/>
      </c>
      <c r="K30" s="16">
        <f>COUNTIFS('架電リスト'!$C$5:$C$62,$A30,'架電リスト'!$J$5:$J$62,"番号不明")</f>
        <v/>
      </c>
    </row>
    <row r="31">
      <c r="A31" s="16" t="inlineStr">
        <is>
          <t>多古町</t>
        </is>
      </c>
      <c r="B31" s="16">
        <f>COUNTIF('架電リスト'!$C$5:$C$62,A31)</f>
        <v/>
      </c>
      <c r="C31" s="16">
        <f>COUNTIFS('架電リスト'!$C$5:$C$62,A31,'架電リスト'!$E$5:$E$62,"&lt;&gt;")</f>
        <v/>
      </c>
      <c r="D31" s="16">
        <f>B31-COUNTIFS('架電リスト'!$C$5:$C$62,A31,'架電リスト'!$J$5:$J$62,"未架電")-COUNTIFS('架電リスト'!$C$5:$C$62,A31,'架電リスト'!$J$5:$J$62,"")</f>
        <v/>
      </c>
      <c r="E31" s="16">
        <f>COUNTIFS('架電リスト'!$C$5:$C$62,$A31,'架電リスト'!$J$5:$J$62,"不在・折返し待ち")</f>
        <v/>
      </c>
      <c r="F31" s="16">
        <f>COUNTIFS('架電リスト'!$C$5:$C$62,$A31,'架電リスト'!$J$5:$J$62,"担当者不在")</f>
        <v/>
      </c>
      <c r="G31" s="16">
        <f>COUNTIFS('架電リスト'!$C$5:$C$62,$A31,'架電リスト'!$J$5:$J$62,"資料送付")</f>
        <v/>
      </c>
      <c r="H31" s="16">
        <f>COUNTIFS('架電リスト'!$C$5:$C$62,$A31,'架電リスト'!$J$5:$J$62,"アポ獲得")</f>
        <v/>
      </c>
      <c r="I31" s="16">
        <f>COUNTIFS('架電リスト'!$C$5:$C$62,$A31,'架電リスト'!$J$5:$J$62,"検討中")</f>
        <v/>
      </c>
      <c r="J31" s="16">
        <f>COUNTIFS('架電リスト'!$C$5:$C$62,$A31,'架電リスト'!$J$5:$J$62,"NG")</f>
        <v/>
      </c>
      <c r="K31" s="16">
        <f>COUNTIFS('架電リスト'!$C$5:$C$62,$A31,'架電リスト'!$J$5:$J$62,"番号不明")</f>
        <v/>
      </c>
    </row>
    <row r="32">
      <c r="A32" s="17" t="inlineStr">
        <is>
          <t>合計</t>
        </is>
      </c>
      <c r="B32" s="17">
        <f>SUM(B4:B31)</f>
        <v/>
      </c>
      <c r="C32" s="17">
        <f>SUM(C4:C31)</f>
        <v/>
      </c>
      <c r="D32" s="17">
        <f>SUM(D4:D31)</f>
        <v/>
      </c>
      <c r="E32" s="17">
        <f>SUM(E4:E31)</f>
        <v/>
      </c>
      <c r="F32" s="17">
        <f>SUM(F4:F31)</f>
        <v/>
      </c>
      <c r="G32" s="17">
        <f>SUM(G4:G31)</f>
        <v/>
      </c>
      <c r="H32" s="17">
        <f>SUM(H4:H31)</f>
        <v/>
      </c>
      <c r="I32" s="17">
        <f>SUM(I4:I31)</f>
        <v/>
      </c>
      <c r="J32" s="17">
        <f>SUM(J4:J31)</f>
        <v/>
      </c>
      <c r="K32" s="17">
        <f>SUM(K4:K31)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8" t="inlineStr">
        <is>
          <t>■ 使い方</t>
        </is>
      </c>
    </row>
    <row r="2">
      <c r="A2" s="19" t="inlineStr">
        <is>
          <t>・「架電リスト」の黄色の列（電話番号・架電日・担当者・架電結果・次回連絡日・メモ）に入力してください。</t>
        </is>
      </c>
    </row>
    <row r="3">
      <c r="A3" s="19" t="inlineStr">
        <is>
          <t>・架電結果はプルダウンから選択します（アポ獲得＝緑、NG＝グレーで行が自動着色）。</t>
        </is>
      </c>
    </row>
    <row r="4">
      <c r="A4" s="19" t="inlineStr">
        <is>
          <t>・「学校情報ページ」の「開く」をクリックすると、学校ネットの各校ページが開きます。</t>
        </is>
      </c>
    </row>
    <row r="5">
      <c r="A5" s="19" t="inlineStr">
        <is>
          <t>・「番号の確度」：高＝公式サイト、または2つ以上の情報源で一致／中＝情報サイト1件のみ、または代表番号と断定できず（補足欄参照）／低・要調査＝特定できず。</t>
        </is>
      </c>
    </row>
    <row r="6">
      <c r="A6" s="19" t="inlineStr">
        <is>
          <t>・「電話番号の補足」に、代表番号の共有・別番号（入試事務局など）・移転などの注意を記載しています。架電前にご確認ください。</t>
        </is>
      </c>
    </row>
    <row r="7">
      <c r="A7" s="19" t="inlineStr">
        <is>
          <t>・都道府県や市区町村で絞り込む場合は、見出し行の▼（フィルター）を使用してください。</t>
        </is>
      </c>
    </row>
    <row r="8">
      <c r="A8" s="19" t="inlineStr">
        <is>
          <t>・集計シートは入力内容に連動して自動で集計されます。</t>
        </is>
      </c>
    </row>
    <row r="9">
      <c r="A9" s="19" t="inlineStr"/>
    </row>
    <row r="10">
      <c r="A10" s="18" t="inlineStr">
        <is>
          <t>■ 元データについての注意</t>
        </is>
      </c>
    </row>
    <row r="11">
      <c r="A11" s="19" t="inlineStr">
        <is>
          <t>・出典：ご提供いただいた学校ネットの検索結果（私立高校・千葉県、58校）の貼り付けデータ。並び順は都道府県ごとに元データの掲載順です。</t>
        </is>
      </c>
    </row>
    <row r="12">
      <c r="A12" s="19" t="inlineStr">
        <is>
          <t>・電話番号は元データに記載がないため、2026年10月にWeb検索（学校公式サイト、JS日本の学校、みんなの高校情報、自治体・ハローワーク・各道県の私学協会の資料など）で調査しました。推測による補完はしていません。</t>
        </is>
      </c>
    </row>
    <row r="13">
      <c r="A13" s="19" t="inlineStr">
        <is>
          <t>・通信制（広域通信制）の学校は、所在地・電話番号とも本校のものです。架電先（本校／各キャンパス）にご注意ください。</t>
        </is>
      </c>
    </row>
    <row r="14">
      <c r="A14" s="19" t="inlineStr">
        <is>
          <t>・閉校・統合・校名変更などは反映されていない可能性があります。架電前にご確認ください。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2026-10-09T15:04:34Z</dcterms:created>
  <dcterms:modified xsi:type="dcterms:W3CDTF">2026-10-09T15:04:34Z</dcterms:modified>
</cp:coreProperties>
</file>