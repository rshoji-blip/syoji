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628.html" TargetMode="External" Id="rId1" /><Relationship Type="http://schemas.openxmlformats.org/officeDocument/2006/relationships/hyperlink" Target="https://www.gakkou.net/kou/view/index_302835.html" TargetMode="External" Id="rId2" /><Relationship Type="http://schemas.openxmlformats.org/officeDocument/2006/relationships/hyperlink" Target="https://www.gakkou.net/kou/view/index_302840.html" TargetMode="External" Id="rId3" /><Relationship Type="http://schemas.openxmlformats.org/officeDocument/2006/relationships/hyperlink" Target="https://www.gakkou.net/kou/view/index_302847.html" TargetMode="External" Id="rId4" /><Relationship Type="http://schemas.openxmlformats.org/officeDocument/2006/relationships/hyperlink" Target="https://www.gakkou.net/kou/view/index_302841.html" TargetMode="External" Id="rId5" /><Relationship Type="http://schemas.openxmlformats.org/officeDocument/2006/relationships/hyperlink" Target="https://www.gakkou.net/kou/view/index_302819.html" TargetMode="External" Id="rId6" /><Relationship Type="http://schemas.openxmlformats.org/officeDocument/2006/relationships/hyperlink" Target="https://www.gakkou.net/kou/view/index_302828.html" TargetMode="External" Id="rId7" /><Relationship Type="http://schemas.openxmlformats.org/officeDocument/2006/relationships/hyperlink" Target="https://www.gakkou.net/kou/view/index_302862.html" TargetMode="External" Id="rId8" /><Relationship Type="http://schemas.openxmlformats.org/officeDocument/2006/relationships/hyperlink" Target="https://www.gakkou.net/kou/view/index_302829.html" TargetMode="External" Id="rId9" /><Relationship Type="http://schemas.openxmlformats.org/officeDocument/2006/relationships/hyperlink" Target="https://www.gakkou.net/kou/view/index_302824.html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架電リスト（富山県／10校）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富山県</t>
        </is>
      </c>
      <c r="C5" s="5" t="inlineStr">
        <is>
          <t>富山市</t>
        </is>
      </c>
      <c r="D5" s="5" t="inlineStr">
        <is>
          <t>片山学園高等学校</t>
        </is>
      </c>
      <c r="E5" s="6" t="inlineStr">
        <is>
          <t>076-483-3300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公式サイトで確認。中高共通。076-483-8500を載せるサイトは旧番号の可能性</t>
        </is>
      </c>
      <c r="N5" s="11" t="inlineStr">
        <is>
          <t>https://www.katayamagakuen.jp/other/contact/ ; https://www.mapion.co.jp/phonebook/M11004/16201/ILSP0000041530_ipclm/</t>
        </is>
      </c>
      <c r="O5" s="12" t="inlineStr">
        <is>
          <t>開く</t>
        </is>
      </c>
    </row>
    <row r="6">
      <c r="A6" s="4" t="n">
        <v>2</v>
      </c>
      <c r="B6" s="5" t="inlineStr">
        <is>
          <t>富山県</t>
        </is>
      </c>
      <c r="C6" s="5" t="inlineStr">
        <is>
          <t>富山市</t>
        </is>
      </c>
      <c r="D6" s="5" t="inlineStr">
        <is>
          <t>高朋高等学校</t>
        </is>
      </c>
      <c r="E6" s="6" t="inlineStr">
        <is>
          <t>076-437-9940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公式サイトで確認。076-437-9950を載せるサイトは誤記の可能性</t>
        </is>
      </c>
      <c r="N6" s="11" t="inlineStr">
        <is>
          <t>https://www.koho.ac.jp/ ; https://school.js88.com/scl_h/22024520</t>
        </is>
      </c>
      <c r="O6" s="12" t="inlineStr">
        <is>
          <t>開く</t>
        </is>
      </c>
    </row>
    <row r="7">
      <c r="A7" s="4" t="n">
        <v>3</v>
      </c>
      <c r="B7" s="5" t="inlineStr">
        <is>
          <t>富山県</t>
        </is>
      </c>
      <c r="C7" s="5" t="inlineStr">
        <is>
          <t>高岡市</t>
        </is>
      </c>
      <c r="D7" s="5" t="inlineStr">
        <is>
          <t>高岡向陵高等学校</t>
        </is>
      </c>
      <c r="E7" s="6" t="inlineStr">
        <is>
          <t>0766-23-0762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公式サイトほかで一致</t>
        </is>
      </c>
      <c r="N7" s="11" t="inlineStr">
        <is>
          <t>https://takaokakoryo-h.ed.jp/ ; https://www.mapion.co.jp/phonebook/M11004/16202/ILSP0000041111_ipclm/</t>
        </is>
      </c>
      <c r="O7" s="12" t="inlineStr">
        <is>
          <t>開く</t>
        </is>
      </c>
    </row>
    <row r="8">
      <c r="A8" s="4" t="n">
        <v>4</v>
      </c>
      <c r="B8" s="5" t="inlineStr">
        <is>
          <t>富山県</t>
        </is>
      </c>
      <c r="C8" s="5" t="inlineStr">
        <is>
          <t>高岡市</t>
        </is>
      </c>
      <c r="D8" s="5" t="inlineStr">
        <is>
          <t>高岡第一高等学校</t>
        </is>
      </c>
      <c r="E8" s="6" t="inlineStr">
        <is>
          <t>0766-22-6336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公式サイトで確認</t>
        </is>
      </c>
      <c r="N8" s="11" t="inlineStr">
        <is>
          <t>https://www.takaoka1-h.ed.jp/ ; https://www.takaoka.ac.jp/gakuen</t>
        </is>
      </c>
      <c r="O8" s="12" t="inlineStr">
        <is>
          <t>開く</t>
        </is>
      </c>
    </row>
    <row r="9">
      <c r="A9" s="4" t="n">
        <v>5</v>
      </c>
      <c r="B9" s="5" t="inlineStr">
        <is>
          <t>富山県</t>
        </is>
      </c>
      <c r="C9" s="5" t="inlineStr">
        <is>
          <t>高岡市</t>
        </is>
      </c>
      <c r="D9" s="5" t="inlineStr">
        <is>
          <t>高岡龍谷高等学校</t>
        </is>
      </c>
      <c r="E9" s="6" t="inlineStr">
        <is>
          <t>0766-22-5141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公式サイトで確認。龍谷富山とは別の学校</t>
        </is>
      </c>
      <c r="N9" s="11" t="inlineStr">
        <is>
          <t>https://www.takaokaryukoku-h.ed.jp/contact/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富山県</t>
        </is>
      </c>
      <c r="C10" s="5" t="inlineStr">
        <is>
          <t>富山市</t>
        </is>
      </c>
      <c r="D10" s="5" t="inlineStr">
        <is>
          <t>富山国際大学付属高等学校</t>
        </is>
      </c>
      <c r="E10" s="6" t="inlineStr">
        <is>
          <t>076-434-0577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公式サイトに「代表」と記載</t>
        </is>
      </c>
      <c r="N10" s="11" t="inlineStr">
        <is>
          <t>https://www.tuins-h.ed.jp/contact/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富山県</t>
        </is>
      </c>
      <c r="C11" s="5" t="inlineStr">
        <is>
          <t>富山市</t>
        </is>
      </c>
      <c r="D11" s="5" t="inlineStr">
        <is>
          <t>富山第一高等学校</t>
        </is>
      </c>
      <c r="E11" s="6" t="inlineStr">
        <is>
          <t>076-451-3396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公式サイトで確認</t>
        </is>
      </c>
      <c r="N11" s="11" t="inlineStr">
        <is>
          <t>https://www.tomiichi.ed.jp/access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富山県</t>
        </is>
      </c>
      <c r="C12" s="5" t="inlineStr">
        <is>
          <t>魚津市</t>
        </is>
      </c>
      <c r="D12" s="5" t="inlineStr">
        <is>
          <t>新川高等学校</t>
        </is>
      </c>
      <c r="E12" s="6" t="inlineStr">
        <is>
          <t>0765-24-2015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公式サイトで確認。県立新川みどり野高校（0765-22-3535）とは別の学校</t>
        </is>
      </c>
      <c r="N12" s="11" t="inlineStr">
        <is>
          <t>https://niikawa.ed.jp/ ; https://www.mapion.co.jp/phonebook/M11004/16204/ILSP0000040613_ipclm/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富山県</t>
        </is>
      </c>
      <c r="C13" s="5" t="inlineStr">
        <is>
          <t>富山市</t>
        </is>
      </c>
      <c r="D13" s="5" t="inlineStr">
        <is>
          <t>不二越工業高等学校</t>
        </is>
      </c>
      <c r="E13" s="6" t="inlineStr">
        <is>
          <t>076-425-8304</t>
        </is>
      </c>
      <c r="F13" s="7" t="inlineStr">
        <is>
          <t>高</t>
        </is>
      </c>
      <c r="G13" s="5" t="inlineStr">
        <is>
          <t>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公式Instagramと複数サイトで一致</t>
        </is>
      </c>
      <c r="N13" s="11" t="inlineStr">
        <is>
          <t>https://www.mapion.co.jp/phonebook/M11004/16201/ILSP0000040920_ipclm/ ; https://www.instagram.com/fujikoshi.technical.highschool/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富山県</t>
        </is>
      </c>
      <c r="C14" s="5" t="inlineStr">
        <is>
          <t>富山市</t>
        </is>
      </c>
      <c r="D14" s="5" t="inlineStr">
        <is>
          <t>龍谷富山高等学校</t>
        </is>
      </c>
      <c r="E14" s="6" t="inlineStr">
        <is>
          <t>076-441-3141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公式サイトで確認。高岡龍谷とは別の学校</t>
        </is>
      </c>
      <c r="N14" s="11" t="inlineStr">
        <is>
          <t>https://ryukokutoyama.jp/contact</t>
        </is>
      </c>
      <c r="O14" s="12" t="inlineStr">
        <is>
          <t>開く</t>
        </is>
      </c>
    </row>
  </sheetData>
  <autoFilter ref="A4:O14"/>
  <conditionalFormatting sqref="A5:O1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4" showDropDown="0" showInputMessage="0" showErrorMessage="0" allowBlank="1" type="list">
      <formula1>"未架電,不在・折返し待ち,担当者不在,資料送付,アポ獲得,検討中,NG,番号不明"</formula1>
    </dataValidation>
    <dataValidation sqref="H5:H14 K5:K1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富山市</t>
        </is>
      </c>
      <c r="B4" s="13">
        <f>COUNTIF('架電リスト'!$C$5:$C$14,A4)</f>
        <v/>
      </c>
      <c r="C4" s="13">
        <f>COUNTIFS('架電リスト'!$C$5:$C$14,A4,'架電リスト'!$E$5:$E$14,"&lt;&gt;")</f>
        <v/>
      </c>
      <c r="D4" s="13">
        <f>B4-COUNTIFS('架電リスト'!$C$5:$C$14,A4,'架電リスト'!$J$5:$J$14,"未架電")-COUNTIFS('架電リスト'!$C$5:$C$14,A4,'架電リスト'!$J$5:$J$14,"")</f>
        <v/>
      </c>
      <c r="E4" s="13">
        <f>COUNTIFS('架電リスト'!$C$5:$C$14,$A4,'架電リスト'!$J$5:$J$14,"不在・折返し待ち")</f>
        <v/>
      </c>
      <c r="F4" s="13">
        <f>COUNTIFS('架電リスト'!$C$5:$C$14,$A4,'架電リスト'!$J$5:$J$14,"担当者不在")</f>
        <v/>
      </c>
      <c r="G4" s="13">
        <f>COUNTIFS('架電リスト'!$C$5:$C$14,$A4,'架電リスト'!$J$5:$J$14,"資料送付")</f>
        <v/>
      </c>
      <c r="H4" s="13">
        <f>COUNTIFS('架電リスト'!$C$5:$C$14,$A4,'架電リスト'!$J$5:$J$14,"アポ獲得")</f>
        <v/>
      </c>
      <c r="I4" s="13">
        <f>COUNTIFS('架電リスト'!$C$5:$C$14,$A4,'架電リスト'!$J$5:$J$14,"検討中")</f>
        <v/>
      </c>
      <c r="J4" s="13">
        <f>COUNTIFS('架電リスト'!$C$5:$C$14,$A4,'架電リスト'!$J$5:$J$14,"NG")</f>
        <v/>
      </c>
      <c r="K4" s="13">
        <f>COUNTIFS('架電リスト'!$C$5:$C$14,$A4,'架電リスト'!$J$5:$J$14,"番号不明")</f>
        <v/>
      </c>
    </row>
    <row r="5">
      <c r="A5" s="13" t="inlineStr">
        <is>
          <t>高岡市</t>
        </is>
      </c>
      <c r="B5" s="13">
        <f>COUNTIF('架電リスト'!$C$5:$C$14,A5)</f>
        <v/>
      </c>
      <c r="C5" s="13">
        <f>COUNTIFS('架電リスト'!$C$5:$C$14,A5,'架電リスト'!$E$5:$E$14,"&lt;&gt;")</f>
        <v/>
      </c>
      <c r="D5" s="13">
        <f>B5-COUNTIFS('架電リスト'!$C$5:$C$14,A5,'架電リスト'!$J$5:$J$14,"未架電")-COUNTIFS('架電リスト'!$C$5:$C$14,A5,'架電リスト'!$J$5:$J$14,"")</f>
        <v/>
      </c>
      <c r="E5" s="13">
        <f>COUNTIFS('架電リスト'!$C$5:$C$14,$A5,'架電リスト'!$J$5:$J$14,"不在・折返し待ち")</f>
        <v/>
      </c>
      <c r="F5" s="13">
        <f>COUNTIFS('架電リスト'!$C$5:$C$14,$A5,'架電リスト'!$J$5:$J$14,"担当者不在")</f>
        <v/>
      </c>
      <c r="G5" s="13">
        <f>COUNTIFS('架電リスト'!$C$5:$C$14,$A5,'架電リスト'!$J$5:$J$14,"資料送付")</f>
        <v/>
      </c>
      <c r="H5" s="13">
        <f>COUNTIFS('架電リスト'!$C$5:$C$14,$A5,'架電リスト'!$J$5:$J$14,"アポ獲得")</f>
        <v/>
      </c>
      <c r="I5" s="13">
        <f>COUNTIFS('架電リスト'!$C$5:$C$14,$A5,'架電リスト'!$J$5:$J$14,"検討中")</f>
        <v/>
      </c>
      <c r="J5" s="13">
        <f>COUNTIFS('架電リスト'!$C$5:$C$14,$A5,'架電リスト'!$J$5:$J$14,"NG")</f>
        <v/>
      </c>
      <c r="K5" s="13">
        <f>COUNTIFS('架電リスト'!$C$5:$C$14,$A5,'架電リスト'!$J$5:$J$14,"番号不明")</f>
        <v/>
      </c>
    </row>
    <row r="6">
      <c r="A6" s="13" t="inlineStr">
        <is>
          <t>魚津市</t>
        </is>
      </c>
      <c r="B6" s="13">
        <f>COUNTIF('架電リスト'!$C$5:$C$14,A6)</f>
        <v/>
      </c>
      <c r="C6" s="13">
        <f>COUNTIFS('架電リスト'!$C$5:$C$14,A6,'架電リスト'!$E$5:$E$14,"&lt;&gt;")</f>
        <v/>
      </c>
      <c r="D6" s="13">
        <f>B6-COUNTIFS('架電リスト'!$C$5:$C$14,A6,'架電リスト'!$J$5:$J$14,"未架電")-COUNTIFS('架電リスト'!$C$5:$C$14,A6,'架電リスト'!$J$5:$J$14,"")</f>
        <v/>
      </c>
      <c r="E6" s="13">
        <f>COUNTIFS('架電リスト'!$C$5:$C$14,$A6,'架電リスト'!$J$5:$J$14,"不在・折返し待ち")</f>
        <v/>
      </c>
      <c r="F6" s="13">
        <f>COUNTIFS('架電リスト'!$C$5:$C$14,$A6,'架電リスト'!$J$5:$J$14,"担当者不在")</f>
        <v/>
      </c>
      <c r="G6" s="13">
        <f>COUNTIFS('架電リスト'!$C$5:$C$14,$A6,'架電リスト'!$J$5:$J$14,"資料送付")</f>
        <v/>
      </c>
      <c r="H6" s="13">
        <f>COUNTIFS('架電リスト'!$C$5:$C$14,$A6,'架電リスト'!$J$5:$J$14,"アポ獲得")</f>
        <v/>
      </c>
      <c r="I6" s="13">
        <f>COUNTIFS('架電リスト'!$C$5:$C$14,$A6,'架電リスト'!$J$5:$J$14,"検討中")</f>
        <v/>
      </c>
      <c r="J6" s="13">
        <f>COUNTIFS('架電リスト'!$C$5:$C$14,$A6,'架電リスト'!$J$5:$J$14,"NG")</f>
        <v/>
      </c>
      <c r="K6" s="13">
        <f>COUNTIFS('架電リスト'!$C$5:$C$14,$A6,'架電リスト'!$J$5:$J$14,"番号不明")</f>
        <v/>
      </c>
    </row>
    <row r="7">
      <c r="A7" s="14" t="inlineStr">
        <is>
          <t>合計</t>
        </is>
      </c>
      <c r="B7" s="14">
        <f>SUM(B4:B6)</f>
        <v/>
      </c>
      <c r="C7" s="14">
        <f>SUM(C4:C6)</f>
        <v/>
      </c>
      <c r="D7" s="14">
        <f>SUM(D4:D6)</f>
        <v/>
      </c>
      <c r="E7" s="14">
        <f>SUM(E4:E6)</f>
        <v/>
      </c>
      <c r="F7" s="14">
        <f>SUM(F4:F6)</f>
        <v/>
      </c>
      <c r="G7" s="14">
        <f>SUM(G4:G6)</f>
        <v/>
      </c>
      <c r="H7" s="14">
        <f>SUM(H4:H6)</f>
        <v/>
      </c>
      <c r="I7" s="14">
        <f>SUM(I4:I6)</f>
        <v/>
      </c>
      <c r="J7" s="14">
        <f>SUM(J4:J6)</f>
        <v/>
      </c>
      <c r="K7" s="14">
        <f>SUM(K4:K6)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・出典：ご提供いただいた学校ネットの検索結果（私立高校・富山県、10校）の貼り付けデータ。並び順は都道府県ごとに元データの掲載順です。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2026-10-13T08:34:29Z</dcterms:created>
  <dcterms:modified xsi:type="dcterms:W3CDTF">2026-10-13T08:34:29Z</dcterms:modified>
</cp:coreProperties>
</file>