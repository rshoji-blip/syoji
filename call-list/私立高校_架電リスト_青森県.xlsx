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市区町村別集計" sheetId="2" state="visible" r:id="rId2"/>
    <sheet name="使い方・注意事項" sheetId="3" state="visible" r:id="rId3"/>
  </sheets>
  <definedNames>
    <definedName name="_xlnm._FilterDatabase" localSheetId="0" hidden="1">'架電リスト'!$A$4:$O$21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6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402.html" TargetMode="External" Id="rId1" /><Relationship Type="http://schemas.openxmlformats.org/officeDocument/2006/relationships/hyperlink" Target="https://www.gakkou.net/kou/view/index_300394.html" TargetMode="External" Id="rId2" /><Relationship Type="http://schemas.openxmlformats.org/officeDocument/2006/relationships/hyperlink" Target="https://www.gakkou.net/kou/view/index_300406.html" TargetMode="External" Id="rId3" /><Relationship Type="http://schemas.openxmlformats.org/officeDocument/2006/relationships/hyperlink" Target="https://www.gakkou.net/kou/view/index_300449.html" TargetMode="External" Id="rId4" /><Relationship Type="http://schemas.openxmlformats.org/officeDocument/2006/relationships/hyperlink" Target="https://www.gakkou.net/kou/view/index_300441.html" TargetMode="External" Id="rId5" /><Relationship Type="http://schemas.openxmlformats.org/officeDocument/2006/relationships/hyperlink" Target="https://www.gakkou.net/kou/view/index_300453.html" TargetMode="External" Id="rId6" /><Relationship Type="http://schemas.openxmlformats.org/officeDocument/2006/relationships/hyperlink" Target="https://www.gakkou.net/kou/view/index_300489.html" TargetMode="External" Id="rId7" /><Relationship Type="http://schemas.openxmlformats.org/officeDocument/2006/relationships/hyperlink" Target="https://www.gakkou.net/kou/view/index_300405.html" TargetMode="External" Id="rId8" /><Relationship Type="http://schemas.openxmlformats.org/officeDocument/2006/relationships/hyperlink" Target="https://www.gakkou.net/kou/view/index_300392.html" TargetMode="External" Id="rId9" /><Relationship Type="http://schemas.openxmlformats.org/officeDocument/2006/relationships/hyperlink" Target="https://www.gakkou.net/kou/view/index_300439.html" TargetMode="External" Id="rId10" /><Relationship Type="http://schemas.openxmlformats.org/officeDocument/2006/relationships/hyperlink" Target="https://www.gakkou.net/kou/view/index_300413.html" TargetMode="External" Id="rId11" /><Relationship Type="http://schemas.openxmlformats.org/officeDocument/2006/relationships/hyperlink" Target="https://www.gakkou.net/kou/view/index_306426.html" TargetMode="External" Id="rId12" /><Relationship Type="http://schemas.openxmlformats.org/officeDocument/2006/relationships/hyperlink" Target="https://www.gakkou.net/kou/view/index_300418.html" TargetMode="External" Id="rId13" /><Relationship Type="http://schemas.openxmlformats.org/officeDocument/2006/relationships/hyperlink" Target="https://www.gakkou.net/kou/view/index_300415.html" TargetMode="External" Id="rId14" /><Relationship Type="http://schemas.openxmlformats.org/officeDocument/2006/relationships/hyperlink" Target="https://www.gakkou.net/kou/view/index_300480.html" TargetMode="External" Id="rId15" /><Relationship Type="http://schemas.openxmlformats.org/officeDocument/2006/relationships/hyperlink" Target="https://www.gakkou.net/kou/view/index_300440.html" TargetMode="External" Id="rId16" /><Relationship Type="http://schemas.openxmlformats.org/officeDocument/2006/relationships/hyperlink" Target="https://www.gakkou.net/kou/view/index_300438.html" TargetMode="External" Id="rId17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架電リスト（青森県／17校）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青森県</t>
        </is>
      </c>
      <c r="C5" s="5" t="inlineStr">
        <is>
          <t>青森市</t>
        </is>
      </c>
      <c r="D5" s="5" t="inlineStr">
        <is>
          <t>青森明の星高等学校</t>
        </is>
      </c>
      <c r="E5" s="6" t="inlineStr">
        <is>
          <t>017-741-0121</t>
        </is>
      </c>
      <c r="F5" s="7" t="inlineStr">
        <is>
          <t>高</t>
        </is>
      </c>
      <c r="G5" s="5" t="inlineStr">
        <is>
          <t>普通科・専門学科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公式サイトで確認。中学校と共通。017-741-0123は短大の番号なので注意</t>
        </is>
      </c>
      <c r="N5" s="11" t="inlineStr">
        <is>
          <t>https://www.aomoriakenohoshi.ed.jp/ ; https://www.mapion.co.jp/phonebook/M11004/02201/ILSP0000041805_ipclm/</t>
        </is>
      </c>
      <c r="O5" s="12" t="inlineStr">
        <is>
          <t>開く</t>
        </is>
      </c>
    </row>
    <row r="6">
      <c r="A6" s="4" t="n">
        <v>2</v>
      </c>
      <c r="B6" s="5" t="inlineStr">
        <is>
          <t>青森県</t>
        </is>
      </c>
      <c r="C6" s="5" t="inlineStr">
        <is>
          <t>青森市</t>
        </is>
      </c>
      <c r="D6" s="5" t="inlineStr">
        <is>
          <t>青森山田高等学校</t>
        </is>
      </c>
      <c r="E6" s="6" t="inlineStr">
        <is>
          <t>017-739-2001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全日制の番号。青森県の一覧ほか複数で一致。通信制は別番号（017-728-5030・未検証）</t>
        </is>
      </c>
      <c r="N6" s="11" t="inlineStr">
        <is>
          <t>https://www.pref.aomori.lg.jp/soshiki/soumu/gakuji/files/R5_kou.pdf ; https://studychain.jp/koukoudb/school/82/</t>
        </is>
      </c>
      <c r="O6" s="12" t="inlineStr">
        <is>
          <t>開く</t>
        </is>
      </c>
    </row>
    <row r="7">
      <c r="A7" s="4" t="n">
        <v>3</v>
      </c>
      <c r="B7" s="5" t="inlineStr">
        <is>
          <t>青森県</t>
        </is>
      </c>
      <c r="C7" s="5" t="inlineStr">
        <is>
          <t>八戸市</t>
        </is>
      </c>
      <c r="D7" s="5" t="inlineStr">
        <is>
          <t>向陵高等学校</t>
        </is>
      </c>
      <c r="E7" s="6" t="inlineStr">
        <is>
          <t>0178-44-3866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JS日本の学校のみで確認。千葉学園と同じ系列</t>
        </is>
      </c>
      <c r="N7" s="11" t="inlineStr">
        <is>
          <t>https://school.js88.com/scl_h/22027860/</t>
        </is>
      </c>
      <c r="O7" s="12" t="inlineStr">
        <is>
          <t>開く</t>
        </is>
      </c>
    </row>
    <row r="8">
      <c r="A8" s="4" t="n">
        <v>4</v>
      </c>
      <c r="B8" s="5" t="inlineStr">
        <is>
          <t>青森県</t>
        </is>
      </c>
      <c r="C8" s="5" t="inlineStr">
        <is>
          <t>五所川原市</t>
        </is>
      </c>
      <c r="D8" s="5" t="inlineStr">
        <is>
          <t>五所川原第一高等学校</t>
        </is>
      </c>
      <c r="E8" s="6" t="inlineStr">
        <is>
          <t>0173-34-2347</t>
        </is>
      </c>
      <c r="F8" s="7" t="inlineStr">
        <is>
          <t>高</t>
        </is>
      </c>
      <c r="G8" s="5" t="inlineStr">
        <is>
          <t>普通科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全日制の番号。職員室直通は0173-34-3635、通信制課程は0173-26-6662</t>
        </is>
      </c>
      <c r="N8" s="11" t="inlineStr">
        <is>
          <t>https://www.mapion.co.jp/phonebook/M11004/02205/ILSP0000040727_ipclm/ ; https://www.pref.aomori.lg.jp/soshiki/soumu/gakuji/files/R4_kou.pdf</t>
        </is>
      </c>
      <c r="O8" s="12" t="inlineStr">
        <is>
          <t>開く</t>
        </is>
      </c>
    </row>
    <row r="9">
      <c r="A9" s="4" t="n">
        <v>5</v>
      </c>
      <c r="B9" s="5" t="inlineStr">
        <is>
          <t>青森県</t>
        </is>
      </c>
      <c r="C9" s="5" t="inlineStr">
        <is>
          <t>弘前市</t>
        </is>
      </c>
      <c r="D9" s="5" t="inlineStr">
        <is>
          <t>柴田学園大学附属柴田学園高等学校</t>
        </is>
      </c>
      <c r="E9" s="6" t="inlineStr">
        <is>
          <t>0172-32-0135</t>
        </is>
      </c>
      <c r="F9" s="7" t="inlineStr">
        <is>
          <t>高</t>
        </is>
      </c>
      <c r="G9" s="5" t="inlineStr">
        <is>
          <t>普通科・専門学科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公式サイトで確認。0172-32-6151は短大の番号なので注意</t>
        </is>
      </c>
      <c r="N9" s="11" t="inlineStr">
        <is>
          <t>https://hs.shibata.ac.jp/access/ ; https://school.js88.com/scl_h/22027720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青森県</t>
        </is>
      </c>
      <c r="C10" s="5" t="inlineStr">
        <is>
          <t>鶴田町</t>
        </is>
      </c>
      <c r="D10" s="5" t="inlineStr">
        <is>
          <t>下山学園高等学校</t>
        </is>
      </c>
      <c r="E10" s="6" t="inlineStr">
        <is>
          <t>0173-23-5541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2つの情報源で一致</t>
        </is>
      </c>
      <c r="N10" s="11" t="inlineStr">
        <is>
          <t>https://school.js88.com/scl_h/22027820?page=7 ; https://www.navitime.co.jp/category/0504/02384/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青森県</t>
        </is>
      </c>
      <c r="C11" s="5" t="inlineStr">
        <is>
          <t>平内町</t>
        </is>
      </c>
      <c r="D11" s="5" t="inlineStr">
        <is>
          <t>松風塾高等学校</t>
        </is>
      </c>
      <c r="E11" s="6" t="inlineStr">
        <is>
          <t>017-756-2817</t>
        </is>
      </c>
      <c r="F11" s="7" t="inlineStr">
        <is>
          <t>高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青森県の一覧（R6）と学校情報サイトで一致</t>
        </is>
      </c>
      <c r="N11" s="11" t="inlineStr">
        <is>
          <t>https://www.pref.aomori.lg.jp/soshiki/kodomo/kenmin/files/R6_kou.pdf ; https://school.js88.com/scl_h/22027830?page=7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青森県</t>
        </is>
      </c>
      <c r="C12" s="5" t="inlineStr">
        <is>
          <t>八戸市</t>
        </is>
      </c>
      <c r="D12" s="5" t="inlineStr">
        <is>
          <t>千葉学園高等学校</t>
        </is>
      </c>
      <c r="E12" s="6" t="inlineStr">
        <is>
          <t>0178-43-4321</t>
        </is>
      </c>
      <c r="F12" s="7" t="inlineStr">
        <is>
          <t>高</t>
        </is>
      </c>
      <c r="G12" s="5" t="inlineStr">
        <is>
          <t>専門学科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青森県の一覧・マピオン・学校情報サイトで一致</t>
        </is>
      </c>
      <c r="N12" s="11" t="inlineStr">
        <is>
          <t>https://www.pref.aomori.lg.jp/soshiki/kodomo/kenmin/files/R6_kou.pdf ; https://www.mapion.co.jp/phonebook/M11004/02203/ILSP0000041720_ipclm/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青森県</t>
        </is>
      </c>
      <c r="C13" s="5" t="inlineStr">
        <is>
          <t>青森市</t>
        </is>
      </c>
      <c r="D13" s="5" t="inlineStr">
        <is>
          <t>東奥学園高等学校</t>
        </is>
      </c>
      <c r="E13" s="6" t="inlineStr">
        <is>
          <t>017-775-2121</t>
        </is>
      </c>
      <c r="F13" s="7" t="inlineStr">
        <is>
          <t>高</t>
        </is>
      </c>
      <c r="G13" s="5" t="inlineStr">
        <is>
          <t>普通科・専門学科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公式サイトで確認。通信制課程も同じ番号</t>
        </is>
      </c>
      <c r="N13" s="11" t="inlineStr">
        <is>
          <t>https://www.toogakuen.ac.jp/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青森県</t>
        </is>
      </c>
      <c r="C14" s="5" t="inlineStr">
        <is>
          <t>弘前市</t>
        </is>
      </c>
      <c r="D14" s="5" t="inlineStr">
        <is>
          <t>東奥義塾高等学校</t>
        </is>
      </c>
      <c r="E14" s="6" t="inlineStr">
        <is>
          <t>0172-92-4111</t>
        </is>
      </c>
      <c r="F14" s="7" t="inlineStr">
        <is>
          <t>高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青森県の私立高校一覧と学校情報サイトで一致</t>
        </is>
      </c>
      <c r="N14" s="11" t="inlineStr">
        <is>
          <t>https://www.pref.aomori.lg.jp/soshiki/soumu/gakuji/files/R5_kou.pdf ; https://school.js88.com/scl_h/22027700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青森県</t>
        </is>
      </c>
      <c r="C15" s="5" t="inlineStr">
        <is>
          <t>八戸市</t>
        </is>
      </c>
      <c r="D15" s="5" t="inlineStr">
        <is>
          <t>八戸学院光星高等学校</t>
        </is>
      </c>
      <c r="E15" s="6" t="inlineStr">
        <is>
          <t>0178-33-4151</t>
        </is>
      </c>
      <c r="F15" s="7" t="inlineStr">
        <is>
          <t>高</t>
        </is>
      </c>
      <c r="G15" s="5" t="inlineStr">
        <is>
          <t>普通科・専門学科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公式サイトで確認。入試関係（総務部直通）は0178-35-2043</t>
        </is>
      </c>
      <c r="N15" s="11" t="inlineStr">
        <is>
          <t>https://kh.hachinohe-u.ac.jp/scinfo/summary/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青森県</t>
        </is>
      </c>
      <c r="C16" s="5" t="inlineStr">
        <is>
          <t>野辺地町</t>
        </is>
      </c>
      <c r="D16" s="5" t="inlineStr">
        <is>
          <t>八戸学院野辺地西高等学校</t>
        </is>
      </c>
      <c r="E16" s="6" t="inlineStr">
        <is>
          <t>0175-64-4166</t>
        </is>
      </c>
      <c r="F16" s="13" t="inlineStr">
        <is>
          <t>中</t>
        </is>
      </c>
      <c r="G16" s="5" t="inlineStr">
        <is>
          <t>総合学科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野辺地町の本校。JS日本の学校のみで確認</t>
        </is>
      </c>
      <c r="N16" s="11" t="inlineStr">
        <is>
          <t>https://school.js88.com/scl_h/22027840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青森県</t>
        </is>
      </c>
      <c r="C17" s="5" t="inlineStr">
        <is>
          <t>八戸市</t>
        </is>
      </c>
      <c r="D17" s="5" t="inlineStr">
        <is>
          <t>八戸工業大学第一高等学校</t>
        </is>
      </c>
      <c r="E17" s="6" t="inlineStr">
        <is>
          <t>0178-33-5121</t>
        </is>
      </c>
      <c r="F17" s="7" t="inlineStr">
        <is>
          <t>高</t>
        </is>
      </c>
      <c r="G17" s="5" t="inlineStr">
        <is>
          <t>普通科・専門学科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代表番号。2つの情報源で一致</t>
        </is>
      </c>
      <c r="N17" s="11" t="inlineStr">
        <is>
          <t>https://school.js88.com/scl_h/22027800 ; https://map.yahoo.co.jp/v3/place/dGZMNK1nstI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青森県</t>
        </is>
      </c>
      <c r="C18" s="5" t="inlineStr">
        <is>
          <t>八戸市</t>
        </is>
      </c>
      <c r="D18" s="5" t="inlineStr">
        <is>
          <t>八戸工業大学第二高等学校</t>
        </is>
      </c>
      <c r="E18" s="6" t="inlineStr">
        <is>
          <t>0178-25-4311</t>
        </is>
      </c>
      <c r="F18" s="7" t="inlineStr">
        <is>
          <t>高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公式サイトで確認。附属中学校と共通</t>
        </is>
      </c>
      <c r="N18" s="11" t="inlineStr">
        <is>
          <t>https://www.kodai2-h.ed.jp/access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青森県</t>
        </is>
      </c>
      <c r="C19" s="5" t="inlineStr">
        <is>
          <t>八戸市</t>
        </is>
      </c>
      <c r="D19" s="5" t="inlineStr">
        <is>
          <t>八戸聖ウルスラ学院高等学校</t>
        </is>
      </c>
      <c r="E19" s="6" t="inlineStr">
        <is>
          <t>0178-27-2245</t>
        </is>
      </c>
      <c r="F19" s="7" t="inlineStr">
        <is>
          <t>高</t>
        </is>
      </c>
      <c r="G19" s="5" t="inlineStr">
        <is>
          <t>普通科・専門学科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中高共通の番号</t>
        </is>
      </c>
      <c r="N19" s="11" t="inlineStr">
        <is>
          <t>https://unesco-sdgs.mext.go.jp/stakeholders/hachinohe-st-ursula-junior-and-senior-high-school ; https://studychain.jp/koukoudb/school/4086/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青森県</t>
        </is>
      </c>
      <c r="C20" s="5" t="inlineStr">
        <is>
          <t>弘前市</t>
        </is>
      </c>
      <c r="D20" s="5" t="inlineStr">
        <is>
          <t>弘前学院聖愛高等学校</t>
        </is>
      </c>
      <c r="E20" s="6" t="inlineStr">
        <is>
          <t>0172-87-1411</t>
        </is>
      </c>
      <c r="F20" s="7" t="inlineStr">
        <is>
          <t>高</t>
        </is>
      </c>
      <c r="G20" s="5" t="inlineStr">
        <is>
          <t>普通科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青森県の私立高校一覧（R4・R6版）で確認</t>
        </is>
      </c>
      <c r="N20" s="11" t="inlineStr">
        <is>
          <t>https://www.pref.aomori.lg.jp/soshiki/kodomo/kenmin/files/R6_kou.pdf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青森県</t>
        </is>
      </c>
      <c r="C21" s="5" t="inlineStr">
        <is>
          <t>弘前市</t>
        </is>
      </c>
      <c r="D21" s="5" t="inlineStr">
        <is>
          <t>弘前東高等学校</t>
        </is>
      </c>
      <c r="E21" s="6" t="inlineStr">
        <is>
          <t>0172-27-6487</t>
        </is>
      </c>
      <c r="F21" s="7" t="inlineStr">
        <is>
          <t>高</t>
        </is>
      </c>
      <c r="G21" s="5" t="inlineStr">
        <is>
          <t>普通科・専門学科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公式サイトと青森県の一覧で一致</t>
        </is>
      </c>
      <c r="N21" s="11" t="inlineStr">
        <is>
          <t>https://hirosakihigashi-th.ed.jp/ ; https://www.pref.aomori.lg.jp/soshiki/soumu/gakuji/files/R5_kou.pdf</t>
        </is>
      </c>
      <c r="O21" s="12" t="inlineStr">
        <is>
          <t>開く</t>
        </is>
      </c>
    </row>
  </sheetData>
  <autoFilter ref="A4:O21"/>
  <conditionalFormatting sqref="A5:O21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21" showDropDown="0" showInputMessage="0" showErrorMessage="0" allowBlank="1" type="list">
      <formula1>"未架電,不在・折返し待ち,担当者不在,資料送付,アポ獲得,検討中,NG,番号不明"</formula1>
    </dataValidation>
    <dataValidation sqref="H5:H21 K5:K21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市区町村別 進捗集計（架電リストの入力に連動して自動計算）</t>
        </is>
      </c>
    </row>
    <row r="3" ht="30" customHeight="1">
      <c r="A3" s="3" t="inlineStr">
        <is>
          <t>所在地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4" t="inlineStr">
        <is>
          <t>八戸市</t>
        </is>
      </c>
      <c r="B4" s="14">
        <f>COUNTIF('架電リスト'!$C$5:$C$21,A4)</f>
        <v/>
      </c>
      <c r="C4" s="14">
        <f>COUNTIFS('架電リスト'!$C$5:$C$21,A4,'架電リスト'!$E$5:$E$21,"&lt;&gt;")</f>
        <v/>
      </c>
      <c r="D4" s="14">
        <f>B4-COUNTIFS('架電リスト'!$C$5:$C$21,A4,'架電リスト'!$J$5:$J$21,"未架電")-COUNTIFS('架電リスト'!$C$5:$C$21,A4,'架電リスト'!$J$5:$J$21,"")</f>
        <v/>
      </c>
      <c r="E4" s="14">
        <f>COUNTIFS('架電リスト'!$C$5:$C$21,$A4,'架電リスト'!$J$5:$J$21,"不在・折返し待ち")</f>
        <v/>
      </c>
      <c r="F4" s="14">
        <f>COUNTIFS('架電リスト'!$C$5:$C$21,$A4,'架電リスト'!$J$5:$J$21,"担当者不在")</f>
        <v/>
      </c>
      <c r="G4" s="14">
        <f>COUNTIFS('架電リスト'!$C$5:$C$21,$A4,'架電リスト'!$J$5:$J$21,"資料送付")</f>
        <v/>
      </c>
      <c r="H4" s="14">
        <f>COUNTIFS('架電リスト'!$C$5:$C$21,$A4,'架電リスト'!$J$5:$J$21,"アポ獲得")</f>
        <v/>
      </c>
      <c r="I4" s="14">
        <f>COUNTIFS('架電リスト'!$C$5:$C$21,$A4,'架電リスト'!$J$5:$J$21,"検討中")</f>
        <v/>
      </c>
      <c r="J4" s="14">
        <f>COUNTIFS('架電リスト'!$C$5:$C$21,$A4,'架電リスト'!$J$5:$J$21,"NG")</f>
        <v/>
      </c>
      <c r="K4" s="14">
        <f>COUNTIFS('架電リスト'!$C$5:$C$21,$A4,'架電リスト'!$J$5:$J$21,"番号不明")</f>
        <v/>
      </c>
    </row>
    <row r="5">
      <c r="A5" s="14" t="inlineStr">
        <is>
          <t>弘前市</t>
        </is>
      </c>
      <c r="B5" s="14">
        <f>COUNTIF('架電リスト'!$C$5:$C$21,A5)</f>
        <v/>
      </c>
      <c r="C5" s="14">
        <f>COUNTIFS('架電リスト'!$C$5:$C$21,A5,'架電リスト'!$E$5:$E$21,"&lt;&gt;")</f>
        <v/>
      </c>
      <c r="D5" s="14">
        <f>B5-COUNTIFS('架電リスト'!$C$5:$C$21,A5,'架電リスト'!$J$5:$J$21,"未架電")-COUNTIFS('架電リスト'!$C$5:$C$21,A5,'架電リスト'!$J$5:$J$21,"")</f>
        <v/>
      </c>
      <c r="E5" s="14">
        <f>COUNTIFS('架電リスト'!$C$5:$C$21,$A5,'架電リスト'!$J$5:$J$21,"不在・折返し待ち")</f>
        <v/>
      </c>
      <c r="F5" s="14">
        <f>COUNTIFS('架電リスト'!$C$5:$C$21,$A5,'架電リスト'!$J$5:$J$21,"担当者不在")</f>
        <v/>
      </c>
      <c r="G5" s="14">
        <f>COUNTIFS('架電リスト'!$C$5:$C$21,$A5,'架電リスト'!$J$5:$J$21,"資料送付")</f>
        <v/>
      </c>
      <c r="H5" s="14">
        <f>COUNTIFS('架電リスト'!$C$5:$C$21,$A5,'架電リスト'!$J$5:$J$21,"アポ獲得")</f>
        <v/>
      </c>
      <c r="I5" s="14">
        <f>COUNTIFS('架電リスト'!$C$5:$C$21,$A5,'架電リスト'!$J$5:$J$21,"検討中")</f>
        <v/>
      </c>
      <c r="J5" s="14">
        <f>COUNTIFS('架電リスト'!$C$5:$C$21,$A5,'架電リスト'!$J$5:$J$21,"NG")</f>
        <v/>
      </c>
      <c r="K5" s="14">
        <f>COUNTIFS('架電リスト'!$C$5:$C$21,$A5,'架電リスト'!$J$5:$J$21,"番号不明")</f>
        <v/>
      </c>
    </row>
    <row r="6">
      <c r="A6" s="14" t="inlineStr">
        <is>
          <t>青森市</t>
        </is>
      </c>
      <c r="B6" s="14">
        <f>COUNTIF('架電リスト'!$C$5:$C$21,A6)</f>
        <v/>
      </c>
      <c r="C6" s="14">
        <f>COUNTIFS('架電リスト'!$C$5:$C$21,A6,'架電リスト'!$E$5:$E$21,"&lt;&gt;")</f>
        <v/>
      </c>
      <c r="D6" s="14">
        <f>B6-COUNTIFS('架電リスト'!$C$5:$C$21,A6,'架電リスト'!$J$5:$J$21,"未架電")-COUNTIFS('架電リスト'!$C$5:$C$21,A6,'架電リスト'!$J$5:$J$21,"")</f>
        <v/>
      </c>
      <c r="E6" s="14">
        <f>COUNTIFS('架電リスト'!$C$5:$C$21,$A6,'架電リスト'!$J$5:$J$21,"不在・折返し待ち")</f>
        <v/>
      </c>
      <c r="F6" s="14">
        <f>COUNTIFS('架電リスト'!$C$5:$C$21,$A6,'架電リスト'!$J$5:$J$21,"担当者不在")</f>
        <v/>
      </c>
      <c r="G6" s="14">
        <f>COUNTIFS('架電リスト'!$C$5:$C$21,$A6,'架電リスト'!$J$5:$J$21,"資料送付")</f>
        <v/>
      </c>
      <c r="H6" s="14">
        <f>COUNTIFS('架電リスト'!$C$5:$C$21,$A6,'架電リスト'!$J$5:$J$21,"アポ獲得")</f>
        <v/>
      </c>
      <c r="I6" s="14">
        <f>COUNTIFS('架電リスト'!$C$5:$C$21,$A6,'架電リスト'!$J$5:$J$21,"検討中")</f>
        <v/>
      </c>
      <c r="J6" s="14">
        <f>COUNTIFS('架電リスト'!$C$5:$C$21,$A6,'架電リスト'!$J$5:$J$21,"NG")</f>
        <v/>
      </c>
      <c r="K6" s="14">
        <f>COUNTIFS('架電リスト'!$C$5:$C$21,$A6,'架電リスト'!$J$5:$J$21,"番号不明")</f>
        <v/>
      </c>
    </row>
    <row r="7">
      <c r="A7" s="14" t="inlineStr">
        <is>
          <t>五所川原市</t>
        </is>
      </c>
      <c r="B7" s="14">
        <f>COUNTIF('架電リスト'!$C$5:$C$21,A7)</f>
        <v/>
      </c>
      <c r="C7" s="14">
        <f>COUNTIFS('架電リスト'!$C$5:$C$21,A7,'架電リスト'!$E$5:$E$21,"&lt;&gt;")</f>
        <v/>
      </c>
      <c r="D7" s="14">
        <f>B7-COUNTIFS('架電リスト'!$C$5:$C$21,A7,'架電リスト'!$J$5:$J$21,"未架電")-COUNTIFS('架電リスト'!$C$5:$C$21,A7,'架電リスト'!$J$5:$J$21,"")</f>
        <v/>
      </c>
      <c r="E7" s="14">
        <f>COUNTIFS('架電リスト'!$C$5:$C$21,$A7,'架電リスト'!$J$5:$J$21,"不在・折返し待ち")</f>
        <v/>
      </c>
      <c r="F7" s="14">
        <f>COUNTIFS('架電リスト'!$C$5:$C$21,$A7,'架電リスト'!$J$5:$J$21,"担当者不在")</f>
        <v/>
      </c>
      <c r="G7" s="14">
        <f>COUNTIFS('架電リスト'!$C$5:$C$21,$A7,'架電リスト'!$J$5:$J$21,"資料送付")</f>
        <v/>
      </c>
      <c r="H7" s="14">
        <f>COUNTIFS('架電リスト'!$C$5:$C$21,$A7,'架電リスト'!$J$5:$J$21,"アポ獲得")</f>
        <v/>
      </c>
      <c r="I7" s="14">
        <f>COUNTIFS('架電リスト'!$C$5:$C$21,$A7,'架電リスト'!$J$5:$J$21,"検討中")</f>
        <v/>
      </c>
      <c r="J7" s="14">
        <f>COUNTIFS('架電リスト'!$C$5:$C$21,$A7,'架電リスト'!$J$5:$J$21,"NG")</f>
        <v/>
      </c>
      <c r="K7" s="14">
        <f>COUNTIFS('架電リスト'!$C$5:$C$21,$A7,'架電リスト'!$J$5:$J$21,"番号不明")</f>
        <v/>
      </c>
    </row>
    <row r="8">
      <c r="A8" s="14" t="inlineStr">
        <is>
          <t>鶴田町</t>
        </is>
      </c>
      <c r="B8" s="14">
        <f>COUNTIF('架電リスト'!$C$5:$C$21,A8)</f>
        <v/>
      </c>
      <c r="C8" s="14">
        <f>COUNTIFS('架電リスト'!$C$5:$C$21,A8,'架電リスト'!$E$5:$E$21,"&lt;&gt;")</f>
        <v/>
      </c>
      <c r="D8" s="14">
        <f>B8-COUNTIFS('架電リスト'!$C$5:$C$21,A8,'架電リスト'!$J$5:$J$21,"未架電")-COUNTIFS('架電リスト'!$C$5:$C$21,A8,'架電リスト'!$J$5:$J$21,"")</f>
        <v/>
      </c>
      <c r="E8" s="14">
        <f>COUNTIFS('架電リスト'!$C$5:$C$21,$A8,'架電リスト'!$J$5:$J$21,"不在・折返し待ち")</f>
        <v/>
      </c>
      <c r="F8" s="14">
        <f>COUNTIFS('架電リスト'!$C$5:$C$21,$A8,'架電リスト'!$J$5:$J$21,"担当者不在")</f>
        <v/>
      </c>
      <c r="G8" s="14">
        <f>COUNTIFS('架電リスト'!$C$5:$C$21,$A8,'架電リスト'!$J$5:$J$21,"資料送付")</f>
        <v/>
      </c>
      <c r="H8" s="14">
        <f>COUNTIFS('架電リスト'!$C$5:$C$21,$A8,'架電リスト'!$J$5:$J$21,"アポ獲得")</f>
        <v/>
      </c>
      <c r="I8" s="14">
        <f>COUNTIFS('架電リスト'!$C$5:$C$21,$A8,'架電リスト'!$J$5:$J$21,"検討中")</f>
        <v/>
      </c>
      <c r="J8" s="14">
        <f>COUNTIFS('架電リスト'!$C$5:$C$21,$A8,'架電リスト'!$J$5:$J$21,"NG")</f>
        <v/>
      </c>
      <c r="K8" s="14">
        <f>COUNTIFS('架電リスト'!$C$5:$C$21,$A8,'架電リスト'!$J$5:$J$21,"番号不明")</f>
        <v/>
      </c>
    </row>
    <row r="9">
      <c r="A9" s="14" t="inlineStr">
        <is>
          <t>平内町</t>
        </is>
      </c>
      <c r="B9" s="14">
        <f>COUNTIF('架電リスト'!$C$5:$C$21,A9)</f>
        <v/>
      </c>
      <c r="C9" s="14">
        <f>COUNTIFS('架電リスト'!$C$5:$C$21,A9,'架電リスト'!$E$5:$E$21,"&lt;&gt;")</f>
        <v/>
      </c>
      <c r="D9" s="14">
        <f>B9-COUNTIFS('架電リスト'!$C$5:$C$21,A9,'架電リスト'!$J$5:$J$21,"未架電")-COUNTIFS('架電リスト'!$C$5:$C$21,A9,'架電リスト'!$J$5:$J$21,"")</f>
        <v/>
      </c>
      <c r="E9" s="14">
        <f>COUNTIFS('架電リスト'!$C$5:$C$21,$A9,'架電リスト'!$J$5:$J$21,"不在・折返し待ち")</f>
        <v/>
      </c>
      <c r="F9" s="14">
        <f>COUNTIFS('架電リスト'!$C$5:$C$21,$A9,'架電リスト'!$J$5:$J$21,"担当者不在")</f>
        <v/>
      </c>
      <c r="G9" s="14">
        <f>COUNTIFS('架電リスト'!$C$5:$C$21,$A9,'架電リスト'!$J$5:$J$21,"資料送付")</f>
        <v/>
      </c>
      <c r="H9" s="14">
        <f>COUNTIFS('架電リスト'!$C$5:$C$21,$A9,'架電リスト'!$J$5:$J$21,"アポ獲得")</f>
        <v/>
      </c>
      <c r="I9" s="14">
        <f>COUNTIFS('架電リスト'!$C$5:$C$21,$A9,'架電リスト'!$J$5:$J$21,"検討中")</f>
        <v/>
      </c>
      <c r="J9" s="14">
        <f>COUNTIFS('架電リスト'!$C$5:$C$21,$A9,'架電リスト'!$J$5:$J$21,"NG")</f>
        <v/>
      </c>
      <c r="K9" s="14">
        <f>COUNTIFS('架電リスト'!$C$5:$C$21,$A9,'架電リスト'!$J$5:$J$21,"番号不明")</f>
        <v/>
      </c>
    </row>
    <row r="10">
      <c r="A10" s="14" t="inlineStr">
        <is>
          <t>野辺地町</t>
        </is>
      </c>
      <c r="B10" s="14">
        <f>COUNTIF('架電リスト'!$C$5:$C$21,A10)</f>
        <v/>
      </c>
      <c r="C10" s="14">
        <f>COUNTIFS('架電リスト'!$C$5:$C$21,A10,'架電リスト'!$E$5:$E$21,"&lt;&gt;")</f>
        <v/>
      </c>
      <c r="D10" s="14">
        <f>B10-COUNTIFS('架電リスト'!$C$5:$C$21,A10,'架電リスト'!$J$5:$J$21,"未架電")-COUNTIFS('架電リスト'!$C$5:$C$21,A10,'架電リスト'!$J$5:$J$21,"")</f>
        <v/>
      </c>
      <c r="E10" s="14">
        <f>COUNTIFS('架電リスト'!$C$5:$C$21,$A10,'架電リスト'!$J$5:$J$21,"不在・折返し待ち")</f>
        <v/>
      </c>
      <c r="F10" s="14">
        <f>COUNTIFS('架電リスト'!$C$5:$C$21,$A10,'架電リスト'!$J$5:$J$21,"担当者不在")</f>
        <v/>
      </c>
      <c r="G10" s="14">
        <f>COUNTIFS('架電リスト'!$C$5:$C$21,$A10,'架電リスト'!$J$5:$J$21,"資料送付")</f>
        <v/>
      </c>
      <c r="H10" s="14">
        <f>COUNTIFS('架電リスト'!$C$5:$C$21,$A10,'架電リスト'!$J$5:$J$21,"アポ獲得")</f>
        <v/>
      </c>
      <c r="I10" s="14">
        <f>COUNTIFS('架電リスト'!$C$5:$C$21,$A10,'架電リスト'!$J$5:$J$21,"検討中")</f>
        <v/>
      </c>
      <c r="J10" s="14">
        <f>COUNTIFS('架電リスト'!$C$5:$C$21,$A10,'架電リスト'!$J$5:$J$21,"NG")</f>
        <v/>
      </c>
      <c r="K10" s="14">
        <f>COUNTIFS('架電リスト'!$C$5:$C$21,$A10,'架電リスト'!$J$5:$J$21,"番号不明")</f>
        <v/>
      </c>
    </row>
    <row r="11">
      <c r="A11" s="15" t="inlineStr">
        <is>
          <t>合計</t>
        </is>
      </c>
      <c r="B11" s="15">
        <f>SUM(B4:B10)</f>
        <v/>
      </c>
      <c r="C11" s="15">
        <f>SUM(C4:C10)</f>
        <v/>
      </c>
      <c r="D11" s="15">
        <f>SUM(D4:D10)</f>
        <v/>
      </c>
      <c r="E11" s="15">
        <f>SUM(E4:E10)</f>
        <v/>
      </c>
      <c r="F11" s="15">
        <f>SUM(F4:F10)</f>
        <v/>
      </c>
      <c r="G11" s="15">
        <f>SUM(G4:G10)</f>
        <v/>
      </c>
      <c r="H11" s="15">
        <f>SUM(H4:H10)</f>
        <v/>
      </c>
      <c r="I11" s="15">
        <f>SUM(I4:I10)</f>
        <v/>
      </c>
      <c r="J11" s="15">
        <f>SUM(J4:J10)</f>
        <v/>
      </c>
      <c r="K11" s="15">
        <f>SUM(K4:K10)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6" t="inlineStr">
        <is>
          <t>■ 使い方</t>
        </is>
      </c>
    </row>
    <row r="2">
      <c r="A2" s="17" t="inlineStr">
        <is>
          <t>・「架電リスト」の黄色の列（電話番号・架電日・担当者・架電結果・次回連絡日・メモ）に入力してください。</t>
        </is>
      </c>
    </row>
    <row r="3">
      <c r="A3" s="17" t="inlineStr">
        <is>
          <t>・架電結果はプルダウンから選択します（アポ獲得＝緑、NG＝グレーで行が自動着色）。</t>
        </is>
      </c>
    </row>
    <row r="4">
      <c r="A4" s="17" t="inlineStr">
        <is>
          <t>・「学校情報ページ」の「開く」をクリックすると、学校ネットの各校ページが開きます。</t>
        </is>
      </c>
    </row>
    <row r="5">
      <c r="A5" s="17" t="inlineStr">
        <is>
          <t>・「番号の確度」：高＝公式サイト、または2つ以上の情報源で一致／中＝情報サイト1件のみで確認／低・要調査＝特定できず。</t>
        </is>
      </c>
    </row>
    <row r="6">
      <c r="A6" s="17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7" t="inlineStr">
        <is>
          <t>・市区町村で絞り込む場合は、見出し行「所在地（市区町村）」の▼（フィルター）を使用してください。</t>
        </is>
      </c>
    </row>
    <row r="8">
      <c r="A8" s="17" t="inlineStr">
        <is>
          <t>・「市区町村別集計」は入力内容に連動して自動で集計されます（学校数の多い順）。</t>
        </is>
      </c>
    </row>
    <row r="9">
      <c r="A9" s="17" t="inlineStr"/>
    </row>
    <row r="10">
      <c r="A10" s="16" t="inlineStr">
        <is>
          <t>■ 元データについての注意</t>
        </is>
      </c>
    </row>
    <row r="11">
      <c r="A11" s="17" t="inlineStr">
        <is>
          <t>・出典：ご提供いただいた学校ネットの検索結果（私立高校・青森県、17校）の貼り付けデータ。並び順は元データの掲載順です。</t>
        </is>
      </c>
    </row>
    <row r="12">
      <c r="A12" s="17" t="inlineStr">
        <is>
          <t>・電話番号は元データに記載がないため、2026年10月にWeb検索（学校公式サイト、JS日本の学校、みんなの高校情報、自治体・ハローワーク・道私学協会の資料など）で調査しました。推測による補完はしていません。</t>
        </is>
      </c>
    </row>
    <row r="13">
      <c r="A13" s="17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7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2026-10-09T00:58:00Z</dcterms:created>
  <dcterms:modified xsi:type="dcterms:W3CDTF">2026-10-09T00:58:00Z</dcterms:modified>
</cp:coreProperties>
</file>