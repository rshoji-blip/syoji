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'架電リスト'!$A$4:$O$28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924.html" TargetMode="External" Id="rId1" /><Relationship Type="http://schemas.openxmlformats.org/officeDocument/2006/relationships/hyperlink" Target="https://www.gakkou.net/kou/view/index_305906.html" TargetMode="External" Id="rId2" /><Relationship Type="http://schemas.openxmlformats.org/officeDocument/2006/relationships/hyperlink" Target="https://www.gakkou.net/kou/view/index_305885.html" TargetMode="External" Id="rId3" /><Relationship Type="http://schemas.openxmlformats.org/officeDocument/2006/relationships/hyperlink" Target="https://www.gakkou.net/kou/view/index_305905.html" TargetMode="External" Id="rId4" /><Relationship Type="http://schemas.openxmlformats.org/officeDocument/2006/relationships/hyperlink" Target="https://www.gakkou.net/kou/view/index_305908.html" TargetMode="External" Id="rId5" /><Relationship Type="http://schemas.openxmlformats.org/officeDocument/2006/relationships/hyperlink" Target="https://www.gakkou.net/kou/view/index_305901.html" TargetMode="External" Id="rId6" /><Relationship Type="http://schemas.openxmlformats.org/officeDocument/2006/relationships/hyperlink" Target="https://www.gakkou.net/kou/view/index_305873.html" TargetMode="External" Id="rId7" /><Relationship Type="http://schemas.openxmlformats.org/officeDocument/2006/relationships/hyperlink" Target="https://www.gakkou.net/kou/view/index_306546.html" TargetMode="External" Id="rId8" /><Relationship Type="http://schemas.openxmlformats.org/officeDocument/2006/relationships/hyperlink" Target="https://www.gakkou.net/kou/view/index_305871.html" TargetMode="External" Id="rId9" /><Relationship Type="http://schemas.openxmlformats.org/officeDocument/2006/relationships/hyperlink" Target="https://www.gakkou.net/kou/view/index_305897.html" TargetMode="External" Id="rId10" /><Relationship Type="http://schemas.openxmlformats.org/officeDocument/2006/relationships/hyperlink" Target="https://www.gakkou.net/kou/view/index_305907.html" TargetMode="External" Id="rId11" /><Relationship Type="http://schemas.openxmlformats.org/officeDocument/2006/relationships/hyperlink" Target="https://www.gakkou.net/kou/view/index_305936.html" TargetMode="External" Id="rId12" /><Relationship Type="http://schemas.openxmlformats.org/officeDocument/2006/relationships/hyperlink" Target="https://www.gakkou.net/kou/view/index_305913.html" TargetMode="External" Id="rId13" /><Relationship Type="http://schemas.openxmlformats.org/officeDocument/2006/relationships/hyperlink" Target="https://www.gakkou.net/kou/view/index_305912.html" TargetMode="External" Id="rId14" /><Relationship Type="http://schemas.openxmlformats.org/officeDocument/2006/relationships/hyperlink" Target="https://www.gakkou.net/kou/view/index_305881.html" TargetMode="External" Id="rId15" /><Relationship Type="http://schemas.openxmlformats.org/officeDocument/2006/relationships/hyperlink" Target="https://www.gakkou.net/kou/view/index_305949.html" TargetMode="External" Id="rId16" /><Relationship Type="http://schemas.openxmlformats.org/officeDocument/2006/relationships/hyperlink" Target="https://www.gakkou.net/kou/view/index_305926.html" TargetMode="External" Id="rId17" /><Relationship Type="http://schemas.openxmlformats.org/officeDocument/2006/relationships/hyperlink" Target="https://www.gakkou.net/kou/view/index_305911.html" TargetMode="External" Id="rId18" /><Relationship Type="http://schemas.openxmlformats.org/officeDocument/2006/relationships/hyperlink" Target="https://www.gakkou.net/kou/view/index_305910.html" TargetMode="External" Id="rId19" /><Relationship Type="http://schemas.openxmlformats.org/officeDocument/2006/relationships/hyperlink" Target="https://www.gakkou.net/kou/view/index_306657.html" TargetMode="External" Id="rId20" /><Relationship Type="http://schemas.openxmlformats.org/officeDocument/2006/relationships/hyperlink" Target="https://www.gakkou.net/kou/view/index_305872.html" TargetMode="External" Id="rId21" /><Relationship Type="http://schemas.openxmlformats.org/officeDocument/2006/relationships/hyperlink" Target="https://www.gakkou.net/kou/view/index_305933.html" TargetMode="External" Id="rId22" /><Relationship Type="http://schemas.openxmlformats.org/officeDocument/2006/relationships/hyperlink" Target="https://www.gakkou.net/kou/view/index_306494.html" TargetMode="External" Id="rId23" /><Relationship Type="http://schemas.openxmlformats.org/officeDocument/2006/relationships/hyperlink" Target="https://www.gakkou.net/kou/view/index_305875.html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架電リスト（熊本県／24校）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熊本県</t>
        </is>
      </c>
      <c r="C5" s="5" t="inlineStr">
        <is>
          <t>荒尾市</t>
        </is>
      </c>
      <c r="D5" s="5" t="inlineStr">
        <is>
          <t>有明高等学校</t>
        </is>
      </c>
      <c r="E5" s="6" t="inlineStr">
        <is>
          <t>0968-63-0545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職員室0968-63-0958、衛生看護専攻科0968-63-0546</t>
        </is>
      </c>
      <c r="N5" s="11" t="inlineStr">
        <is>
          <t>https://ariake-hs.ed.jp/contact/</t>
        </is>
      </c>
      <c r="O5" s="12" t="inlineStr">
        <is>
          <t>開く</t>
        </is>
      </c>
    </row>
    <row r="6">
      <c r="A6" s="4" t="n">
        <v>2</v>
      </c>
      <c r="B6" s="5" t="inlineStr">
        <is>
          <t>熊本県</t>
        </is>
      </c>
      <c r="C6" s="5" t="inlineStr">
        <is>
          <t>熊本市中央区</t>
        </is>
      </c>
      <c r="D6" s="5" t="inlineStr">
        <is>
          <t>開新高等学校</t>
        </is>
      </c>
      <c r="E6" s="6" t="inlineStr">
        <is>
          <t>096-366-1201</t>
        </is>
      </c>
      <c r="F6" s="7" t="inlineStr">
        <is>
          <t>高</t>
        </is>
      </c>
      <c r="G6" s="5" t="inlineStr">
        <is>
          <t>普通科・専門学科・総合学科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n"/>
      <c r="N6" s="11" t="inlineStr">
        <is>
          <t>https://www.kaishin.ed.jp/</t>
        </is>
      </c>
      <c r="O6" s="12" t="inlineStr">
        <is>
          <t>開く</t>
        </is>
      </c>
    </row>
    <row r="7">
      <c r="A7" s="4" t="n">
        <v>3</v>
      </c>
      <c r="B7" s="5" t="inlineStr">
        <is>
          <t>熊本県</t>
        </is>
      </c>
      <c r="C7" s="5" t="inlineStr">
        <is>
          <t>菊池市</t>
        </is>
      </c>
      <c r="D7" s="5" t="inlineStr">
        <is>
          <t>菊池女子高等学校</t>
        </is>
      </c>
      <c r="E7" s="6" t="inlineStr">
        <is>
          <t>0968-25-3032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2026年9月に「菊女北辰高等学校」へ校名変更（男子も受入れ）</t>
        </is>
      </c>
      <c r="N7" s="11" t="inlineStr">
        <is>
          <t>https://www.kikuchijoshi.ac.jp/</t>
        </is>
      </c>
      <c r="O7" s="12" t="inlineStr">
        <is>
          <t>開く</t>
        </is>
      </c>
    </row>
    <row r="8">
      <c r="A8" s="4" t="n">
        <v>4</v>
      </c>
      <c r="B8" s="5" t="inlineStr">
        <is>
          <t>熊本県</t>
        </is>
      </c>
      <c r="C8" s="5" t="inlineStr">
        <is>
          <t>熊本市中央区</t>
        </is>
      </c>
      <c r="D8" s="5" t="inlineStr">
        <is>
          <t>九州学院高等学校</t>
        </is>
      </c>
      <c r="E8" s="6" t="inlineStr">
        <is>
          <t>096-364-6134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n"/>
      <c r="N8" s="11" t="inlineStr">
        <is>
          <t>https://kyugaku.ed.jp/hs/guide/</t>
        </is>
      </c>
      <c r="O8" s="12" t="inlineStr">
        <is>
          <t>開く</t>
        </is>
      </c>
    </row>
    <row r="9">
      <c r="A9" s="4" t="n">
        <v>5</v>
      </c>
      <c r="B9" s="5" t="inlineStr">
        <is>
          <t>熊本県</t>
        </is>
      </c>
      <c r="C9" s="5" t="inlineStr">
        <is>
          <t>熊本市中央区</t>
        </is>
      </c>
      <c r="D9" s="5" t="inlineStr">
        <is>
          <t>熊本学園大学付属高等学校</t>
        </is>
      </c>
      <c r="E9" s="6" t="inlineStr">
        <is>
          <t>096-371-2551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付属中学校は096-364-2316</t>
        </is>
      </c>
      <c r="N9" s="11" t="inlineStr">
        <is>
          <t>https://www.kumagaku-h.ed.jp/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熊本県</t>
        </is>
      </c>
      <c r="C10" s="5" t="inlineStr">
        <is>
          <t>熊本市中央区</t>
        </is>
      </c>
      <c r="D10" s="5" t="inlineStr">
        <is>
          <t>熊本国府高等学校</t>
        </is>
      </c>
      <c r="E10" s="6" t="inlineStr">
        <is>
          <t>096-366-1276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n"/>
      <c r="N10" s="11" t="inlineStr">
        <is>
          <t>http://www.kumamotokokufu-h.ed.jp/access.html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熊本県</t>
        </is>
      </c>
      <c r="C11" s="5" t="inlineStr">
        <is>
          <t>熊本市中央区</t>
        </is>
      </c>
      <c r="D11" s="5" t="inlineStr">
        <is>
          <t>熊本信愛女学院高等学校</t>
        </is>
      </c>
      <c r="E11" s="6" t="inlineStr">
        <is>
          <t>096-354-5355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n"/>
      <c r="N11" s="11" t="inlineStr">
        <is>
          <t>https://www.kumamoto-shin-ai.ed.jp/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熊本県</t>
        </is>
      </c>
      <c r="C12" s="5" t="inlineStr">
        <is>
          <t>南阿蘇村</t>
        </is>
      </c>
      <c r="D12" s="5" t="inlineStr">
        <is>
          <t>くまもと清陵高等学校</t>
        </is>
      </c>
      <c r="E12" s="6" t="inlineStr">
        <is>
          <t>0967-63-8251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通信制・南阿蘇村の本校</t>
        </is>
      </c>
      <c r="N12" s="11" t="inlineStr">
        <is>
          <t>https://www.k-seiryo.jp/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熊本県</t>
        </is>
      </c>
      <c r="C13" s="5" t="inlineStr">
        <is>
          <t>熊本市中央区</t>
        </is>
      </c>
      <c r="D13" s="5" t="inlineStr">
        <is>
          <t>熊本中央高等学校</t>
        </is>
      </c>
      <c r="E13" s="6" t="inlineStr">
        <is>
          <t>096-354-2333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看護専攻科は096-354-2337</t>
        </is>
      </c>
      <c r="N13" s="11" t="inlineStr">
        <is>
          <t>https://kasumigakuen.ac.jp/pages/248/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熊本県</t>
        </is>
      </c>
      <c r="C14" s="5" t="inlineStr">
        <is>
          <t>熊本市東区</t>
        </is>
      </c>
      <c r="D14" s="5" t="inlineStr">
        <is>
          <t>熊本マリスト学園高等学校</t>
        </is>
      </c>
      <c r="E14" s="6" t="inlineStr">
        <is>
          <t>096-368-2131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中高共通番号</t>
        </is>
      </c>
      <c r="N14" s="11" t="inlineStr">
        <is>
          <t>https://www.marist.ed.jp/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熊本県</t>
        </is>
      </c>
      <c r="C15" s="5" t="inlineStr">
        <is>
          <t>熊本市中央区</t>
        </is>
      </c>
      <c r="D15" s="5" t="inlineStr">
        <is>
          <t>慶誠高等学校</t>
        </is>
      </c>
      <c r="E15" s="6" t="inlineStr">
        <is>
          <t>096-366-0128</t>
        </is>
      </c>
      <c r="F15" s="7" t="inlineStr">
        <is>
          <t>高</t>
        </is>
      </c>
      <c r="G15" s="5" t="inlineStr">
        <is>
          <t>普通科・専門学科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n"/>
      <c r="N15" s="11" t="inlineStr">
        <is>
          <t>https://keisei-h.ed.jp/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熊本県</t>
        </is>
      </c>
      <c r="C16" s="5" t="inlineStr">
        <is>
          <t>八代市</t>
        </is>
      </c>
      <c r="D16" s="5" t="inlineStr">
        <is>
          <t>秀岳館高等学校</t>
        </is>
      </c>
      <c r="E16" s="6" t="inlineStr">
        <is>
          <t>0965-33-5134</t>
        </is>
      </c>
      <c r="F16" s="7" t="inlineStr">
        <is>
          <t>高</t>
        </is>
      </c>
      <c r="G16" s="5" t="inlineStr">
        <is>
          <t>普通科・専門学科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n"/>
      <c r="N16" s="11" t="inlineStr">
        <is>
          <t>https://syugakukan.ed.jp/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熊本県</t>
        </is>
      </c>
      <c r="C17" s="5" t="inlineStr">
        <is>
          <t>熊本市中央区</t>
        </is>
      </c>
      <c r="D17" s="5" t="inlineStr">
        <is>
          <t>尚絅高等学校</t>
        </is>
      </c>
      <c r="E17" s="6" t="inlineStr">
        <is>
          <t>096-366-0295</t>
        </is>
      </c>
      <c r="F17" s="7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中高共通。学園事務局は096-364-0116</t>
        </is>
      </c>
      <c r="N17" s="11" t="inlineStr">
        <is>
          <t>https://www.shokei-gakuen.ac.jp/jh-hs/contacts/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熊本県</t>
        </is>
      </c>
      <c r="C18" s="5" t="inlineStr">
        <is>
          <t>熊本市中央区</t>
        </is>
      </c>
      <c r="D18" s="5" t="inlineStr">
        <is>
          <t>真和高等学校</t>
        </is>
      </c>
      <c r="E18" s="6" t="inlineStr">
        <is>
          <t>096-364-8176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鎮西高校と同じ番号（鎮西学園の受付）。職員室096-366-6177の掲載もあり</t>
        </is>
      </c>
      <c r="N18" s="11" t="inlineStr">
        <is>
          <t>https://www.shinwa.ed.jp/list00527.html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熊本県</t>
        </is>
      </c>
      <c r="C19" s="5" t="inlineStr">
        <is>
          <t>山鹿市</t>
        </is>
      </c>
      <c r="D19" s="5" t="inlineStr">
        <is>
          <t>城北高等学校（熊本県）</t>
        </is>
      </c>
      <c r="E19" s="6" t="inlineStr">
        <is>
          <t>0968-44-8111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n"/>
      <c r="N19" s="11" t="inlineStr">
        <is>
          <t>https://johoku-hs.ed.jp/contact/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熊本県</t>
        </is>
      </c>
      <c r="C20" s="5" t="inlineStr">
        <is>
          <t>玉名市</t>
        </is>
      </c>
      <c r="D20" s="5" t="inlineStr">
        <is>
          <t>専修大学熊本玉名高等学校</t>
        </is>
      </c>
      <c r="E20" s="6" t="inlineStr">
        <is>
          <t>0968-72-4151</t>
        </is>
      </c>
      <c r="F20" s="7" t="inlineStr">
        <is>
          <t>高</t>
        </is>
      </c>
      <c r="G20" s="5" t="inlineStr">
        <is>
          <t>普通科・専門学科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n"/>
      <c r="N20" s="11" t="inlineStr">
        <is>
          <t>http://www.senshu.ac.jp/access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熊本県</t>
        </is>
      </c>
      <c r="C21" s="5" t="inlineStr">
        <is>
          <t>玉名市</t>
        </is>
      </c>
      <c r="D21" s="5" t="inlineStr">
        <is>
          <t>玉名女子高等学校</t>
        </is>
      </c>
      <c r="E21" s="6" t="inlineStr">
        <is>
          <t>0968-72-5161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n"/>
      <c r="N21" s="11" t="inlineStr">
        <is>
          <t>http://www.tamanajoshi-h.ed.jp/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熊本県</t>
        </is>
      </c>
      <c r="C22" s="5" t="inlineStr">
        <is>
          <t>熊本市中央区</t>
        </is>
      </c>
      <c r="D22" s="5" t="inlineStr">
        <is>
          <t>鎮西高等学校</t>
        </is>
      </c>
      <c r="E22" s="6" t="inlineStr">
        <is>
          <t>096-364-8176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真和中高と同じ番号（鎮西学園）</t>
        </is>
      </c>
      <c r="N22" s="11" t="inlineStr">
        <is>
          <t>http://www.chinzei.ed.jp/index.html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熊本県</t>
        </is>
      </c>
      <c r="C23" s="5" t="inlineStr">
        <is>
          <t>熊本市東区</t>
        </is>
      </c>
      <c r="D23" s="5" t="inlineStr">
        <is>
          <t>東海大学付属熊本星翔高等学校</t>
        </is>
      </c>
      <c r="E23" s="6" t="inlineStr">
        <is>
          <t>096-382-1146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n"/>
      <c r="N23" s="11" t="inlineStr">
        <is>
          <t>https://www.seisho.tokai.ed.jp/access/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熊本県</t>
        </is>
      </c>
      <c r="C24" s="5" t="inlineStr">
        <is>
          <t>山都町</t>
        </is>
      </c>
      <c r="D24" s="5" t="inlineStr">
        <is>
          <t>一ツ葉高等学校</t>
        </is>
      </c>
      <c r="E24" s="6" t="inlineStr">
        <is>
          <t>0967-72-3344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通信制・山都町の本校。フリーダイヤル0120-277-128</t>
        </is>
      </c>
      <c r="N24" s="11" t="inlineStr">
        <is>
          <t>https://www.hitotsuba.ed.jp/campus/principal/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熊本県</t>
        </is>
      </c>
      <c r="C25" s="5" t="inlineStr">
        <is>
          <t>熊本市西区</t>
        </is>
      </c>
      <c r="D25" s="5" t="inlineStr">
        <is>
          <t>文徳高等学校</t>
        </is>
      </c>
      <c r="E25" s="6" t="inlineStr">
        <is>
          <t>096-354-6416</t>
        </is>
      </c>
      <c r="F25" s="7" t="inlineStr">
        <is>
          <t>高</t>
        </is>
      </c>
      <c r="G25" s="5" t="inlineStr">
        <is>
          <t>普通科・専門学科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文徳中学校は096-323-6677</t>
        </is>
      </c>
      <c r="N25" s="11" t="inlineStr">
        <is>
          <t>https://www.buntoku-h.ed.jp/buntoku/access/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熊本県</t>
        </is>
      </c>
      <c r="C26" s="5" t="inlineStr">
        <is>
          <t>八代市</t>
        </is>
      </c>
      <c r="D26" s="5" t="inlineStr">
        <is>
          <t>八代白百合学園高等学校</t>
        </is>
      </c>
      <c r="E26" s="6" t="inlineStr">
        <is>
          <t>0965-32-2354</t>
        </is>
      </c>
      <c r="F26" s="7" t="inlineStr">
        <is>
          <t>高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n"/>
      <c r="N26" s="11" t="inlineStr">
        <is>
          <t>https://yatsushiro-shirayuri.ed.jp/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熊本県</t>
        </is>
      </c>
      <c r="C27" s="5" t="inlineStr">
        <is>
          <t>天草市</t>
        </is>
      </c>
      <c r="D27" s="5" t="inlineStr">
        <is>
          <t>勇志国際高等学校</t>
        </is>
      </c>
      <c r="E27" s="6" t="inlineStr">
        <is>
          <t>0969-67-3911</t>
        </is>
      </c>
      <c r="F27" s="13" t="inlineStr">
        <is>
          <t>中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通信制・天草市の本校。現公式はフリーダイヤル0120-593-135を案内</t>
        </is>
      </c>
      <c r="N27" s="11" t="inlineStr">
        <is>
          <t>https://zba.jp/tsushin-highschool/schools/detail-yushikokusai/pref-43/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熊本県</t>
        </is>
      </c>
      <c r="C28" s="5" t="inlineStr">
        <is>
          <t>熊本市中央区</t>
        </is>
      </c>
      <c r="D28" s="5" t="inlineStr">
        <is>
          <t>ルーテル学院高等学校</t>
        </is>
      </c>
      <c r="E28" s="6" t="inlineStr">
        <is>
          <t>096-343-3246</t>
        </is>
      </c>
      <c r="F28" s="7" t="inlineStr">
        <is>
          <t>高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中高共通。法人事務局は096-343-3111</t>
        </is>
      </c>
      <c r="N28" s="11" t="inlineStr">
        <is>
          <t>https://luther.ed.jp/</t>
        </is>
      </c>
      <c r="O28" s="12" t="inlineStr">
        <is>
          <t>開く</t>
        </is>
      </c>
    </row>
  </sheetData>
  <autoFilter ref="A4:O28"/>
  <conditionalFormatting sqref="A5:O28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8" showDropDown="0" showInputMessage="0" showErrorMessage="0" allowBlank="1" type="list">
      <formula1>"未架電,不在・折返し待ち,担当者不在,資料送付,アポ獲得,検討中,NG,番号不明"</formula1>
    </dataValidation>
    <dataValidation sqref="H5:H28 K5:K28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熊本市中央区</t>
        </is>
      </c>
      <c r="B4" s="14">
        <f>COUNTIF('架電リスト'!$C$5:$C$28,A4)</f>
        <v/>
      </c>
      <c r="C4" s="14">
        <f>COUNTIFS('架電リスト'!$C$5:$C$28,A4,'架電リスト'!$E$5:$E$28,"&lt;&gt;")</f>
        <v/>
      </c>
      <c r="D4" s="14">
        <f>B4-COUNTIFS('架電リスト'!$C$5:$C$28,A4,'架電リスト'!$J$5:$J$28,"未架電")-COUNTIFS('架電リスト'!$C$5:$C$28,A4,'架電リスト'!$J$5:$J$28,"")</f>
        <v/>
      </c>
      <c r="E4" s="14">
        <f>COUNTIFS('架電リスト'!$C$5:$C$28,$A4,'架電リスト'!$J$5:$J$28,"不在・折返し待ち")</f>
        <v/>
      </c>
      <c r="F4" s="14">
        <f>COUNTIFS('架電リスト'!$C$5:$C$28,$A4,'架電リスト'!$J$5:$J$28,"担当者不在")</f>
        <v/>
      </c>
      <c r="G4" s="14">
        <f>COUNTIFS('架電リスト'!$C$5:$C$28,$A4,'架電リスト'!$J$5:$J$28,"資料送付")</f>
        <v/>
      </c>
      <c r="H4" s="14">
        <f>COUNTIFS('架電リスト'!$C$5:$C$28,$A4,'架電リスト'!$J$5:$J$28,"アポ獲得")</f>
        <v/>
      </c>
      <c r="I4" s="14">
        <f>COUNTIFS('架電リスト'!$C$5:$C$28,$A4,'架電リスト'!$J$5:$J$28,"検討中")</f>
        <v/>
      </c>
      <c r="J4" s="14">
        <f>COUNTIFS('架電リスト'!$C$5:$C$28,$A4,'架電リスト'!$J$5:$J$28,"NG")</f>
        <v/>
      </c>
      <c r="K4" s="14">
        <f>COUNTIFS('架電リスト'!$C$5:$C$28,$A4,'架電リスト'!$J$5:$J$28,"番号不明")</f>
        <v/>
      </c>
    </row>
    <row r="5">
      <c r="A5" s="14" t="inlineStr">
        <is>
          <t>熊本市東区</t>
        </is>
      </c>
      <c r="B5" s="14">
        <f>COUNTIF('架電リスト'!$C$5:$C$28,A5)</f>
        <v/>
      </c>
      <c r="C5" s="14">
        <f>COUNTIFS('架電リスト'!$C$5:$C$28,A5,'架電リスト'!$E$5:$E$28,"&lt;&gt;")</f>
        <v/>
      </c>
      <c r="D5" s="14">
        <f>B5-COUNTIFS('架電リスト'!$C$5:$C$28,A5,'架電リスト'!$J$5:$J$28,"未架電")-COUNTIFS('架電リスト'!$C$5:$C$28,A5,'架電リスト'!$J$5:$J$28,"")</f>
        <v/>
      </c>
      <c r="E5" s="14">
        <f>COUNTIFS('架電リスト'!$C$5:$C$28,$A5,'架電リスト'!$J$5:$J$28,"不在・折返し待ち")</f>
        <v/>
      </c>
      <c r="F5" s="14">
        <f>COUNTIFS('架電リスト'!$C$5:$C$28,$A5,'架電リスト'!$J$5:$J$28,"担当者不在")</f>
        <v/>
      </c>
      <c r="G5" s="14">
        <f>COUNTIFS('架電リスト'!$C$5:$C$28,$A5,'架電リスト'!$J$5:$J$28,"資料送付")</f>
        <v/>
      </c>
      <c r="H5" s="14">
        <f>COUNTIFS('架電リスト'!$C$5:$C$28,$A5,'架電リスト'!$J$5:$J$28,"アポ獲得")</f>
        <v/>
      </c>
      <c r="I5" s="14">
        <f>COUNTIFS('架電リスト'!$C$5:$C$28,$A5,'架電リスト'!$J$5:$J$28,"検討中")</f>
        <v/>
      </c>
      <c r="J5" s="14">
        <f>COUNTIFS('架電リスト'!$C$5:$C$28,$A5,'架電リスト'!$J$5:$J$28,"NG")</f>
        <v/>
      </c>
      <c r="K5" s="14">
        <f>COUNTIFS('架電リスト'!$C$5:$C$28,$A5,'架電リスト'!$J$5:$J$28,"番号不明")</f>
        <v/>
      </c>
    </row>
    <row r="6">
      <c r="A6" s="14" t="inlineStr">
        <is>
          <t>八代市</t>
        </is>
      </c>
      <c r="B6" s="14">
        <f>COUNTIF('架電リスト'!$C$5:$C$28,A6)</f>
        <v/>
      </c>
      <c r="C6" s="14">
        <f>COUNTIFS('架電リスト'!$C$5:$C$28,A6,'架電リスト'!$E$5:$E$28,"&lt;&gt;")</f>
        <v/>
      </c>
      <c r="D6" s="14">
        <f>B6-COUNTIFS('架電リスト'!$C$5:$C$28,A6,'架電リスト'!$J$5:$J$28,"未架電")-COUNTIFS('架電リスト'!$C$5:$C$28,A6,'架電リスト'!$J$5:$J$28,"")</f>
        <v/>
      </c>
      <c r="E6" s="14">
        <f>COUNTIFS('架電リスト'!$C$5:$C$28,$A6,'架電リスト'!$J$5:$J$28,"不在・折返し待ち")</f>
        <v/>
      </c>
      <c r="F6" s="14">
        <f>COUNTIFS('架電リスト'!$C$5:$C$28,$A6,'架電リスト'!$J$5:$J$28,"担当者不在")</f>
        <v/>
      </c>
      <c r="G6" s="14">
        <f>COUNTIFS('架電リスト'!$C$5:$C$28,$A6,'架電リスト'!$J$5:$J$28,"資料送付")</f>
        <v/>
      </c>
      <c r="H6" s="14">
        <f>COUNTIFS('架電リスト'!$C$5:$C$28,$A6,'架電リスト'!$J$5:$J$28,"アポ獲得")</f>
        <v/>
      </c>
      <c r="I6" s="14">
        <f>COUNTIFS('架電リスト'!$C$5:$C$28,$A6,'架電リスト'!$J$5:$J$28,"検討中")</f>
        <v/>
      </c>
      <c r="J6" s="14">
        <f>COUNTIFS('架電リスト'!$C$5:$C$28,$A6,'架電リスト'!$J$5:$J$28,"NG")</f>
        <v/>
      </c>
      <c r="K6" s="14">
        <f>COUNTIFS('架電リスト'!$C$5:$C$28,$A6,'架電リスト'!$J$5:$J$28,"番号不明")</f>
        <v/>
      </c>
    </row>
    <row r="7">
      <c r="A7" s="14" t="inlineStr">
        <is>
          <t>玉名市</t>
        </is>
      </c>
      <c r="B7" s="14">
        <f>COUNTIF('架電リスト'!$C$5:$C$28,A7)</f>
        <v/>
      </c>
      <c r="C7" s="14">
        <f>COUNTIFS('架電リスト'!$C$5:$C$28,A7,'架電リスト'!$E$5:$E$28,"&lt;&gt;")</f>
        <v/>
      </c>
      <c r="D7" s="14">
        <f>B7-COUNTIFS('架電リスト'!$C$5:$C$28,A7,'架電リスト'!$J$5:$J$28,"未架電")-COUNTIFS('架電リスト'!$C$5:$C$28,A7,'架電リスト'!$J$5:$J$28,"")</f>
        <v/>
      </c>
      <c r="E7" s="14">
        <f>COUNTIFS('架電リスト'!$C$5:$C$28,$A7,'架電リスト'!$J$5:$J$28,"不在・折返し待ち")</f>
        <v/>
      </c>
      <c r="F7" s="14">
        <f>COUNTIFS('架電リスト'!$C$5:$C$28,$A7,'架電リスト'!$J$5:$J$28,"担当者不在")</f>
        <v/>
      </c>
      <c r="G7" s="14">
        <f>COUNTIFS('架電リスト'!$C$5:$C$28,$A7,'架電リスト'!$J$5:$J$28,"資料送付")</f>
        <v/>
      </c>
      <c r="H7" s="14">
        <f>COUNTIFS('架電リスト'!$C$5:$C$28,$A7,'架電リスト'!$J$5:$J$28,"アポ獲得")</f>
        <v/>
      </c>
      <c r="I7" s="14">
        <f>COUNTIFS('架電リスト'!$C$5:$C$28,$A7,'架電リスト'!$J$5:$J$28,"検討中")</f>
        <v/>
      </c>
      <c r="J7" s="14">
        <f>COUNTIFS('架電リスト'!$C$5:$C$28,$A7,'架電リスト'!$J$5:$J$28,"NG")</f>
        <v/>
      </c>
      <c r="K7" s="14">
        <f>COUNTIFS('架電リスト'!$C$5:$C$28,$A7,'架電リスト'!$J$5:$J$28,"番号不明")</f>
        <v/>
      </c>
    </row>
    <row r="8">
      <c r="A8" s="14" t="inlineStr">
        <is>
          <t>荒尾市</t>
        </is>
      </c>
      <c r="B8" s="14">
        <f>COUNTIF('架電リスト'!$C$5:$C$28,A8)</f>
        <v/>
      </c>
      <c r="C8" s="14">
        <f>COUNTIFS('架電リスト'!$C$5:$C$28,A8,'架電リスト'!$E$5:$E$28,"&lt;&gt;")</f>
        <v/>
      </c>
      <c r="D8" s="14">
        <f>B8-COUNTIFS('架電リスト'!$C$5:$C$28,A8,'架電リスト'!$J$5:$J$28,"未架電")-COUNTIFS('架電リスト'!$C$5:$C$28,A8,'架電リスト'!$J$5:$J$28,"")</f>
        <v/>
      </c>
      <c r="E8" s="14">
        <f>COUNTIFS('架電リスト'!$C$5:$C$28,$A8,'架電リスト'!$J$5:$J$28,"不在・折返し待ち")</f>
        <v/>
      </c>
      <c r="F8" s="14">
        <f>COUNTIFS('架電リスト'!$C$5:$C$28,$A8,'架電リスト'!$J$5:$J$28,"担当者不在")</f>
        <v/>
      </c>
      <c r="G8" s="14">
        <f>COUNTIFS('架電リスト'!$C$5:$C$28,$A8,'架電リスト'!$J$5:$J$28,"資料送付")</f>
        <v/>
      </c>
      <c r="H8" s="14">
        <f>COUNTIFS('架電リスト'!$C$5:$C$28,$A8,'架電リスト'!$J$5:$J$28,"アポ獲得")</f>
        <v/>
      </c>
      <c r="I8" s="14">
        <f>COUNTIFS('架電リスト'!$C$5:$C$28,$A8,'架電リスト'!$J$5:$J$28,"検討中")</f>
        <v/>
      </c>
      <c r="J8" s="14">
        <f>COUNTIFS('架電リスト'!$C$5:$C$28,$A8,'架電リスト'!$J$5:$J$28,"NG")</f>
        <v/>
      </c>
      <c r="K8" s="14">
        <f>COUNTIFS('架電リスト'!$C$5:$C$28,$A8,'架電リスト'!$J$5:$J$28,"番号不明")</f>
        <v/>
      </c>
    </row>
    <row r="9">
      <c r="A9" s="14" t="inlineStr">
        <is>
          <t>菊池市</t>
        </is>
      </c>
      <c r="B9" s="14">
        <f>COUNTIF('架電リスト'!$C$5:$C$28,A9)</f>
        <v/>
      </c>
      <c r="C9" s="14">
        <f>COUNTIFS('架電リスト'!$C$5:$C$28,A9,'架電リスト'!$E$5:$E$28,"&lt;&gt;")</f>
        <v/>
      </c>
      <c r="D9" s="14">
        <f>B9-COUNTIFS('架電リスト'!$C$5:$C$28,A9,'架電リスト'!$J$5:$J$28,"未架電")-COUNTIFS('架電リスト'!$C$5:$C$28,A9,'架電リスト'!$J$5:$J$28,"")</f>
        <v/>
      </c>
      <c r="E9" s="14">
        <f>COUNTIFS('架電リスト'!$C$5:$C$28,$A9,'架電リスト'!$J$5:$J$28,"不在・折返し待ち")</f>
        <v/>
      </c>
      <c r="F9" s="14">
        <f>COUNTIFS('架電リスト'!$C$5:$C$28,$A9,'架電リスト'!$J$5:$J$28,"担当者不在")</f>
        <v/>
      </c>
      <c r="G9" s="14">
        <f>COUNTIFS('架電リスト'!$C$5:$C$28,$A9,'架電リスト'!$J$5:$J$28,"資料送付")</f>
        <v/>
      </c>
      <c r="H9" s="14">
        <f>COUNTIFS('架電リスト'!$C$5:$C$28,$A9,'架電リスト'!$J$5:$J$28,"アポ獲得")</f>
        <v/>
      </c>
      <c r="I9" s="14">
        <f>COUNTIFS('架電リスト'!$C$5:$C$28,$A9,'架電リスト'!$J$5:$J$28,"検討中")</f>
        <v/>
      </c>
      <c r="J9" s="14">
        <f>COUNTIFS('架電リスト'!$C$5:$C$28,$A9,'架電リスト'!$J$5:$J$28,"NG")</f>
        <v/>
      </c>
      <c r="K9" s="14">
        <f>COUNTIFS('架電リスト'!$C$5:$C$28,$A9,'架電リスト'!$J$5:$J$28,"番号不明")</f>
        <v/>
      </c>
    </row>
    <row r="10">
      <c r="A10" s="14" t="inlineStr">
        <is>
          <t>南阿蘇村</t>
        </is>
      </c>
      <c r="B10" s="14">
        <f>COUNTIF('架電リスト'!$C$5:$C$28,A10)</f>
        <v/>
      </c>
      <c r="C10" s="14">
        <f>COUNTIFS('架電リスト'!$C$5:$C$28,A10,'架電リスト'!$E$5:$E$28,"&lt;&gt;")</f>
        <v/>
      </c>
      <c r="D10" s="14">
        <f>B10-COUNTIFS('架電リスト'!$C$5:$C$28,A10,'架電リスト'!$J$5:$J$28,"未架電")-COUNTIFS('架電リスト'!$C$5:$C$28,A10,'架電リスト'!$J$5:$J$28,"")</f>
        <v/>
      </c>
      <c r="E10" s="14">
        <f>COUNTIFS('架電リスト'!$C$5:$C$28,$A10,'架電リスト'!$J$5:$J$28,"不在・折返し待ち")</f>
        <v/>
      </c>
      <c r="F10" s="14">
        <f>COUNTIFS('架電リスト'!$C$5:$C$28,$A10,'架電リスト'!$J$5:$J$28,"担当者不在")</f>
        <v/>
      </c>
      <c r="G10" s="14">
        <f>COUNTIFS('架電リスト'!$C$5:$C$28,$A10,'架電リスト'!$J$5:$J$28,"資料送付")</f>
        <v/>
      </c>
      <c r="H10" s="14">
        <f>COUNTIFS('架電リスト'!$C$5:$C$28,$A10,'架電リスト'!$J$5:$J$28,"アポ獲得")</f>
        <v/>
      </c>
      <c r="I10" s="14">
        <f>COUNTIFS('架電リスト'!$C$5:$C$28,$A10,'架電リスト'!$J$5:$J$28,"検討中")</f>
        <v/>
      </c>
      <c r="J10" s="14">
        <f>COUNTIFS('架電リスト'!$C$5:$C$28,$A10,'架電リスト'!$J$5:$J$28,"NG")</f>
        <v/>
      </c>
      <c r="K10" s="14">
        <f>COUNTIFS('架電リスト'!$C$5:$C$28,$A10,'架電リスト'!$J$5:$J$28,"番号不明")</f>
        <v/>
      </c>
    </row>
    <row r="11">
      <c r="A11" s="14" t="inlineStr">
        <is>
          <t>山鹿市</t>
        </is>
      </c>
      <c r="B11" s="14">
        <f>COUNTIF('架電リスト'!$C$5:$C$28,A11)</f>
        <v/>
      </c>
      <c r="C11" s="14">
        <f>COUNTIFS('架電リスト'!$C$5:$C$28,A11,'架電リスト'!$E$5:$E$28,"&lt;&gt;")</f>
        <v/>
      </c>
      <c r="D11" s="14">
        <f>B11-COUNTIFS('架電リスト'!$C$5:$C$28,A11,'架電リスト'!$J$5:$J$28,"未架電")-COUNTIFS('架電リスト'!$C$5:$C$28,A11,'架電リスト'!$J$5:$J$28,"")</f>
        <v/>
      </c>
      <c r="E11" s="14">
        <f>COUNTIFS('架電リスト'!$C$5:$C$28,$A11,'架電リスト'!$J$5:$J$28,"不在・折返し待ち")</f>
        <v/>
      </c>
      <c r="F11" s="14">
        <f>COUNTIFS('架電リスト'!$C$5:$C$28,$A11,'架電リスト'!$J$5:$J$28,"担当者不在")</f>
        <v/>
      </c>
      <c r="G11" s="14">
        <f>COUNTIFS('架電リスト'!$C$5:$C$28,$A11,'架電リスト'!$J$5:$J$28,"資料送付")</f>
        <v/>
      </c>
      <c r="H11" s="14">
        <f>COUNTIFS('架電リスト'!$C$5:$C$28,$A11,'架電リスト'!$J$5:$J$28,"アポ獲得")</f>
        <v/>
      </c>
      <c r="I11" s="14">
        <f>COUNTIFS('架電リスト'!$C$5:$C$28,$A11,'架電リスト'!$J$5:$J$28,"検討中")</f>
        <v/>
      </c>
      <c r="J11" s="14">
        <f>COUNTIFS('架電リスト'!$C$5:$C$28,$A11,'架電リスト'!$J$5:$J$28,"NG")</f>
        <v/>
      </c>
      <c r="K11" s="14">
        <f>COUNTIFS('架電リスト'!$C$5:$C$28,$A11,'架電リスト'!$J$5:$J$28,"番号不明")</f>
        <v/>
      </c>
    </row>
    <row r="12">
      <c r="A12" s="14" t="inlineStr">
        <is>
          <t>山都町</t>
        </is>
      </c>
      <c r="B12" s="14">
        <f>COUNTIF('架電リスト'!$C$5:$C$28,A12)</f>
        <v/>
      </c>
      <c r="C12" s="14">
        <f>COUNTIFS('架電リスト'!$C$5:$C$28,A12,'架電リスト'!$E$5:$E$28,"&lt;&gt;")</f>
        <v/>
      </c>
      <c r="D12" s="14">
        <f>B12-COUNTIFS('架電リスト'!$C$5:$C$28,A12,'架電リスト'!$J$5:$J$28,"未架電")-COUNTIFS('架電リスト'!$C$5:$C$28,A12,'架電リスト'!$J$5:$J$28,"")</f>
        <v/>
      </c>
      <c r="E12" s="14">
        <f>COUNTIFS('架電リスト'!$C$5:$C$28,$A12,'架電リスト'!$J$5:$J$28,"不在・折返し待ち")</f>
        <v/>
      </c>
      <c r="F12" s="14">
        <f>COUNTIFS('架電リスト'!$C$5:$C$28,$A12,'架電リスト'!$J$5:$J$28,"担当者不在")</f>
        <v/>
      </c>
      <c r="G12" s="14">
        <f>COUNTIFS('架電リスト'!$C$5:$C$28,$A12,'架電リスト'!$J$5:$J$28,"資料送付")</f>
        <v/>
      </c>
      <c r="H12" s="14">
        <f>COUNTIFS('架電リスト'!$C$5:$C$28,$A12,'架電リスト'!$J$5:$J$28,"アポ獲得")</f>
        <v/>
      </c>
      <c r="I12" s="14">
        <f>COUNTIFS('架電リスト'!$C$5:$C$28,$A12,'架電リスト'!$J$5:$J$28,"検討中")</f>
        <v/>
      </c>
      <c r="J12" s="14">
        <f>COUNTIFS('架電リスト'!$C$5:$C$28,$A12,'架電リスト'!$J$5:$J$28,"NG")</f>
        <v/>
      </c>
      <c r="K12" s="14">
        <f>COUNTIFS('架電リスト'!$C$5:$C$28,$A12,'架電リスト'!$J$5:$J$28,"番号不明")</f>
        <v/>
      </c>
    </row>
    <row r="13">
      <c r="A13" s="14" t="inlineStr">
        <is>
          <t>熊本市西区</t>
        </is>
      </c>
      <c r="B13" s="14">
        <f>COUNTIF('架電リスト'!$C$5:$C$28,A13)</f>
        <v/>
      </c>
      <c r="C13" s="14">
        <f>COUNTIFS('架電リスト'!$C$5:$C$28,A13,'架電リスト'!$E$5:$E$28,"&lt;&gt;")</f>
        <v/>
      </c>
      <c r="D13" s="14">
        <f>B13-COUNTIFS('架電リスト'!$C$5:$C$28,A13,'架電リスト'!$J$5:$J$28,"未架電")-COUNTIFS('架電リスト'!$C$5:$C$28,A13,'架電リスト'!$J$5:$J$28,"")</f>
        <v/>
      </c>
      <c r="E13" s="14">
        <f>COUNTIFS('架電リスト'!$C$5:$C$28,$A13,'架電リスト'!$J$5:$J$28,"不在・折返し待ち")</f>
        <v/>
      </c>
      <c r="F13" s="14">
        <f>COUNTIFS('架電リスト'!$C$5:$C$28,$A13,'架電リスト'!$J$5:$J$28,"担当者不在")</f>
        <v/>
      </c>
      <c r="G13" s="14">
        <f>COUNTIFS('架電リスト'!$C$5:$C$28,$A13,'架電リスト'!$J$5:$J$28,"資料送付")</f>
        <v/>
      </c>
      <c r="H13" s="14">
        <f>COUNTIFS('架電リスト'!$C$5:$C$28,$A13,'架電リスト'!$J$5:$J$28,"アポ獲得")</f>
        <v/>
      </c>
      <c r="I13" s="14">
        <f>COUNTIFS('架電リスト'!$C$5:$C$28,$A13,'架電リスト'!$J$5:$J$28,"検討中")</f>
        <v/>
      </c>
      <c r="J13" s="14">
        <f>COUNTIFS('架電リスト'!$C$5:$C$28,$A13,'架電リスト'!$J$5:$J$28,"NG")</f>
        <v/>
      </c>
      <c r="K13" s="14">
        <f>COUNTIFS('架電リスト'!$C$5:$C$28,$A13,'架電リスト'!$J$5:$J$28,"番号不明")</f>
        <v/>
      </c>
    </row>
    <row r="14">
      <c r="A14" s="14" t="inlineStr">
        <is>
          <t>天草市</t>
        </is>
      </c>
      <c r="B14" s="14">
        <f>COUNTIF('架電リスト'!$C$5:$C$28,A14)</f>
        <v/>
      </c>
      <c r="C14" s="14">
        <f>COUNTIFS('架電リスト'!$C$5:$C$28,A14,'架電リスト'!$E$5:$E$28,"&lt;&gt;")</f>
        <v/>
      </c>
      <c r="D14" s="14">
        <f>B14-COUNTIFS('架電リスト'!$C$5:$C$28,A14,'架電リスト'!$J$5:$J$28,"未架電")-COUNTIFS('架電リスト'!$C$5:$C$28,A14,'架電リスト'!$J$5:$J$28,"")</f>
        <v/>
      </c>
      <c r="E14" s="14">
        <f>COUNTIFS('架電リスト'!$C$5:$C$28,$A14,'架電リスト'!$J$5:$J$28,"不在・折返し待ち")</f>
        <v/>
      </c>
      <c r="F14" s="14">
        <f>COUNTIFS('架電リスト'!$C$5:$C$28,$A14,'架電リスト'!$J$5:$J$28,"担当者不在")</f>
        <v/>
      </c>
      <c r="G14" s="14">
        <f>COUNTIFS('架電リスト'!$C$5:$C$28,$A14,'架電リスト'!$J$5:$J$28,"資料送付")</f>
        <v/>
      </c>
      <c r="H14" s="14">
        <f>COUNTIFS('架電リスト'!$C$5:$C$28,$A14,'架電リスト'!$J$5:$J$28,"アポ獲得")</f>
        <v/>
      </c>
      <c r="I14" s="14">
        <f>COUNTIFS('架電リスト'!$C$5:$C$28,$A14,'架電リスト'!$J$5:$J$28,"検討中")</f>
        <v/>
      </c>
      <c r="J14" s="14">
        <f>COUNTIFS('架電リスト'!$C$5:$C$28,$A14,'架電リスト'!$J$5:$J$28,"NG")</f>
        <v/>
      </c>
      <c r="K14" s="14">
        <f>COUNTIFS('架電リスト'!$C$5:$C$28,$A14,'架電リスト'!$J$5:$J$28,"番号不明")</f>
        <v/>
      </c>
    </row>
    <row r="15">
      <c r="A15" s="15" t="inlineStr">
        <is>
          <t>合計</t>
        </is>
      </c>
      <c r="B15" s="15">
        <f>SUM(B4:B14)</f>
        <v/>
      </c>
      <c r="C15" s="15">
        <f>SUM(C4:C14)</f>
        <v/>
      </c>
      <c r="D15" s="15">
        <f>SUM(D4:D14)</f>
        <v/>
      </c>
      <c r="E15" s="15">
        <f>SUM(E4:E14)</f>
        <v/>
      </c>
      <c r="F15" s="15">
        <f>SUM(F4:F14)</f>
        <v/>
      </c>
      <c r="G15" s="15">
        <f>SUM(G4:G14)</f>
        <v/>
      </c>
      <c r="H15" s="15">
        <f>SUM(H4:H14)</f>
        <v/>
      </c>
      <c r="I15" s="15">
        <f>SUM(I4:I14)</f>
        <v/>
      </c>
      <c r="J15" s="15">
        <f>SUM(J4:J14)</f>
        <v/>
      </c>
      <c r="K15" s="15">
        <f>SUM(K4:K14)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・出典：ご提供いただいた学校ネットの検索結果（私立高校・熊本県、24校）の貼り付けデータ。並び順は都道府県ごとに元データの掲載順です。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2026-10-14T02:12:31Z</dcterms:created>
  <dcterms:modified xsi:type="dcterms:W3CDTF">2026-10-14T02:12:31Z</dcterms:modified>
</cp:coreProperties>
</file>