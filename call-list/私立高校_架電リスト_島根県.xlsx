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  <sheet name="市区町村別集計" sheetId="2" state="visible" r:id="rId2"/>
    <sheet name="使い方・注意事項" sheetId="3" state="visible" r:id="rId3"/>
  </sheets>
  <definedNames>
    <definedName name="_xlnm._FilterDatabase" localSheetId="0" hidden="1">'架電リスト'!$A$4:$O$14</definedName>
    <definedName name="_xlnm.Print_Titles" localSheetId="0">'架電リスト'!$4:$4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10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color rgb="00595959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color rgb="00595959"/>
      <sz val="8"/>
    </font>
    <font>
      <name val="Yu Gothic"/>
      <sz val="9"/>
    </font>
    <font>
      <name val="Yu Gothic"/>
      <color rgb="000563C1"/>
      <sz val="10"/>
      <u val="single"/>
    </font>
    <font>
      <name val="Yu Gothic"/>
      <b val="1"/>
      <sz val="10"/>
    </font>
    <font>
      <name val="Yu Gothic"/>
      <b val="1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49" fontId="4" fillId="0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164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8" fillId="5" borderId="1" pivotButton="0" quotePrefix="0" xfId="0"/>
    <xf numFmtId="0" fontId="9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ont>
        <color rgb="00808080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akkou.net/kou/view/index_304793.html" TargetMode="External" Id="rId1" /><Relationship Type="http://schemas.openxmlformats.org/officeDocument/2006/relationships/hyperlink" Target="https://www.gakkou.net/kou/view/index_304795.html" TargetMode="External" Id="rId2" /><Relationship Type="http://schemas.openxmlformats.org/officeDocument/2006/relationships/hyperlink" Target="https://www.gakkou.net/kou/view/index_304798.html" TargetMode="External" Id="rId3" /><Relationship Type="http://schemas.openxmlformats.org/officeDocument/2006/relationships/hyperlink" Target="https://www.gakkou.net/kou/view/index_304776.html" TargetMode="External" Id="rId4" /><Relationship Type="http://schemas.openxmlformats.org/officeDocument/2006/relationships/hyperlink" Target="https://www.gakkou.net/kou/view/index_304799.html" TargetMode="External" Id="rId5" /><Relationship Type="http://schemas.openxmlformats.org/officeDocument/2006/relationships/hyperlink" Target="https://www.gakkou.net/kou/view/index_304775.html" TargetMode="External" Id="rId6" /><Relationship Type="http://schemas.openxmlformats.org/officeDocument/2006/relationships/hyperlink" Target="https://www.gakkou.net/kou/view/index_304811.html" TargetMode="External" Id="rId7" /><Relationship Type="http://schemas.openxmlformats.org/officeDocument/2006/relationships/hyperlink" Target="https://www.gakkou.net/kou/view/index_304774.html" TargetMode="External" Id="rId8" /><Relationship Type="http://schemas.openxmlformats.org/officeDocument/2006/relationships/hyperlink" Target="https://www.gakkou.net/kou/view/index_304810.html" TargetMode="External" Id="rId9" /><Relationship Type="http://schemas.openxmlformats.org/officeDocument/2006/relationships/hyperlink" Target="https://www.gakkou.net/kou/view/index_304777.html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8" customWidth="1" min="4" max="4"/>
    <col width="15" customWidth="1" min="5" max="5"/>
    <col width="9" customWidth="1" min="6" max="6"/>
    <col width="16" customWidth="1" min="7" max="7"/>
    <col width="12" customWidth="1" min="8" max="8"/>
    <col width="12" customWidth="1" min="9" max="9"/>
    <col width="16" customWidth="1" min="10" max="10"/>
    <col width="12" customWidth="1" min="11" max="11"/>
    <col width="30" customWidth="1" min="12" max="12"/>
    <col width="46" customWidth="1" min="13" max="13"/>
    <col width="40" customWidth="1" min="14" max="14"/>
    <col width="12" customWidth="1" min="15" max="15"/>
  </cols>
  <sheetData>
    <row r="1">
      <c r="A1" s="1" t="inlineStr">
        <is>
          <t>私立高等学校 架電リスト（島根県／10校）</t>
        </is>
      </c>
    </row>
    <row r="2">
      <c r="A2" s="2" t="inlineStr">
        <is>
          <t>出典：学校ネット 私立高校検索結果（ご提供の貼り付けデータ）。電話番号は2026年10月にWeb検索で調査（確度はF列、出典はN列）。架電前に「確度：中・低」の番号は念のためご確認ください。</t>
        </is>
      </c>
    </row>
    <row r="4">
      <c r="A4" s="3" t="inlineStr">
        <is>
          <t>No.</t>
        </is>
      </c>
      <c r="B4" s="3" t="inlineStr">
        <is>
          <t>都道府県</t>
        </is>
      </c>
      <c r="C4" s="3" t="inlineStr">
        <is>
          <t>所在地（市区町村）</t>
        </is>
      </c>
      <c r="D4" s="3" t="inlineStr">
        <is>
          <t>学校名</t>
        </is>
      </c>
      <c r="E4" s="3" t="inlineStr">
        <is>
          <t>電話番号</t>
        </is>
      </c>
      <c r="F4" s="3" t="inlineStr">
        <is>
          <t>番号の確度</t>
        </is>
      </c>
      <c r="G4" s="3" t="inlineStr">
        <is>
          <t>学科</t>
        </is>
      </c>
      <c r="H4" s="3" t="inlineStr">
        <is>
          <t>架電日</t>
        </is>
      </c>
      <c r="I4" s="3" t="inlineStr">
        <is>
          <t>担当者</t>
        </is>
      </c>
      <c r="J4" s="3" t="inlineStr">
        <is>
          <t>架電結果</t>
        </is>
      </c>
      <c r="K4" s="3" t="inlineStr">
        <is>
          <t>次回連絡日</t>
        </is>
      </c>
      <c r="L4" s="3" t="inlineStr">
        <is>
          <t>メモ</t>
        </is>
      </c>
      <c r="M4" s="3" t="inlineStr">
        <is>
          <t>電話番号の補足</t>
        </is>
      </c>
      <c r="N4" s="3" t="inlineStr">
        <is>
          <t>電話番号の出典</t>
        </is>
      </c>
      <c r="O4" s="3" t="inlineStr">
        <is>
          <t>学校情報ページ</t>
        </is>
      </c>
    </row>
    <row r="5">
      <c r="A5" s="4" t="n">
        <v>1</v>
      </c>
      <c r="B5" s="5" t="inlineStr">
        <is>
          <t>島根県</t>
        </is>
      </c>
      <c r="C5" s="5" t="inlineStr">
        <is>
          <t>出雲市</t>
        </is>
      </c>
      <c r="D5" s="5" t="inlineStr">
        <is>
          <t>出雲西高等学校</t>
        </is>
      </c>
      <c r="E5" s="6" t="inlineStr">
        <is>
          <t>0853-21-1183</t>
        </is>
      </c>
      <c r="F5" s="7" t="inlineStr">
        <is>
          <t>高</t>
        </is>
      </c>
      <c r="G5" s="5" t="inlineStr">
        <is>
          <t>普通科</t>
        </is>
      </c>
      <c r="H5" s="8" t="n"/>
      <c r="I5" s="9" t="n"/>
      <c r="J5" s="9" t="inlineStr">
        <is>
          <t>未架電</t>
        </is>
      </c>
      <c r="K5" s="8" t="n"/>
      <c r="L5" s="9" t="n"/>
      <c r="M5" s="10" t="n"/>
      <c r="N5" s="11" t="inlineStr">
        <is>
          <t>https://www.izumonishikou.jp/contact/</t>
        </is>
      </c>
      <c r="O5" s="12" t="inlineStr">
        <is>
          <t>開く</t>
        </is>
      </c>
    </row>
    <row r="6">
      <c r="A6" s="4" t="n">
        <v>2</v>
      </c>
      <c r="B6" s="5" t="inlineStr">
        <is>
          <t>島根県</t>
        </is>
      </c>
      <c r="C6" s="5" t="inlineStr">
        <is>
          <t>出雲市</t>
        </is>
      </c>
      <c r="D6" s="5" t="inlineStr">
        <is>
          <t>出雲北陵高等学校</t>
        </is>
      </c>
      <c r="E6" s="6" t="inlineStr">
        <is>
          <t>0853-21-1871</t>
        </is>
      </c>
      <c r="F6" s="7" t="inlineStr">
        <is>
          <t>高</t>
        </is>
      </c>
      <c r="G6" s="5" t="inlineStr">
        <is>
          <t>普通科</t>
        </is>
      </c>
      <c r="H6" s="8" t="n"/>
      <c r="I6" s="9" t="n"/>
      <c r="J6" s="9" t="inlineStr">
        <is>
          <t>未架電</t>
        </is>
      </c>
      <c r="K6" s="8" t="n"/>
      <c r="L6" s="9" t="n"/>
      <c r="M6" s="10" t="inlineStr">
        <is>
          <t>事務室（代表）。高校職員室は0853-21-1887</t>
        </is>
      </c>
      <c r="N6" s="11" t="inlineStr">
        <is>
          <t>https://izumohokuryo-h.ed.jp/</t>
        </is>
      </c>
      <c r="O6" s="12" t="inlineStr">
        <is>
          <t>開く</t>
        </is>
      </c>
    </row>
    <row r="7">
      <c r="A7" s="4" t="n">
        <v>3</v>
      </c>
      <c r="B7" s="5" t="inlineStr">
        <is>
          <t>島根県</t>
        </is>
      </c>
      <c r="C7" s="5" t="inlineStr">
        <is>
          <t>江津市</t>
        </is>
      </c>
      <c r="D7" s="5" t="inlineStr">
        <is>
          <t>石見智翠館高等学校</t>
        </is>
      </c>
      <c r="E7" s="6" t="inlineStr">
        <is>
          <t>0855-52-2457</t>
        </is>
      </c>
      <c r="F7" s="7" t="inlineStr">
        <is>
          <t>高</t>
        </is>
      </c>
      <c r="G7" s="5" t="inlineStr">
        <is>
          <t>普通科</t>
        </is>
      </c>
      <c r="H7" s="8" t="n"/>
      <c r="I7" s="9" t="n"/>
      <c r="J7" s="9" t="inlineStr">
        <is>
          <t>未架電</t>
        </is>
      </c>
      <c r="K7" s="8" t="n"/>
      <c r="L7" s="9" t="n"/>
      <c r="M7" s="10" t="inlineStr">
        <is>
          <t>通信制の直通は0855-52-4955</t>
        </is>
      </c>
      <c r="N7" s="11" t="inlineStr">
        <is>
          <t>https://www.iwamichisuikan.ed.jp/guardian/contact</t>
        </is>
      </c>
      <c r="O7" s="12" t="inlineStr">
        <is>
          <t>開く</t>
        </is>
      </c>
    </row>
    <row r="8">
      <c r="A8" s="4" t="n">
        <v>4</v>
      </c>
      <c r="B8" s="5" t="inlineStr">
        <is>
          <t>島根県</t>
        </is>
      </c>
      <c r="C8" s="5" t="inlineStr">
        <is>
          <t>松江市</t>
        </is>
      </c>
      <c r="D8" s="5" t="inlineStr">
        <is>
          <t>開星高等学校</t>
        </is>
      </c>
      <c r="E8" s="6" t="inlineStr">
        <is>
          <t>0852-21-4915</t>
        </is>
      </c>
      <c r="F8" s="7" t="inlineStr">
        <is>
          <t>高</t>
        </is>
      </c>
      <c r="G8" s="5" t="inlineStr">
        <is>
          <t>普通科</t>
        </is>
      </c>
      <c r="H8" s="8" t="n"/>
      <c r="I8" s="9" t="n"/>
      <c r="J8" s="9" t="inlineStr">
        <is>
          <t>未架電</t>
        </is>
      </c>
      <c r="K8" s="8" t="n"/>
      <c r="L8" s="9" t="n"/>
      <c r="M8" s="10" t="n"/>
      <c r="N8" s="11" t="inlineStr">
        <is>
          <t>https://shimane-kaisei.ed.jp/news/nyuushi/12016</t>
        </is>
      </c>
      <c r="O8" s="12" t="inlineStr">
        <is>
          <t>開く</t>
        </is>
      </c>
    </row>
    <row r="9">
      <c r="A9" s="4" t="n">
        <v>5</v>
      </c>
      <c r="B9" s="5" t="inlineStr">
        <is>
          <t>島根県</t>
        </is>
      </c>
      <c r="C9" s="5" t="inlineStr">
        <is>
          <t>江津市</t>
        </is>
      </c>
      <c r="D9" s="5" t="inlineStr">
        <is>
          <t>キリスト教愛真高等学校</t>
        </is>
      </c>
      <c r="E9" s="6" t="inlineStr">
        <is>
          <t>0855-52-5795</t>
        </is>
      </c>
      <c r="F9" s="7" t="inlineStr">
        <is>
          <t>高</t>
        </is>
      </c>
      <c r="G9" s="5" t="inlineStr">
        <is>
          <t>普通科</t>
        </is>
      </c>
      <c r="H9" s="8" t="n"/>
      <c r="I9" s="9" t="n"/>
      <c r="J9" s="9" t="inlineStr">
        <is>
          <t>未架電</t>
        </is>
      </c>
      <c r="K9" s="8" t="n"/>
      <c r="L9" s="9" t="n"/>
      <c r="M9" s="10" t="n"/>
      <c r="N9" s="11" t="inlineStr">
        <is>
          <t>https://aishinhigh.ed.jp/</t>
        </is>
      </c>
      <c r="O9" s="12" t="inlineStr">
        <is>
          <t>開く</t>
        </is>
      </c>
    </row>
    <row r="10">
      <c r="A10" s="4" t="n">
        <v>6</v>
      </c>
      <c r="B10" s="5" t="inlineStr">
        <is>
          <t>島根県</t>
        </is>
      </c>
      <c r="C10" s="5" t="inlineStr">
        <is>
          <t>松江市</t>
        </is>
      </c>
      <c r="D10" s="5" t="inlineStr">
        <is>
          <t>松徳学院高等学校</t>
        </is>
      </c>
      <c r="E10" s="6" t="inlineStr">
        <is>
          <t>0852-21-5478</t>
        </is>
      </c>
      <c r="F10" s="7" t="inlineStr">
        <is>
          <t>高</t>
        </is>
      </c>
      <c r="G10" s="5" t="inlineStr">
        <is>
          <t>普通科</t>
        </is>
      </c>
      <c r="H10" s="8" t="n"/>
      <c r="I10" s="9" t="n"/>
      <c r="J10" s="9" t="inlineStr">
        <is>
          <t>未架電</t>
        </is>
      </c>
      <c r="K10" s="8" t="n"/>
      <c r="L10" s="9" t="n"/>
      <c r="M10" s="10" t="inlineStr">
        <is>
          <t>島根県資料では0852-21-5578も併記</t>
        </is>
      </c>
      <c r="N10" s="11" t="inlineStr">
        <is>
          <t>https://shotoku-h.ed.jp/</t>
        </is>
      </c>
      <c r="O10" s="12" t="inlineStr">
        <is>
          <t>開く</t>
        </is>
      </c>
    </row>
    <row r="11">
      <c r="A11" s="4" t="n">
        <v>7</v>
      </c>
      <c r="B11" s="5" t="inlineStr">
        <is>
          <t>島根県</t>
        </is>
      </c>
      <c r="C11" s="5" t="inlineStr">
        <is>
          <t>益田市</t>
        </is>
      </c>
      <c r="D11" s="5" t="inlineStr">
        <is>
          <t>益田東高等学校</t>
        </is>
      </c>
      <c r="E11" s="6" t="inlineStr">
        <is>
          <t>0856-23-3435</t>
        </is>
      </c>
      <c r="F11" s="7" t="inlineStr">
        <is>
          <t>高</t>
        </is>
      </c>
      <c r="G11" s="5" t="inlineStr">
        <is>
          <t>普通科</t>
        </is>
      </c>
      <c r="H11" s="8" t="n"/>
      <c r="I11" s="9" t="n"/>
      <c r="J11" s="9" t="inlineStr">
        <is>
          <t>未架電</t>
        </is>
      </c>
      <c r="K11" s="8" t="n"/>
      <c r="L11" s="9" t="n"/>
      <c r="M11" s="10" t="n"/>
      <c r="N11" s="11" t="inlineStr">
        <is>
          <t>https://masuda-higashi.com/contact/</t>
        </is>
      </c>
      <c r="O11" s="12" t="inlineStr">
        <is>
          <t>開く</t>
        </is>
      </c>
    </row>
    <row r="12">
      <c r="A12" s="4" t="n">
        <v>8</v>
      </c>
      <c r="B12" s="5" t="inlineStr">
        <is>
          <t>島根県</t>
        </is>
      </c>
      <c r="C12" s="5" t="inlineStr">
        <is>
          <t>松江市</t>
        </is>
      </c>
      <c r="D12" s="5" t="inlineStr">
        <is>
          <t>松江西高等学校</t>
        </is>
      </c>
      <c r="E12" s="6" t="inlineStr">
        <is>
          <t>0852-21-2925</t>
        </is>
      </c>
      <c r="F12" s="7" t="inlineStr">
        <is>
          <t>高</t>
        </is>
      </c>
      <c r="G12" s="5" t="inlineStr">
        <is>
          <t>普通科・専門学科</t>
        </is>
      </c>
      <c r="H12" s="8" t="n"/>
      <c r="I12" s="9" t="n"/>
      <c r="J12" s="9" t="inlineStr">
        <is>
          <t>未架電</t>
        </is>
      </c>
      <c r="K12" s="8" t="n"/>
      <c r="L12" s="9" t="n"/>
      <c r="M12" s="10" t="n"/>
      <c r="N12" s="11" t="inlineStr">
        <is>
          <t>https://www.matsuenishi-h.ed.jp/inquiry</t>
        </is>
      </c>
      <c r="O12" s="12" t="inlineStr">
        <is>
          <t>開く</t>
        </is>
      </c>
    </row>
    <row r="13">
      <c r="A13" s="4" t="n">
        <v>9</v>
      </c>
      <c r="B13" s="5" t="inlineStr">
        <is>
          <t>島根県</t>
        </is>
      </c>
      <c r="C13" s="5" t="inlineStr">
        <is>
          <t>益田市</t>
        </is>
      </c>
      <c r="D13" s="5" t="inlineStr">
        <is>
          <t>明誠高等学校</t>
        </is>
      </c>
      <c r="E13" s="6" t="inlineStr">
        <is>
          <t>0856-22-1052</t>
        </is>
      </c>
      <c r="F13" s="7" t="inlineStr">
        <is>
          <t>高</t>
        </is>
      </c>
      <c r="G13" s="5" t="inlineStr">
        <is>
          <t>普通科・専門学科</t>
        </is>
      </c>
      <c r="H13" s="8" t="n"/>
      <c r="I13" s="9" t="n"/>
      <c r="J13" s="9" t="inlineStr">
        <is>
          <t>未架電</t>
        </is>
      </c>
      <c r="K13" s="8" t="n"/>
      <c r="L13" s="9" t="n"/>
      <c r="M13" s="10" t="inlineStr">
        <is>
          <t>全日制の番号。通信制課程は0856-23-6877</t>
        </is>
      </c>
      <c r="N13" s="11" t="inlineStr">
        <is>
          <t>https://www.meisei-masuda.ed.jp/</t>
        </is>
      </c>
      <c r="O13" s="12" t="inlineStr">
        <is>
          <t>開く</t>
        </is>
      </c>
    </row>
    <row r="14">
      <c r="A14" s="4" t="n">
        <v>10</v>
      </c>
      <c r="B14" s="5" t="inlineStr">
        <is>
          <t>島根県</t>
        </is>
      </c>
      <c r="C14" s="5" t="inlineStr">
        <is>
          <t>松江市</t>
        </is>
      </c>
      <c r="D14" s="5" t="inlineStr">
        <is>
          <t>立正大学淞南高等学校</t>
        </is>
      </c>
      <c r="E14" s="6" t="inlineStr">
        <is>
          <t>0852-21-9634</t>
        </is>
      </c>
      <c r="F14" s="7" t="inlineStr">
        <is>
          <t>高</t>
        </is>
      </c>
      <c r="G14" s="5" t="inlineStr">
        <is>
          <t>普通科</t>
        </is>
      </c>
      <c r="H14" s="8" t="n"/>
      <c r="I14" s="9" t="n"/>
      <c r="J14" s="9" t="inlineStr">
        <is>
          <t>未架電</t>
        </is>
      </c>
      <c r="K14" s="8" t="n"/>
      <c r="L14" s="9" t="n"/>
      <c r="M14" s="10" t="n"/>
      <c r="N14" s="11" t="inlineStr">
        <is>
          <t>https://www.shonangakuen-h.ed.jp/contact/</t>
        </is>
      </c>
      <c r="O14" s="12" t="inlineStr">
        <is>
          <t>開く</t>
        </is>
      </c>
    </row>
  </sheetData>
  <autoFilter ref="A4:O14"/>
  <conditionalFormatting sqref="A5:O14">
    <cfRule type="expression" priority="1" dxfId="0">
      <formula>$J5="アポ獲得"</formula>
    </cfRule>
    <cfRule type="expression" priority="2" dxfId="1">
      <formula>$J5="NG"</formula>
    </cfRule>
  </conditionalFormatting>
  <dataValidations count="2">
    <dataValidation sqref="J5:J14" showDropDown="0" showInputMessage="0" showErrorMessage="0" allowBlank="1" type="list">
      <formula1>"未架電,不在・折返し待ち,担当者不在,資料送付,アポ獲得,検討中,NG,番号不明"</formula1>
    </dataValidation>
    <dataValidation sqref="H5:H14 K5:K14" showDropDown="0" showInputMessage="0" showErrorMessage="0" allowBlank="1" errorTitle="日付" error="日付で入力してください（例：2026/10/9）" type="date" operator="greaterThan">
      <formula1>36526</formula1>
    </dataValidation>
  </dataValidations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  <hyperlink xmlns:r="http://schemas.openxmlformats.org/officeDocument/2006/relationships" ref="O14" r:id="rId10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市区町村別 進捗集計（架電リストの入力に連動して自動計算）</t>
        </is>
      </c>
    </row>
    <row r="3" ht="30" customHeight="1">
      <c r="A3" s="3" t="inlineStr">
        <is>
          <t>所在地</t>
        </is>
      </c>
      <c r="B3" s="3" t="inlineStr">
        <is>
          <t>学校数</t>
        </is>
      </c>
      <c r="C3" s="3" t="inlineStr">
        <is>
          <t>電話番号入力済</t>
        </is>
      </c>
      <c r="D3" s="3" t="inlineStr">
        <is>
          <t>架電済</t>
        </is>
      </c>
      <c r="E3" s="3" t="inlineStr">
        <is>
          <t>不在・折返し待ち</t>
        </is>
      </c>
      <c r="F3" s="3" t="inlineStr">
        <is>
          <t>担当者不在</t>
        </is>
      </c>
      <c r="G3" s="3" t="inlineStr">
        <is>
          <t>資料送付</t>
        </is>
      </c>
      <c r="H3" s="3" t="inlineStr">
        <is>
          <t>アポ獲得</t>
        </is>
      </c>
      <c r="I3" s="3" t="inlineStr">
        <is>
          <t>検討中</t>
        </is>
      </c>
      <c r="J3" s="3" t="inlineStr">
        <is>
          <t>NG</t>
        </is>
      </c>
      <c r="K3" s="3" t="inlineStr">
        <is>
          <t>番号不明</t>
        </is>
      </c>
    </row>
    <row r="4">
      <c r="A4" s="13" t="inlineStr">
        <is>
          <t>松江市</t>
        </is>
      </c>
      <c r="B4" s="13">
        <f>COUNTIF('架電リスト'!$C$5:$C$14,A4)</f>
        <v/>
      </c>
      <c r="C4" s="13">
        <f>COUNTIFS('架電リスト'!$C$5:$C$14,A4,'架電リスト'!$E$5:$E$14,"&lt;&gt;")</f>
        <v/>
      </c>
      <c r="D4" s="13">
        <f>B4-COUNTIFS('架電リスト'!$C$5:$C$14,A4,'架電リスト'!$J$5:$J$14,"未架電")-COUNTIFS('架電リスト'!$C$5:$C$14,A4,'架電リスト'!$J$5:$J$14,"")</f>
        <v/>
      </c>
      <c r="E4" s="13">
        <f>COUNTIFS('架電リスト'!$C$5:$C$14,$A4,'架電リスト'!$J$5:$J$14,"不在・折返し待ち")</f>
        <v/>
      </c>
      <c r="F4" s="13">
        <f>COUNTIFS('架電リスト'!$C$5:$C$14,$A4,'架電リスト'!$J$5:$J$14,"担当者不在")</f>
        <v/>
      </c>
      <c r="G4" s="13">
        <f>COUNTIFS('架電リスト'!$C$5:$C$14,$A4,'架電リスト'!$J$5:$J$14,"資料送付")</f>
        <v/>
      </c>
      <c r="H4" s="13">
        <f>COUNTIFS('架電リスト'!$C$5:$C$14,$A4,'架電リスト'!$J$5:$J$14,"アポ獲得")</f>
        <v/>
      </c>
      <c r="I4" s="13">
        <f>COUNTIFS('架電リスト'!$C$5:$C$14,$A4,'架電リスト'!$J$5:$J$14,"検討中")</f>
        <v/>
      </c>
      <c r="J4" s="13">
        <f>COUNTIFS('架電リスト'!$C$5:$C$14,$A4,'架電リスト'!$J$5:$J$14,"NG")</f>
        <v/>
      </c>
      <c r="K4" s="13">
        <f>COUNTIFS('架電リスト'!$C$5:$C$14,$A4,'架電リスト'!$J$5:$J$14,"番号不明")</f>
        <v/>
      </c>
    </row>
    <row r="5">
      <c r="A5" s="13" t="inlineStr">
        <is>
          <t>出雲市</t>
        </is>
      </c>
      <c r="B5" s="13">
        <f>COUNTIF('架電リスト'!$C$5:$C$14,A5)</f>
        <v/>
      </c>
      <c r="C5" s="13">
        <f>COUNTIFS('架電リスト'!$C$5:$C$14,A5,'架電リスト'!$E$5:$E$14,"&lt;&gt;")</f>
        <v/>
      </c>
      <c r="D5" s="13">
        <f>B5-COUNTIFS('架電リスト'!$C$5:$C$14,A5,'架電リスト'!$J$5:$J$14,"未架電")-COUNTIFS('架電リスト'!$C$5:$C$14,A5,'架電リスト'!$J$5:$J$14,"")</f>
        <v/>
      </c>
      <c r="E5" s="13">
        <f>COUNTIFS('架電リスト'!$C$5:$C$14,$A5,'架電リスト'!$J$5:$J$14,"不在・折返し待ち")</f>
        <v/>
      </c>
      <c r="F5" s="13">
        <f>COUNTIFS('架電リスト'!$C$5:$C$14,$A5,'架電リスト'!$J$5:$J$14,"担当者不在")</f>
        <v/>
      </c>
      <c r="G5" s="13">
        <f>COUNTIFS('架電リスト'!$C$5:$C$14,$A5,'架電リスト'!$J$5:$J$14,"資料送付")</f>
        <v/>
      </c>
      <c r="H5" s="13">
        <f>COUNTIFS('架電リスト'!$C$5:$C$14,$A5,'架電リスト'!$J$5:$J$14,"アポ獲得")</f>
        <v/>
      </c>
      <c r="I5" s="13">
        <f>COUNTIFS('架電リスト'!$C$5:$C$14,$A5,'架電リスト'!$J$5:$J$14,"検討中")</f>
        <v/>
      </c>
      <c r="J5" s="13">
        <f>COUNTIFS('架電リスト'!$C$5:$C$14,$A5,'架電リスト'!$J$5:$J$14,"NG")</f>
        <v/>
      </c>
      <c r="K5" s="13">
        <f>COUNTIFS('架電リスト'!$C$5:$C$14,$A5,'架電リスト'!$J$5:$J$14,"番号不明")</f>
        <v/>
      </c>
    </row>
    <row r="6">
      <c r="A6" s="13" t="inlineStr">
        <is>
          <t>江津市</t>
        </is>
      </c>
      <c r="B6" s="13">
        <f>COUNTIF('架電リスト'!$C$5:$C$14,A6)</f>
        <v/>
      </c>
      <c r="C6" s="13">
        <f>COUNTIFS('架電リスト'!$C$5:$C$14,A6,'架電リスト'!$E$5:$E$14,"&lt;&gt;")</f>
        <v/>
      </c>
      <c r="D6" s="13">
        <f>B6-COUNTIFS('架電リスト'!$C$5:$C$14,A6,'架電リスト'!$J$5:$J$14,"未架電")-COUNTIFS('架電リスト'!$C$5:$C$14,A6,'架電リスト'!$J$5:$J$14,"")</f>
        <v/>
      </c>
      <c r="E6" s="13">
        <f>COUNTIFS('架電リスト'!$C$5:$C$14,$A6,'架電リスト'!$J$5:$J$14,"不在・折返し待ち")</f>
        <v/>
      </c>
      <c r="F6" s="13">
        <f>COUNTIFS('架電リスト'!$C$5:$C$14,$A6,'架電リスト'!$J$5:$J$14,"担当者不在")</f>
        <v/>
      </c>
      <c r="G6" s="13">
        <f>COUNTIFS('架電リスト'!$C$5:$C$14,$A6,'架電リスト'!$J$5:$J$14,"資料送付")</f>
        <v/>
      </c>
      <c r="H6" s="13">
        <f>COUNTIFS('架電リスト'!$C$5:$C$14,$A6,'架電リスト'!$J$5:$J$14,"アポ獲得")</f>
        <v/>
      </c>
      <c r="I6" s="13">
        <f>COUNTIFS('架電リスト'!$C$5:$C$14,$A6,'架電リスト'!$J$5:$J$14,"検討中")</f>
        <v/>
      </c>
      <c r="J6" s="13">
        <f>COUNTIFS('架電リスト'!$C$5:$C$14,$A6,'架電リスト'!$J$5:$J$14,"NG")</f>
        <v/>
      </c>
      <c r="K6" s="13">
        <f>COUNTIFS('架電リスト'!$C$5:$C$14,$A6,'架電リスト'!$J$5:$J$14,"番号不明")</f>
        <v/>
      </c>
    </row>
    <row r="7">
      <c r="A7" s="13" t="inlineStr">
        <is>
          <t>益田市</t>
        </is>
      </c>
      <c r="B7" s="13">
        <f>COUNTIF('架電リスト'!$C$5:$C$14,A7)</f>
        <v/>
      </c>
      <c r="C7" s="13">
        <f>COUNTIFS('架電リスト'!$C$5:$C$14,A7,'架電リスト'!$E$5:$E$14,"&lt;&gt;")</f>
        <v/>
      </c>
      <c r="D7" s="13">
        <f>B7-COUNTIFS('架電リスト'!$C$5:$C$14,A7,'架電リスト'!$J$5:$J$14,"未架電")-COUNTIFS('架電リスト'!$C$5:$C$14,A7,'架電リスト'!$J$5:$J$14,"")</f>
        <v/>
      </c>
      <c r="E7" s="13">
        <f>COUNTIFS('架電リスト'!$C$5:$C$14,$A7,'架電リスト'!$J$5:$J$14,"不在・折返し待ち")</f>
        <v/>
      </c>
      <c r="F7" s="13">
        <f>COUNTIFS('架電リスト'!$C$5:$C$14,$A7,'架電リスト'!$J$5:$J$14,"担当者不在")</f>
        <v/>
      </c>
      <c r="G7" s="13">
        <f>COUNTIFS('架電リスト'!$C$5:$C$14,$A7,'架電リスト'!$J$5:$J$14,"資料送付")</f>
        <v/>
      </c>
      <c r="H7" s="13">
        <f>COUNTIFS('架電リスト'!$C$5:$C$14,$A7,'架電リスト'!$J$5:$J$14,"アポ獲得")</f>
        <v/>
      </c>
      <c r="I7" s="13">
        <f>COUNTIFS('架電リスト'!$C$5:$C$14,$A7,'架電リスト'!$J$5:$J$14,"検討中")</f>
        <v/>
      </c>
      <c r="J7" s="13">
        <f>COUNTIFS('架電リスト'!$C$5:$C$14,$A7,'架電リスト'!$J$5:$J$14,"NG")</f>
        <v/>
      </c>
      <c r="K7" s="13">
        <f>COUNTIFS('架電リスト'!$C$5:$C$14,$A7,'架電リスト'!$J$5:$J$14,"番号不明")</f>
        <v/>
      </c>
    </row>
    <row r="8">
      <c r="A8" s="14" t="inlineStr">
        <is>
          <t>合計</t>
        </is>
      </c>
      <c r="B8" s="14">
        <f>SUM(B4:B7)</f>
        <v/>
      </c>
      <c r="C8" s="14">
        <f>SUM(C4:C7)</f>
        <v/>
      </c>
      <c r="D8" s="14">
        <f>SUM(D4:D7)</f>
        <v/>
      </c>
      <c r="E8" s="14">
        <f>SUM(E4:E7)</f>
        <v/>
      </c>
      <c r="F8" s="14">
        <f>SUM(F4:F7)</f>
        <v/>
      </c>
      <c r="G8" s="14">
        <f>SUM(G4:G7)</f>
        <v/>
      </c>
      <c r="H8" s="14">
        <f>SUM(H4:H7)</f>
        <v/>
      </c>
      <c r="I8" s="14">
        <f>SUM(I4:I7)</f>
        <v/>
      </c>
      <c r="J8" s="14">
        <f>SUM(J4:J7)</f>
        <v/>
      </c>
      <c r="K8" s="14">
        <f>SUM(K4:K7)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5" t="inlineStr">
        <is>
          <t>■ 使い方</t>
        </is>
      </c>
    </row>
    <row r="2">
      <c r="A2" s="16" t="inlineStr">
        <is>
          <t>・「架電リスト」の黄色の列（電話番号・架電日・担当者・架電結果・次回連絡日・メモ）に入力してください。</t>
        </is>
      </c>
    </row>
    <row r="3">
      <c r="A3" s="16" t="inlineStr">
        <is>
          <t>・架電結果はプルダウンから選択します（アポ獲得＝緑、NG＝グレーで行が自動着色）。</t>
        </is>
      </c>
    </row>
    <row r="4">
      <c r="A4" s="16" t="inlineStr">
        <is>
          <t>・「学校情報ページ」の「開く」をクリックすると、学校ネットの各校ページが開きます。</t>
        </is>
      </c>
    </row>
    <row r="5">
      <c r="A5" s="16" t="inlineStr">
        <is>
          <t>・「番号の確度」：高＝公式サイト、または2つ以上の情報源で一致／中＝情報サイト1件のみ、または代表番号と断定できず（補足欄参照）／低・要調査＝特定できず。</t>
        </is>
      </c>
    </row>
    <row r="6">
      <c r="A6" s="16" t="inlineStr">
        <is>
          <t>・「電話番号の補足」に、代表番号の共有・別番号（入試事務局など）・移転などの注意を記載しています。架電前にご確認ください。</t>
        </is>
      </c>
    </row>
    <row r="7">
      <c r="A7" s="16" t="inlineStr">
        <is>
          <t>・都道府県や市区町村で絞り込む場合は、見出し行の▼（フィルター）を使用してください。</t>
        </is>
      </c>
    </row>
    <row r="8">
      <c r="A8" s="16" t="inlineStr">
        <is>
          <t>・集計シートは入力内容に連動して自動で集計されます。</t>
        </is>
      </c>
    </row>
    <row r="9">
      <c r="A9" s="16" t="inlineStr"/>
    </row>
    <row r="10">
      <c r="A10" s="15" t="inlineStr">
        <is>
          <t>■ 元データについての注意</t>
        </is>
      </c>
    </row>
    <row r="11">
      <c r="A11" s="16" t="inlineStr">
        <is>
          <t>・出典：ご提供いただいた学校ネットの検索結果（私立高校・島根県、10校）の貼り付けデータ。並び順は都道府県ごとに元データの掲載順です。</t>
        </is>
      </c>
    </row>
    <row r="12">
      <c r="A12" s="16" t="inlineStr">
        <is>
          <t>・電話番号は元データに記載がないため、2026年10月にWeb検索（学校公式サイト、JS日本の学校、みんなの高校情報、自治体・ハローワーク・各道県の私学協会の資料など）で調査しました。推測による補完はしていません。</t>
        </is>
      </c>
    </row>
    <row r="13">
      <c r="A13" s="16" t="inlineStr">
        <is>
          <t>・通信制（広域通信制）の学校は、所在地・電話番号とも本校のものです。架電先（本校／各キャンパス）にご注意ください。</t>
        </is>
      </c>
    </row>
    <row r="14">
      <c r="A14" s="16" t="inlineStr">
        <is>
          <t>・閉校・統合・校名変更などは反映されていない可能性があります。架電前にご確認ください。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2026-10-14T01:51:01Z</dcterms:created>
  <dcterms:modified xsi:type="dcterms:W3CDTF">2026-10-14T01:51:01Z</dcterms:modified>
</cp:coreProperties>
</file>