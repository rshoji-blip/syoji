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'架電リスト'!$A$4:$O$15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6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3884.html" TargetMode="External" Id="rId1" /><Relationship Type="http://schemas.openxmlformats.org/officeDocument/2006/relationships/hyperlink" Target="https://www.gakkou.net/kou/view/index_306629.html" TargetMode="External" Id="rId2" /><Relationship Type="http://schemas.openxmlformats.org/officeDocument/2006/relationships/hyperlink" Target="https://www.gakkou.net/kou/view/index_303878.html" TargetMode="External" Id="rId3" /><Relationship Type="http://schemas.openxmlformats.org/officeDocument/2006/relationships/hyperlink" Target="https://www.gakkou.net/kou/view/index_303868.html" TargetMode="External" Id="rId4" /><Relationship Type="http://schemas.openxmlformats.org/officeDocument/2006/relationships/hyperlink" Target="https://www.gakkou.net/kou/view/index_303887.html" TargetMode="External" Id="rId5" /><Relationship Type="http://schemas.openxmlformats.org/officeDocument/2006/relationships/hyperlink" Target="https://www.gakkou.net/kou/view/index_303894.html" TargetMode="External" Id="rId6" /><Relationship Type="http://schemas.openxmlformats.org/officeDocument/2006/relationships/hyperlink" Target="https://www.gakkou.net/kou/view/index_306364.html" TargetMode="External" Id="rId7" /><Relationship Type="http://schemas.openxmlformats.org/officeDocument/2006/relationships/hyperlink" Target="https://www.gakkou.net/kou/view/index_303844.html" TargetMode="External" Id="rId8" /><Relationship Type="http://schemas.openxmlformats.org/officeDocument/2006/relationships/hyperlink" Target="https://www.gakkou.net/kou/view/index_303846.html" TargetMode="External" Id="rId9" /><Relationship Type="http://schemas.openxmlformats.org/officeDocument/2006/relationships/hyperlink" Target="https://www.gakkou.net/kou/view/index_306448.html" TargetMode="External" Id="rId10" /><Relationship Type="http://schemas.openxmlformats.org/officeDocument/2006/relationships/hyperlink" Target="https://www.gakkou.net/kou/view/index_306571.html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架電リスト（滋賀県／11校）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滋賀県</t>
        </is>
      </c>
      <c r="C5" s="5" t="inlineStr">
        <is>
          <t>草津市</t>
        </is>
      </c>
      <c r="D5" s="5" t="inlineStr">
        <is>
          <t>綾羽高等学校</t>
        </is>
      </c>
      <c r="E5" s="6" t="inlineStr">
        <is>
          <t>077-563-3435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公式サイトに「代表」と記載。入試広報室は077-565-5821。定時制あり</t>
        </is>
      </c>
      <c r="N5" s="11" t="inlineStr">
        <is>
          <t>https://www.ayaha.ed.jp/access/</t>
        </is>
      </c>
      <c r="O5" s="12" t="inlineStr">
        <is>
          <t>開く</t>
        </is>
      </c>
    </row>
    <row r="6">
      <c r="A6" s="4" t="n">
        <v>2</v>
      </c>
      <c r="B6" s="5" t="inlineStr">
        <is>
          <t>滋賀県</t>
        </is>
      </c>
      <c r="C6" s="5" t="inlineStr">
        <is>
          <t>高島市</t>
        </is>
      </c>
      <c r="D6" s="5" t="inlineStr">
        <is>
          <t>ECC学園高等学校</t>
        </is>
      </c>
      <c r="E6" s="6" t="inlineStr">
        <is>
          <t>0740-24-8101</t>
        </is>
      </c>
      <c r="F6" s="7" t="inlineStr">
        <is>
          <t>高</t>
        </is>
      </c>
      <c r="G6" s="5" t="inlineStr">
        <is>
          <t>総合学科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通信制。高島市の本校の番号（公式サイト）。フリーダイヤル0120-027-144は全国向けの相談窓口</t>
        </is>
      </c>
      <c r="N6" s="11" t="inlineStr">
        <is>
          <t>https://www.ecc.ed.jp/about/overview.html ; https://www.mapion.co.jp/phonebook/M11004/25212/22530407740/</t>
        </is>
      </c>
      <c r="O6" s="12" t="inlineStr">
        <is>
          <t>開く</t>
        </is>
      </c>
    </row>
    <row r="7">
      <c r="A7" s="4" t="n">
        <v>3</v>
      </c>
      <c r="B7" s="5" t="inlineStr">
        <is>
          <t>滋賀県</t>
        </is>
      </c>
      <c r="C7" s="5" t="inlineStr">
        <is>
          <t>近江八幡市</t>
        </is>
      </c>
      <c r="D7" s="5" t="inlineStr">
        <is>
          <t>近江兄弟社高等学校</t>
        </is>
      </c>
      <c r="E7" s="6" t="inlineStr">
        <is>
          <t>0748-32-3444</t>
        </is>
      </c>
      <c r="F7" s="7" t="inlineStr">
        <is>
          <t>高</t>
        </is>
      </c>
      <c r="G7" s="5" t="inlineStr">
        <is>
          <t>普通科・専門学科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公式サイトで確認</t>
        </is>
      </c>
      <c r="N7" s="11" t="inlineStr">
        <is>
          <t>https://www.vories.ac.jp/omibh-shs</t>
        </is>
      </c>
      <c r="O7" s="12" t="inlineStr">
        <is>
          <t>開く</t>
        </is>
      </c>
    </row>
    <row r="8">
      <c r="A8" s="4" t="n">
        <v>4</v>
      </c>
      <c r="B8" s="5" t="inlineStr">
        <is>
          <t>滋賀県</t>
        </is>
      </c>
      <c r="C8" s="5" t="inlineStr">
        <is>
          <t>彦根市</t>
        </is>
      </c>
      <c r="D8" s="5" t="inlineStr">
        <is>
          <t>近江高等学校</t>
        </is>
      </c>
      <c r="E8" s="6" t="inlineStr">
        <is>
          <t>0749-22-2323</t>
        </is>
      </c>
      <c r="F8" s="7" t="inlineStr">
        <is>
          <t>高</t>
        </is>
      </c>
      <c r="G8" s="5" t="inlineStr">
        <is>
          <t>普通科・専門学科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公式サイトに「代表」と記載</t>
        </is>
      </c>
      <c r="N8" s="11" t="inlineStr">
        <is>
          <t>https://www.ohmi-h.ed.jp/information/access.php</t>
        </is>
      </c>
      <c r="O8" s="12" t="inlineStr">
        <is>
          <t>開く</t>
        </is>
      </c>
    </row>
    <row r="9">
      <c r="A9" s="4" t="n">
        <v>5</v>
      </c>
      <c r="B9" s="5" t="inlineStr">
        <is>
          <t>滋賀県</t>
        </is>
      </c>
      <c r="C9" s="5" t="inlineStr">
        <is>
          <t>草津市</t>
        </is>
      </c>
      <c r="D9" s="5" t="inlineStr">
        <is>
          <t>光泉カトリック高等学校</t>
        </is>
      </c>
      <c r="E9" s="6" t="inlineStr">
        <is>
          <t>077-564-5600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公式サイトに「代表」と記載。入試部は077-564-7771</t>
        </is>
      </c>
      <c r="N9" s="11" t="inlineStr">
        <is>
          <t>https://www.kousen.ed.jp/high/contact/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滋賀県</t>
        </is>
      </c>
      <c r="C10" s="5" t="inlineStr">
        <is>
          <t>東近江市</t>
        </is>
      </c>
      <c r="D10" s="5" t="inlineStr">
        <is>
          <t>滋賀学園高等学校</t>
        </is>
      </c>
      <c r="E10" s="6" t="inlineStr">
        <is>
          <t>0748-23-0858</t>
        </is>
      </c>
      <c r="F10" s="7" t="inlineStr">
        <is>
          <t>高</t>
        </is>
      </c>
      <c r="G10" s="5" t="inlineStr">
        <is>
          <t>普通科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公式サイトで確認</t>
        </is>
      </c>
      <c r="N10" s="11" t="inlineStr">
        <is>
          <t>https://www.shigagakuen.ed.jp/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滋賀県</t>
        </is>
      </c>
      <c r="C11" s="5" t="inlineStr">
        <is>
          <t>東近江市</t>
        </is>
      </c>
      <c r="D11" s="5" t="inlineStr">
        <is>
          <t>司学館高等学校</t>
        </is>
      </c>
      <c r="E11" s="6" t="inlineStr">
        <is>
          <t>0748-22-1176</t>
        </is>
      </c>
      <c r="F11" s="7" t="inlineStr">
        <is>
          <t>高</t>
        </is>
      </c>
      <c r="G11" s="5" t="inlineStr">
        <is>
          <t>普通科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通信制。複数サイトで一致、公式未確認</t>
        </is>
      </c>
      <c r="N11" s="11" t="inlineStr">
        <is>
          <t>https://www.mapion.co.jp/phonebook/M11004/25213/ILSP0000040974_ipclm/ ; https://miraitizu.com/tsushin-school/7364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滋賀県</t>
        </is>
      </c>
      <c r="C12" s="5" t="inlineStr">
        <is>
          <t>大津市</t>
        </is>
      </c>
      <c r="D12" s="5" t="inlineStr">
        <is>
          <t>滋賀短期大学附属高等学校</t>
        </is>
      </c>
      <c r="E12" s="6" t="inlineStr">
        <is>
          <t>0570-052-230</t>
        </is>
      </c>
      <c r="F12" s="13" t="inlineStr">
        <is>
          <t>中</t>
        </is>
      </c>
      <c r="G12" s="5" t="inlineStr">
        <is>
          <t>普通科・専門学科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公式の問い合わせページの代表はナビダイヤル（通話料がかかる番号）。従来の番号077-522-3465も公式アクセスページなどに掲載あり</t>
        </is>
      </c>
      <c r="N12" s="11" t="inlineStr">
        <is>
          <t>https://www.sumire.ac.jp/highschool/form/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滋賀県</t>
        </is>
      </c>
      <c r="C13" s="5" t="inlineStr">
        <is>
          <t>大津市</t>
        </is>
      </c>
      <c r="D13" s="5" t="inlineStr">
        <is>
          <t>比叡山高等学校</t>
        </is>
      </c>
      <c r="E13" s="6" t="inlineStr">
        <is>
          <t>077-578-0091</t>
        </is>
      </c>
      <c r="F13" s="7" t="inlineStr">
        <is>
          <t>高</t>
        </is>
      </c>
      <c r="G13" s="5" t="inlineStr">
        <is>
          <t>普通科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公式サイトで高校の番号として確認。077-578-0132は中学校の番号</t>
        </is>
      </c>
      <c r="N13" s="11" t="inlineStr">
        <is>
          <t>https://hieizan.ed.jp/hieizan-jh-hs/about/access/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滋賀県</t>
        </is>
      </c>
      <c r="C14" s="5" t="inlineStr">
        <is>
          <t>彦根市</t>
        </is>
      </c>
      <c r="D14" s="5" t="inlineStr">
        <is>
          <t>彦根総合高等学校</t>
        </is>
      </c>
      <c r="E14" s="6" t="inlineStr">
        <is>
          <t>0749-26-0016</t>
        </is>
      </c>
      <c r="F14" s="7" t="inlineStr">
        <is>
          <t>高</t>
        </is>
      </c>
      <c r="G14" s="5" t="inlineStr">
        <is>
          <t>総合学科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公式サイトに「代表」と記載。入試広報部は0749-24-7855</t>
        </is>
      </c>
      <c r="N14" s="11" t="inlineStr">
        <is>
          <t>https://hikosou.jp/contact/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滋賀県</t>
        </is>
      </c>
      <c r="C15" s="5" t="inlineStr">
        <is>
          <t>守山市</t>
        </is>
      </c>
      <c r="D15" s="5" t="inlineStr">
        <is>
          <t>立命館守山高等学校</t>
        </is>
      </c>
      <c r="E15" s="6" t="inlineStr">
        <is>
          <t>077-582-8000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中高共通の代表。守山市のサイトほかで一致</t>
        </is>
      </c>
      <c r="N15" s="11" t="inlineStr">
        <is>
          <t>https://www.city.moriyama.lg.jp/shisetsu/jidoushisetsu/1006181/1006184.html ; https://school.js88.com/scl_h/22012790</t>
        </is>
      </c>
      <c r="O15" s="12" t="inlineStr">
        <is>
          <t>開く</t>
        </is>
      </c>
    </row>
  </sheetData>
  <autoFilter ref="A4:O15"/>
  <conditionalFormatting sqref="A5:O15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15" showDropDown="0" showInputMessage="0" showErrorMessage="0" allowBlank="1" type="list">
      <formula1>"未架電,不在・折返し待ち,担当者不在,資料送付,アポ獲得,検討中,NG,番号不明"</formula1>
    </dataValidation>
    <dataValidation sqref="H5:H15 K5:K15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4" t="inlineStr">
        <is>
          <t>草津市</t>
        </is>
      </c>
      <c r="B4" s="14">
        <f>COUNTIF('架電リスト'!$C$5:$C$15,A4)</f>
        <v/>
      </c>
      <c r="C4" s="14">
        <f>COUNTIFS('架電リスト'!$C$5:$C$15,A4,'架電リスト'!$E$5:$E$15,"&lt;&gt;")</f>
        <v/>
      </c>
      <c r="D4" s="14">
        <f>B4-COUNTIFS('架電リスト'!$C$5:$C$15,A4,'架電リスト'!$J$5:$J$15,"未架電")-COUNTIFS('架電リスト'!$C$5:$C$15,A4,'架電リスト'!$J$5:$J$15,"")</f>
        <v/>
      </c>
      <c r="E4" s="14">
        <f>COUNTIFS('架電リスト'!$C$5:$C$15,$A4,'架電リスト'!$J$5:$J$15,"不在・折返し待ち")</f>
        <v/>
      </c>
      <c r="F4" s="14">
        <f>COUNTIFS('架電リスト'!$C$5:$C$15,$A4,'架電リスト'!$J$5:$J$15,"担当者不在")</f>
        <v/>
      </c>
      <c r="G4" s="14">
        <f>COUNTIFS('架電リスト'!$C$5:$C$15,$A4,'架電リスト'!$J$5:$J$15,"資料送付")</f>
        <v/>
      </c>
      <c r="H4" s="14">
        <f>COUNTIFS('架電リスト'!$C$5:$C$15,$A4,'架電リスト'!$J$5:$J$15,"アポ獲得")</f>
        <v/>
      </c>
      <c r="I4" s="14">
        <f>COUNTIFS('架電リスト'!$C$5:$C$15,$A4,'架電リスト'!$J$5:$J$15,"検討中")</f>
        <v/>
      </c>
      <c r="J4" s="14">
        <f>COUNTIFS('架電リスト'!$C$5:$C$15,$A4,'架電リスト'!$J$5:$J$15,"NG")</f>
        <v/>
      </c>
      <c r="K4" s="14">
        <f>COUNTIFS('架電リスト'!$C$5:$C$15,$A4,'架電リスト'!$J$5:$J$15,"番号不明")</f>
        <v/>
      </c>
    </row>
    <row r="5">
      <c r="A5" s="14" t="inlineStr">
        <is>
          <t>彦根市</t>
        </is>
      </c>
      <c r="B5" s="14">
        <f>COUNTIF('架電リスト'!$C$5:$C$15,A5)</f>
        <v/>
      </c>
      <c r="C5" s="14">
        <f>COUNTIFS('架電リスト'!$C$5:$C$15,A5,'架電リスト'!$E$5:$E$15,"&lt;&gt;")</f>
        <v/>
      </c>
      <c r="D5" s="14">
        <f>B5-COUNTIFS('架電リスト'!$C$5:$C$15,A5,'架電リスト'!$J$5:$J$15,"未架電")-COUNTIFS('架電リスト'!$C$5:$C$15,A5,'架電リスト'!$J$5:$J$15,"")</f>
        <v/>
      </c>
      <c r="E5" s="14">
        <f>COUNTIFS('架電リスト'!$C$5:$C$15,$A5,'架電リスト'!$J$5:$J$15,"不在・折返し待ち")</f>
        <v/>
      </c>
      <c r="F5" s="14">
        <f>COUNTIFS('架電リスト'!$C$5:$C$15,$A5,'架電リスト'!$J$5:$J$15,"担当者不在")</f>
        <v/>
      </c>
      <c r="G5" s="14">
        <f>COUNTIFS('架電リスト'!$C$5:$C$15,$A5,'架電リスト'!$J$5:$J$15,"資料送付")</f>
        <v/>
      </c>
      <c r="H5" s="14">
        <f>COUNTIFS('架電リスト'!$C$5:$C$15,$A5,'架電リスト'!$J$5:$J$15,"アポ獲得")</f>
        <v/>
      </c>
      <c r="I5" s="14">
        <f>COUNTIFS('架電リスト'!$C$5:$C$15,$A5,'架電リスト'!$J$5:$J$15,"検討中")</f>
        <v/>
      </c>
      <c r="J5" s="14">
        <f>COUNTIFS('架電リスト'!$C$5:$C$15,$A5,'架電リスト'!$J$5:$J$15,"NG")</f>
        <v/>
      </c>
      <c r="K5" s="14">
        <f>COUNTIFS('架電リスト'!$C$5:$C$15,$A5,'架電リスト'!$J$5:$J$15,"番号不明")</f>
        <v/>
      </c>
    </row>
    <row r="6">
      <c r="A6" s="14" t="inlineStr">
        <is>
          <t>東近江市</t>
        </is>
      </c>
      <c r="B6" s="14">
        <f>COUNTIF('架電リスト'!$C$5:$C$15,A6)</f>
        <v/>
      </c>
      <c r="C6" s="14">
        <f>COUNTIFS('架電リスト'!$C$5:$C$15,A6,'架電リスト'!$E$5:$E$15,"&lt;&gt;")</f>
        <v/>
      </c>
      <c r="D6" s="14">
        <f>B6-COUNTIFS('架電リスト'!$C$5:$C$15,A6,'架電リスト'!$J$5:$J$15,"未架電")-COUNTIFS('架電リスト'!$C$5:$C$15,A6,'架電リスト'!$J$5:$J$15,"")</f>
        <v/>
      </c>
      <c r="E6" s="14">
        <f>COUNTIFS('架電リスト'!$C$5:$C$15,$A6,'架電リスト'!$J$5:$J$15,"不在・折返し待ち")</f>
        <v/>
      </c>
      <c r="F6" s="14">
        <f>COUNTIFS('架電リスト'!$C$5:$C$15,$A6,'架電リスト'!$J$5:$J$15,"担当者不在")</f>
        <v/>
      </c>
      <c r="G6" s="14">
        <f>COUNTIFS('架電リスト'!$C$5:$C$15,$A6,'架電リスト'!$J$5:$J$15,"資料送付")</f>
        <v/>
      </c>
      <c r="H6" s="14">
        <f>COUNTIFS('架電リスト'!$C$5:$C$15,$A6,'架電リスト'!$J$5:$J$15,"アポ獲得")</f>
        <v/>
      </c>
      <c r="I6" s="14">
        <f>COUNTIFS('架電リスト'!$C$5:$C$15,$A6,'架電リスト'!$J$5:$J$15,"検討中")</f>
        <v/>
      </c>
      <c r="J6" s="14">
        <f>COUNTIFS('架電リスト'!$C$5:$C$15,$A6,'架電リスト'!$J$5:$J$15,"NG")</f>
        <v/>
      </c>
      <c r="K6" s="14">
        <f>COUNTIFS('架電リスト'!$C$5:$C$15,$A6,'架電リスト'!$J$5:$J$15,"番号不明")</f>
        <v/>
      </c>
    </row>
    <row r="7">
      <c r="A7" s="14" t="inlineStr">
        <is>
          <t>大津市</t>
        </is>
      </c>
      <c r="B7" s="14">
        <f>COUNTIF('架電リスト'!$C$5:$C$15,A7)</f>
        <v/>
      </c>
      <c r="C7" s="14">
        <f>COUNTIFS('架電リスト'!$C$5:$C$15,A7,'架電リスト'!$E$5:$E$15,"&lt;&gt;")</f>
        <v/>
      </c>
      <c r="D7" s="14">
        <f>B7-COUNTIFS('架電リスト'!$C$5:$C$15,A7,'架電リスト'!$J$5:$J$15,"未架電")-COUNTIFS('架電リスト'!$C$5:$C$15,A7,'架電リスト'!$J$5:$J$15,"")</f>
        <v/>
      </c>
      <c r="E7" s="14">
        <f>COUNTIFS('架電リスト'!$C$5:$C$15,$A7,'架電リスト'!$J$5:$J$15,"不在・折返し待ち")</f>
        <v/>
      </c>
      <c r="F7" s="14">
        <f>COUNTIFS('架電リスト'!$C$5:$C$15,$A7,'架電リスト'!$J$5:$J$15,"担当者不在")</f>
        <v/>
      </c>
      <c r="G7" s="14">
        <f>COUNTIFS('架電リスト'!$C$5:$C$15,$A7,'架電リスト'!$J$5:$J$15,"資料送付")</f>
        <v/>
      </c>
      <c r="H7" s="14">
        <f>COUNTIFS('架電リスト'!$C$5:$C$15,$A7,'架電リスト'!$J$5:$J$15,"アポ獲得")</f>
        <v/>
      </c>
      <c r="I7" s="14">
        <f>COUNTIFS('架電リスト'!$C$5:$C$15,$A7,'架電リスト'!$J$5:$J$15,"検討中")</f>
        <v/>
      </c>
      <c r="J7" s="14">
        <f>COUNTIFS('架電リスト'!$C$5:$C$15,$A7,'架電リスト'!$J$5:$J$15,"NG")</f>
        <v/>
      </c>
      <c r="K7" s="14">
        <f>COUNTIFS('架電リスト'!$C$5:$C$15,$A7,'架電リスト'!$J$5:$J$15,"番号不明")</f>
        <v/>
      </c>
    </row>
    <row r="8">
      <c r="A8" s="14" t="inlineStr">
        <is>
          <t>高島市</t>
        </is>
      </c>
      <c r="B8" s="14">
        <f>COUNTIF('架電リスト'!$C$5:$C$15,A8)</f>
        <v/>
      </c>
      <c r="C8" s="14">
        <f>COUNTIFS('架電リスト'!$C$5:$C$15,A8,'架電リスト'!$E$5:$E$15,"&lt;&gt;")</f>
        <v/>
      </c>
      <c r="D8" s="14">
        <f>B8-COUNTIFS('架電リスト'!$C$5:$C$15,A8,'架電リスト'!$J$5:$J$15,"未架電")-COUNTIFS('架電リスト'!$C$5:$C$15,A8,'架電リスト'!$J$5:$J$15,"")</f>
        <v/>
      </c>
      <c r="E8" s="14">
        <f>COUNTIFS('架電リスト'!$C$5:$C$15,$A8,'架電リスト'!$J$5:$J$15,"不在・折返し待ち")</f>
        <v/>
      </c>
      <c r="F8" s="14">
        <f>COUNTIFS('架電リスト'!$C$5:$C$15,$A8,'架電リスト'!$J$5:$J$15,"担当者不在")</f>
        <v/>
      </c>
      <c r="G8" s="14">
        <f>COUNTIFS('架電リスト'!$C$5:$C$15,$A8,'架電リスト'!$J$5:$J$15,"資料送付")</f>
        <v/>
      </c>
      <c r="H8" s="14">
        <f>COUNTIFS('架電リスト'!$C$5:$C$15,$A8,'架電リスト'!$J$5:$J$15,"アポ獲得")</f>
        <v/>
      </c>
      <c r="I8" s="14">
        <f>COUNTIFS('架電リスト'!$C$5:$C$15,$A8,'架電リスト'!$J$5:$J$15,"検討中")</f>
        <v/>
      </c>
      <c r="J8" s="14">
        <f>COUNTIFS('架電リスト'!$C$5:$C$15,$A8,'架電リスト'!$J$5:$J$15,"NG")</f>
        <v/>
      </c>
      <c r="K8" s="14">
        <f>COUNTIFS('架電リスト'!$C$5:$C$15,$A8,'架電リスト'!$J$5:$J$15,"番号不明")</f>
        <v/>
      </c>
    </row>
    <row r="9">
      <c r="A9" s="14" t="inlineStr">
        <is>
          <t>近江八幡市</t>
        </is>
      </c>
      <c r="B9" s="14">
        <f>COUNTIF('架電リスト'!$C$5:$C$15,A9)</f>
        <v/>
      </c>
      <c r="C9" s="14">
        <f>COUNTIFS('架電リスト'!$C$5:$C$15,A9,'架電リスト'!$E$5:$E$15,"&lt;&gt;")</f>
        <v/>
      </c>
      <c r="D9" s="14">
        <f>B9-COUNTIFS('架電リスト'!$C$5:$C$15,A9,'架電リスト'!$J$5:$J$15,"未架電")-COUNTIFS('架電リスト'!$C$5:$C$15,A9,'架電リスト'!$J$5:$J$15,"")</f>
        <v/>
      </c>
      <c r="E9" s="14">
        <f>COUNTIFS('架電リスト'!$C$5:$C$15,$A9,'架電リスト'!$J$5:$J$15,"不在・折返し待ち")</f>
        <v/>
      </c>
      <c r="F9" s="14">
        <f>COUNTIFS('架電リスト'!$C$5:$C$15,$A9,'架電リスト'!$J$5:$J$15,"担当者不在")</f>
        <v/>
      </c>
      <c r="G9" s="14">
        <f>COUNTIFS('架電リスト'!$C$5:$C$15,$A9,'架電リスト'!$J$5:$J$15,"資料送付")</f>
        <v/>
      </c>
      <c r="H9" s="14">
        <f>COUNTIFS('架電リスト'!$C$5:$C$15,$A9,'架電リスト'!$J$5:$J$15,"アポ獲得")</f>
        <v/>
      </c>
      <c r="I9" s="14">
        <f>COUNTIFS('架電リスト'!$C$5:$C$15,$A9,'架電リスト'!$J$5:$J$15,"検討中")</f>
        <v/>
      </c>
      <c r="J9" s="14">
        <f>COUNTIFS('架電リスト'!$C$5:$C$15,$A9,'架電リスト'!$J$5:$J$15,"NG")</f>
        <v/>
      </c>
      <c r="K9" s="14">
        <f>COUNTIFS('架電リスト'!$C$5:$C$15,$A9,'架電リスト'!$J$5:$J$15,"番号不明")</f>
        <v/>
      </c>
    </row>
    <row r="10">
      <c r="A10" s="14" t="inlineStr">
        <is>
          <t>守山市</t>
        </is>
      </c>
      <c r="B10" s="14">
        <f>COUNTIF('架電リスト'!$C$5:$C$15,A10)</f>
        <v/>
      </c>
      <c r="C10" s="14">
        <f>COUNTIFS('架電リスト'!$C$5:$C$15,A10,'架電リスト'!$E$5:$E$15,"&lt;&gt;")</f>
        <v/>
      </c>
      <c r="D10" s="14">
        <f>B10-COUNTIFS('架電リスト'!$C$5:$C$15,A10,'架電リスト'!$J$5:$J$15,"未架電")-COUNTIFS('架電リスト'!$C$5:$C$15,A10,'架電リスト'!$J$5:$J$15,"")</f>
        <v/>
      </c>
      <c r="E10" s="14">
        <f>COUNTIFS('架電リスト'!$C$5:$C$15,$A10,'架電リスト'!$J$5:$J$15,"不在・折返し待ち")</f>
        <v/>
      </c>
      <c r="F10" s="14">
        <f>COUNTIFS('架電リスト'!$C$5:$C$15,$A10,'架電リスト'!$J$5:$J$15,"担当者不在")</f>
        <v/>
      </c>
      <c r="G10" s="14">
        <f>COUNTIFS('架電リスト'!$C$5:$C$15,$A10,'架電リスト'!$J$5:$J$15,"資料送付")</f>
        <v/>
      </c>
      <c r="H10" s="14">
        <f>COUNTIFS('架電リスト'!$C$5:$C$15,$A10,'架電リスト'!$J$5:$J$15,"アポ獲得")</f>
        <v/>
      </c>
      <c r="I10" s="14">
        <f>COUNTIFS('架電リスト'!$C$5:$C$15,$A10,'架電リスト'!$J$5:$J$15,"検討中")</f>
        <v/>
      </c>
      <c r="J10" s="14">
        <f>COUNTIFS('架電リスト'!$C$5:$C$15,$A10,'架電リスト'!$J$5:$J$15,"NG")</f>
        <v/>
      </c>
      <c r="K10" s="14">
        <f>COUNTIFS('架電リスト'!$C$5:$C$15,$A10,'架電リスト'!$J$5:$J$15,"番号不明")</f>
        <v/>
      </c>
    </row>
    <row r="11">
      <c r="A11" s="15" t="inlineStr">
        <is>
          <t>合計</t>
        </is>
      </c>
      <c r="B11" s="15">
        <f>SUM(B4:B10)</f>
        <v/>
      </c>
      <c r="C11" s="15">
        <f>SUM(C4:C10)</f>
        <v/>
      </c>
      <c r="D11" s="15">
        <f>SUM(D4:D10)</f>
        <v/>
      </c>
      <c r="E11" s="15">
        <f>SUM(E4:E10)</f>
        <v/>
      </c>
      <c r="F11" s="15">
        <f>SUM(F4:F10)</f>
        <v/>
      </c>
      <c r="G11" s="15">
        <f>SUM(G4:G10)</f>
        <v/>
      </c>
      <c r="H11" s="15">
        <f>SUM(H4:H10)</f>
        <v/>
      </c>
      <c r="I11" s="15">
        <f>SUM(I4:I10)</f>
        <v/>
      </c>
      <c r="J11" s="15">
        <f>SUM(J4:J10)</f>
        <v/>
      </c>
      <c r="K11" s="15">
        <f>SUM(K4:K10)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6" t="inlineStr">
        <is>
          <t>■ 使い方</t>
        </is>
      </c>
    </row>
    <row r="2">
      <c r="A2" s="17" t="inlineStr">
        <is>
          <t>・「架電リスト」の黄色の列（電話番号・架電日・担当者・架電結果・次回連絡日・メモ）に入力してください。</t>
        </is>
      </c>
    </row>
    <row r="3">
      <c r="A3" s="17" t="inlineStr">
        <is>
          <t>・架電結果はプルダウンから選択します（アポ獲得＝緑、NG＝グレーで行が自動着色）。</t>
        </is>
      </c>
    </row>
    <row r="4">
      <c r="A4" s="17" t="inlineStr">
        <is>
          <t>・「学校情報ページ」の「開く」をクリックすると、学校ネットの各校ページが開きます。</t>
        </is>
      </c>
    </row>
    <row r="5">
      <c r="A5" s="17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7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7" t="inlineStr">
        <is>
          <t>・都道府県や市区町村で絞り込む場合は、見出し行の▼（フィルター）を使用してください。</t>
        </is>
      </c>
    </row>
    <row r="8">
      <c r="A8" s="17" t="inlineStr">
        <is>
          <t>・集計シートは入力内容に連動して自動で集計されます。</t>
        </is>
      </c>
    </row>
    <row r="9">
      <c r="A9" s="17" t="inlineStr"/>
    </row>
    <row r="10">
      <c r="A10" s="16" t="inlineStr">
        <is>
          <t>■ 元データについての注意</t>
        </is>
      </c>
    </row>
    <row r="11">
      <c r="A11" s="17" t="inlineStr">
        <is>
          <t>・出典：ご提供いただいた学校ネットの検索結果（私立高校・滋賀県、11校）の貼り付けデータ。並び順は都道府県ごとに元データの掲載順です。</t>
        </is>
      </c>
    </row>
    <row r="12">
      <c r="A12" s="17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7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7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2026-10-14T00:59:27Z</dcterms:created>
  <dcterms:modified xsi:type="dcterms:W3CDTF">2026-10-14T00:59:27Z</dcterms:modified>
</cp:coreProperties>
</file>