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'架電リスト'!$A$4:$O$23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49" fontId="4" fillId="3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3156.html" TargetMode="External" Id="rId1" /><Relationship Type="http://schemas.openxmlformats.org/officeDocument/2006/relationships/hyperlink" Target="https://www.gakkou.net/kou/view/index_303181.html" TargetMode="External" Id="rId2" /><Relationship Type="http://schemas.openxmlformats.org/officeDocument/2006/relationships/hyperlink" Target="https://www.gakkou.net/kou/view/index_303112.html" TargetMode="External" Id="rId3" /><Relationship Type="http://schemas.openxmlformats.org/officeDocument/2006/relationships/hyperlink" Target="https://www.gakkou.net/kou/view/index_303129.html" TargetMode="External" Id="rId4" /><Relationship Type="http://schemas.openxmlformats.org/officeDocument/2006/relationships/hyperlink" Target="https://www.gakkou.net/kou/view/index_303102.html" TargetMode="External" Id="rId5" /><Relationship Type="http://schemas.openxmlformats.org/officeDocument/2006/relationships/hyperlink" Target="https://www.gakkou.net/kou/view/index_306550.html" TargetMode="External" Id="rId6" /><Relationship Type="http://schemas.openxmlformats.org/officeDocument/2006/relationships/hyperlink" Target="https://www.gakkou.net/kou/view/index_306445.html" TargetMode="External" Id="rId7" /><Relationship Type="http://schemas.openxmlformats.org/officeDocument/2006/relationships/hyperlink" Target="https://www.gakkou.net/kou/view/index_306432.html" TargetMode="External" Id="rId8" /><Relationship Type="http://schemas.openxmlformats.org/officeDocument/2006/relationships/hyperlink" Target="https://www.gakkou.net/kou/view/index_306655.html" TargetMode="External" Id="rId9" /><Relationship Type="http://schemas.openxmlformats.org/officeDocument/2006/relationships/hyperlink" Target="https://www.gakkou.net/kou/view/index_303143.html" TargetMode="External" Id="rId10" /><Relationship Type="http://schemas.openxmlformats.org/officeDocument/2006/relationships/hyperlink" Target="https://www.gakkou.net/kou/view/index_303175.html" TargetMode="External" Id="rId11" /><Relationship Type="http://schemas.openxmlformats.org/officeDocument/2006/relationships/hyperlink" Target="https://www.gakkou.net/kou/view/index_303117.html" TargetMode="External" Id="rId12" /><Relationship Type="http://schemas.openxmlformats.org/officeDocument/2006/relationships/hyperlink" Target="https://www.gakkou.net/kou/view/index_303067.html" TargetMode="External" Id="rId13" /><Relationship Type="http://schemas.openxmlformats.org/officeDocument/2006/relationships/hyperlink" Target="https://www.gakkou.net/kou/view/index_303064.html" TargetMode="External" Id="rId14" /><Relationship Type="http://schemas.openxmlformats.org/officeDocument/2006/relationships/hyperlink" Target="https://www.gakkou.net/kou/view/index_303074.html" TargetMode="External" Id="rId15" /><Relationship Type="http://schemas.openxmlformats.org/officeDocument/2006/relationships/hyperlink" Target="https://www.gakkou.net/kou/view/index_303068.html" TargetMode="External" Id="rId16" /><Relationship Type="http://schemas.openxmlformats.org/officeDocument/2006/relationships/hyperlink" Target="https://www.gakkou.net/kou/view/index_303133.html" TargetMode="External" Id="rId17" /><Relationship Type="http://schemas.openxmlformats.org/officeDocument/2006/relationships/hyperlink" Target="https://www.gakkou.net/kou/view/index_303137.html" TargetMode="External" Id="rId18" /><Relationship Type="http://schemas.openxmlformats.org/officeDocument/2006/relationships/hyperlink" Target="https://www.gakkou.net/kou/view/index_303130.html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3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架電リスト（長野県／19校）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長野県</t>
        </is>
      </c>
      <c r="C5" s="5" t="inlineStr">
        <is>
          <t>飯田市</t>
        </is>
      </c>
      <c r="D5" s="5" t="inlineStr">
        <is>
          <t>飯田女子高等学校</t>
        </is>
      </c>
      <c r="E5" s="6" t="inlineStr">
        <is>
          <t>0265-22-1386</t>
        </is>
      </c>
      <c r="F5" s="7" t="inlineStr">
        <is>
          <t>高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公式サイトで確認</t>
        </is>
      </c>
      <c r="N5" s="11" t="inlineStr">
        <is>
          <t>https://i-joshi.com/contact ; https://www.mapion.co.jp/phonebook/M11004/20205/ILSP0000041878_ipclm/</t>
        </is>
      </c>
      <c r="O5" s="12" t="inlineStr">
        <is>
          <t>開く</t>
        </is>
      </c>
    </row>
    <row r="6">
      <c r="A6" s="4" t="n">
        <v>2</v>
      </c>
      <c r="B6" s="5" t="inlineStr">
        <is>
          <t>長野県</t>
        </is>
      </c>
      <c r="C6" s="5" t="inlineStr">
        <is>
          <t>伊那市</t>
        </is>
      </c>
      <c r="D6" s="5" t="inlineStr">
        <is>
          <t>伊那西高等学校</t>
        </is>
      </c>
      <c r="E6" s="6" t="inlineStr">
        <is>
          <t>0265-72-4091</t>
        </is>
      </c>
      <c r="F6" s="7" t="inlineStr">
        <is>
          <t>高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公式サイトで確認</t>
        </is>
      </c>
      <c r="N6" s="11" t="inlineStr">
        <is>
          <t>https://www.inanishi.net/ ; https://www.mapion.co.jp/phonebook/M11004/20209/ILSP0000040644_ipclm/</t>
        </is>
      </c>
      <c r="O6" s="12" t="inlineStr">
        <is>
          <t>開く</t>
        </is>
      </c>
    </row>
    <row r="7">
      <c r="A7" s="4" t="n">
        <v>3</v>
      </c>
      <c r="B7" s="5" t="inlineStr">
        <is>
          <t>長野県</t>
        </is>
      </c>
      <c r="C7" s="5" t="inlineStr">
        <is>
          <t>上田市</t>
        </is>
      </c>
      <c r="D7" s="5" t="inlineStr">
        <is>
          <t>上田西高等学校</t>
        </is>
      </c>
      <c r="E7" s="6" t="inlineStr">
        <is>
          <t>0268-22-0412</t>
        </is>
      </c>
      <c r="F7" s="7" t="inlineStr">
        <is>
          <t>高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公式サイトで確認</t>
        </is>
      </c>
      <c r="N7" s="11" t="inlineStr">
        <is>
          <t>https://uedanishi.ed.jp/access/</t>
        </is>
      </c>
      <c r="O7" s="12" t="inlineStr">
        <is>
          <t>開く</t>
        </is>
      </c>
    </row>
    <row r="8">
      <c r="A8" s="4" t="n">
        <v>4</v>
      </c>
      <c r="B8" s="5" t="inlineStr">
        <is>
          <t>長野県</t>
        </is>
      </c>
      <c r="C8" s="5" t="inlineStr">
        <is>
          <t>松本市</t>
        </is>
      </c>
      <c r="D8" s="5" t="inlineStr">
        <is>
          <t>エクセラン高等学校</t>
        </is>
      </c>
      <c r="E8" s="6" t="inlineStr">
        <is>
          <t>0263-32-3701</t>
        </is>
      </c>
      <c r="F8" s="7" t="inlineStr">
        <is>
          <t>高</t>
        </is>
      </c>
      <c r="G8" s="5" t="inlineStr">
        <is>
          <t>普通科・専門学科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公式サイトの事務室の番号</t>
        </is>
      </c>
      <c r="N8" s="11" t="inlineStr">
        <is>
          <t>https://www.excellent.ed.jp/school-information/</t>
        </is>
      </c>
      <c r="O8" s="12" t="inlineStr">
        <is>
          <t>開く</t>
        </is>
      </c>
    </row>
    <row r="9">
      <c r="A9" s="4" t="n">
        <v>5</v>
      </c>
      <c r="B9" s="5" t="inlineStr">
        <is>
          <t>長野県</t>
        </is>
      </c>
      <c r="C9" s="5" t="inlineStr">
        <is>
          <t>佐久市</t>
        </is>
      </c>
      <c r="D9" s="5" t="inlineStr">
        <is>
          <t>佐久長聖高等学校</t>
        </is>
      </c>
      <c r="E9" s="6" t="inlineStr">
        <is>
          <t>0267-68-5588</t>
        </is>
      </c>
      <c r="F9" s="7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公式サイトで確認。中学校は別番号（0267-68-6688）</t>
        </is>
      </c>
      <c r="N9" s="11" t="inlineStr">
        <is>
          <t>https://sakuchosei.ed.jp/contact/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長野県</t>
        </is>
      </c>
      <c r="C10" s="5" t="inlineStr">
        <is>
          <t>上田市</t>
        </is>
      </c>
      <c r="D10" s="5" t="inlineStr">
        <is>
          <t>さくら国際高等学校</t>
        </is>
      </c>
      <c r="E10" s="6" t="inlineStr">
        <is>
          <t>0268-39-7707</t>
        </is>
      </c>
      <c r="F10" s="7" t="inlineStr">
        <is>
          <t>高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通信制。上田本校の番号（公式サイト）</t>
        </is>
      </c>
      <c r="N10" s="11" t="inlineStr">
        <is>
          <t>https://sakura-kokusai.ed.jp/access/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長野県</t>
        </is>
      </c>
      <c r="C11" s="5" t="inlineStr">
        <is>
          <t>松本市</t>
        </is>
      </c>
      <c r="D11" s="5" t="inlineStr">
        <is>
          <t>信濃むつみ高等学校</t>
        </is>
      </c>
      <c r="E11" s="6" t="inlineStr">
        <is>
          <t>0263-27-3700</t>
        </is>
      </c>
      <c r="F11" s="7" t="inlineStr">
        <is>
          <t>高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通信制。公式サイトで確認（平日9:30〜18:30）</t>
        </is>
      </c>
      <c r="N11" s="11" t="inlineStr">
        <is>
          <t>https://www.terra.ed.jp/contact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長野県</t>
        </is>
      </c>
      <c r="C12" s="5" t="inlineStr">
        <is>
          <t>佐久市</t>
        </is>
      </c>
      <c r="D12" s="5" t="inlineStr">
        <is>
          <t>地球環境高等学校</t>
        </is>
      </c>
      <c r="E12" s="6" t="inlineStr">
        <is>
          <t>0267-63-1411</t>
        </is>
      </c>
      <c r="F12" s="7" t="inlineStr">
        <is>
          <t>高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通信制。佐久本校の番号（公式サイト）。フリーダイヤル0120-390-117もあり</t>
        </is>
      </c>
      <c r="N12" s="11" t="inlineStr">
        <is>
          <t>https://earth.ac.jp/pages/25/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長野県</t>
        </is>
      </c>
      <c r="C13" s="5" t="inlineStr">
        <is>
          <t>天龍村</t>
        </is>
      </c>
      <c r="D13" s="5" t="inlineStr">
        <is>
          <t>天龍興譲高等学校</t>
        </is>
      </c>
      <c r="E13" s="13" t="n"/>
      <c r="F13" s="14" t="inlineStr">
        <is>
          <t>要調査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通信制。【閉校の可能性】法人サイトに「閉校のお知らせ」あり。候補：0260-32-3581（高校総務部）／0260-32-3755（学園相談室）</t>
        </is>
      </c>
      <c r="N13" s="11" t="inlineStr">
        <is>
          <t>https://www.donguri-gakuen.jp/entry-2/ ; https://map.yahoo.co.jp/v3/place/G0mevp8o9t2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長野県</t>
        </is>
      </c>
      <c r="C14" s="5" t="inlineStr">
        <is>
          <t>茅野市</t>
        </is>
      </c>
      <c r="D14" s="5" t="inlineStr">
        <is>
          <t>東海大学付属諏訪高等学校</t>
        </is>
      </c>
      <c r="E14" s="6" t="inlineStr">
        <is>
          <t>0266-72-3147</t>
        </is>
      </c>
      <c r="F14" s="7" t="inlineStr">
        <is>
          <t>高</t>
        </is>
      </c>
      <c r="G14" s="5" t="inlineStr">
        <is>
          <t>普通科・専門学科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公式サイトに「代表」と記載</t>
        </is>
      </c>
      <c r="N14" s="11" t="inlineStr">
        <is>
          <t>https://www.suwa.tokai.ed.jp/contact/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長野県</t>
        </is>
      </c>
      <c r="C15" s="5" t="inlineStr">
        <is>
          <t>塩尻市</t>
        </is>
      </c>
      <c r="D15" s="5" t="inlineStr">
        <is>
          <t>東京都市大学塩尻高等学校</t>
        </is>
      </c>
      <c r="E15" s="6" t="inlineStr">
        <is>
          <t>0263-88-0104</t>
        </is>
      </c>
      <c r="F15" s="7" t="inlineStr">
        <is>
          <t>高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公式サイトほかで一致</t>
        </is>
      </c>
      <c r="N15" s="11" t="inlineStr">
        <is>
          <t>https://www.tcu-shiojiri.ed.jp/ ; https://itp.ne.jp/info/200174033181650060/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長野県</t>
        </is>
      </c>
      <c r="C16" s="5" t="inlineStr">
        <is>
          <t>長野市</t>
        </is>
      </c>
      <c r="D16" s="5" t="inlineStr">
        <is>
          <t>長野俊英高等学校</t>
        </is>
      </c>
      <c r="E16" s="6" t="inlineStr">
        <is>
          <t>026-292-0726</t>
        </is>
      </c>
      <c r="F16" s="7" t="inlineStr">
        <is>
          <t>高</t>
        </is>
      </c>
      <c r="G16" s="5" t="inlineStr">
        <is>
          <t>普通科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2つの情報源で一致</t>
        </is>
      </c>
      <c r="N16" s="11" t="inlineStr">
        <is>
          <t>https://www.mapion.co.jp/phonebook/M11004/20201/ILSP0000041052_ipclm/ ; https://www.nagano-pta.org/link/school/96.html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長野県</t>
        </is>
      </c>
      <c r="C17" s="5" t="inlineStr">
        <is>
          <t>長野市</t>
        </is>
      </c>
      <c r="D17" s="5" t="inlineStr">
        <is>
          <t>長野女子高等学校</t>
        </is>
      </c>
      <c r="E17" s="6" t="inlineStr">
        <is>
          <t>026-241-6800</t>
        </is>
      </c>
      <c r="F17" s="7" t="inlineStr">
        <is>
          <t>高</t>
        </is>
      </c>
      <c r="G17" s="5" t="inlineStr">
        <is>
          <t>普通科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【休校中】長野県の私立高校名簿（2026年4月時点）に「休校中」と記載。架電の要否をご判断ください</t>
        </is>
      </c>
      <c r="N17" s="11" t="inlineStr">
        <is>
          <t>https://www.pref.nagano.lg.jp/ken-manabi/kyoiku/gakkoukou/koukou/koukou/mebo.html ; https://www.mapion.co.jp/phonebook/M11004/20201/ILSP0000040749_ipclm/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長野県</t>
        </is>
      </c>
      <c r="C18" s="5" t="inlineStr">
        <is>
          <t>長野市</t>
        </is>
      </c>
      <c r="D18" s="5" t="inlineStr">
        <is>
          <t>長野清泉女学院高等学校</t>
        </is>
      </c>
      <c r="E18" s="6" t="inlineStr">
        <is>
          <t>026-234-2301</t>
        </is>
      </c>
      <c r="F18" s="7" t="inlineStr">
        <is>
          <t>高</t>
        </is>
      </c>
      <c r="G18" s="5" t="inlineStr">
        <is>
          <t>普通科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公式サイトで確認。中高共通。026-219-1650は大学の番号</t>
        </is>
      </c>
      <c r="N18" s="11" t="inlineStr">
        <is>
          <t>https://www.seisen.ed.jp/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長野県</t>
        </is>
      </c>
      <c r="C19" s="5" t="inlineStr">
        <is>
          <t>長野市</t>
        </is>
      </c>
      <c r="D19" s="5" t="inlineStr">
        <is>
          <t>長野日本大学高等学校</t>
        </is>
      </c>
      <c r="E19" s="6" t="inlineStr">
        <is>
          <t>026-243-1079</t>
        </is>
      </c>
      <c r="F19" s="7" t="inlineStr">
        <is>
          <t>高</t>
        </is>
      </c>
      <c r="G19" s="5" t="inlineStr">
        <is>
          <t>普通科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inlineStr">
        <is>
          <t>複数の情報源で一致</t>
        </is>
      </c>
      <c r="N19" s="11" t="inlineStr">
        <is>
          <t>https://www.mapion.co.jp/phonebook/M11004/20201/ILSP0000041769_ipclm/ ; https://www.nagano-pta.org/link/school/115.html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長野県</t>
        </is>
      </c>
      <c r="C20" s="5" t="inlineStr">
        <is>
          <t>長野市</t>
        </is>
      </c>
      <c r="D20" s="5" t="inlineStr">
        <is>
          <t>文化学園長野高等学校</t>
        </is>
      </c>
      <c r="E20" s="6" t="inlineStr">
        <is>
          <t>026-226-8386</t>
        </is>
      </c>
      <c r="F20" s="7" t="inlineStr">
        <is>
          <t>高</t>
        </is>
      </c>
      <c r="G20" s="5" t="inlineStr">
        <is>
          <t>普通科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inlineStr">
        <is>
          <t>法人の公式サイトとマピオンで一致</t>
        </is>
      </c>
      <c r="N20" s="11" t="inlineStr">
        <is>
          <t>http://www.gakuen-nagano.ac.jp/ ; https://www.mapion.co.jp/phonebook/M11004/20201/ILSP0000041410_ipclm/</t>
        </is>
      </c>
      <c r="O20" s="12" t="inlineStr">
        <is>
          <t>開く</t>
        </is>
      </c>
    </row>
    <row r="21">
      <c r="A21" s="4" t="n">
        <v>17</v>
      </c>
      <c r="B21" s="5" t="inlineStr">
        <is>
          <t>長野県</t>
        </is>
      </c>
      <c r="C21" s="5" t="inlineStr">
        <is>
          <t>松本市</t>
        </is>
      </c>
      <c r="D21" s="5" t="inlineStr">
        <is>
          <t>松商学園高等学校</t>
        </is>
      </c>
      <c r="E21" s="6" t="inlineStr">
        <is>
          <t>0263-33-1210</t>
        </is>
      </c>
      <c r="F21" s="7" t="inlineStr">
        <is>
          <t>高</t>
        </is>
      </c>
      <c r="G21" s="5" t="inlineStr">
        <is>
          <t>普通科・専門学科</t>
        </is>
      </c>
      <c r="H21" s="8" t="n"/>
      <c r="I21" s="9" t="n"/>
      <c r="J21" s="9" t="inlineStr">
        <is>
          <t>未架電</t>
        </is>
      </c>
      <c r="K21" s="8" t="n"/>
      <c r="L21" s="9" t="n"/>
      <c r="M21" s="10" t="inlineStr">
        <is>
          <t>公式サイトで確認（0263-33-1212を載せるサイトは誤り）。通信制は0263-48-7285</t>
        </is>
      </c>
      <c r="N21" s="11" t="inlineStr">
        <is>
          <t>https://www.matsusho-h.ed.jp/about-school/access.php</t>
        </is>
      </c>
      <c r="O21" s="12" t="inlineStr">
        <is>
          <t>開く</t>
        </is>
      </c>
    </row>
    <row r="22">
      <c r="A22" s="4" t="n">
        <v>18</v>
      </c>
      <c r="B22" s="5" t="inlineStr">
        <is>
          <t>長野県</t>
        </is>
      </c>
      <c r="C22" s="5" t="inlineStr">
        <is>
          <t>松本市</t>
        </is>
      </c>
      <c r="D22" s="5" t="inlineStr">
        <is>
          <t>松本国際高等学校</t>
        </is>
      </c>
      <c r="E22" s="6" t="inlineStr">
        <is>
          <t>0263-88-0033</t>
        </is>
      </c>
      <c r="F22" s="7" t="inlineStr">
        <is>
          <t>高</t>
        </is>
      </c>
      <c r="G22" s="5" t="inlineStr">
        <is>
          <t>普通科・専門学科</t>
        </is>
      </c>
      <c r="H22" s="8" t="n"/>
      <c r="I22" s="9" t="n"/>
      <c r="J22" s="9" t="inlineStr">
        <is>
          <t>未架電</t>
        </is>
      </c>
      <c r="K22" s="8" t="n"/>
      <c r="L22" s="9" t="n"/>
      <c r="M22" s="10" t="inlineStr">
        <is>
          <t>公式サイトで確認。通信教育部は0263-88-2592</t>
        </is>
      </c>
      <c r="N22" s="11" t="inlineStr">
        <is>
          <t>https://m-kokusai.ac.jp/ ; https://www.mapion.co.jp/phonebook/M11004/20202/ILSP0000041198_ipclm/</t>
        </is>
      </c>
      <c r="O22" s="12" t="inlineStr">
        <is>
          <t>開く</t>
        </is>
      </c>
    </row>
    <row r="23">
      <c r="A23" s="4" t="n">
        <v>19</v>
      </c>
      <c r="B23" s="5" t="inlineStr">
        <is>
          <t>長野県</t>
        </is>
      </c>
      <c r="C23" s="5" t="inlineStr">
        <is>
          <t>松本市</t>
        </is>
      </c>
      <c r="D23" s="5" t="inlineStr">
        <is>
          <t>松本第一高等学校</t>
        </is>
      </c>
      <c r="E23" s="6" t="inlineStr">
        <is>
          <t>0263-46-0555</t>
        </is>
      </c>
      <c r="F23" s="7" t="inlineStr">
        <is>
          <t>高</t>
        </is>
      </c>
      <c r="G23" s="5" t="inlineStr">
        <is>
          <t>普通科・専門学科</t>
        </is>
      </c>
      <c r="H23" s="8" t="n"/>
      <c r="I23" s="9" t="n"/>
      <c r="J23" s="9" t="inlineStr">
        <is>
          <t>未架電</t>
        </is>
      </c>
      <c r="K23" s="8" t="n"/>
      <c r="L23" s="9" t="n"/>
      <c r="M23" s="10" t="inlineStr">
        <is>
          <t>公式サイトで確認</t>
        </is>
      </c>
      <c r="N23" s="11" t="inlineStr">
        <is>
          <t>https://www.matsumoto1-h.ed.jp/guide/</t>
        </is>
      </c>
      <c r="O23" s="12" t="inlineStr">
        <is>
          <t>開く</t>
        </is>
      </c>
    </row>
  </sheetData>
  <autoFilter ref="A4:O23"/>
  <conditionalFormatting sqref="A5:O23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23" showDropDown="0" showInputMessage="0" showErrorMessage="0" allowBlank="1" type="list">
      <formula1>"未架電,不在・折返し待ち,担当者不在,資料送付,アポ獲得,検討中,NG,番号不明"</formula1>
    </dataValidation>
    <dataValidation sqref="H5:H23 K5:K23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5" t="inlineStr">
        <is>
          <t>松本市</t>
        </is>
      </c>
      <c r="B4" s="15">
        <f>COUNTIF('架電リスト'!$C$5:$C$23,A4)</f>
        <v/>
      </c>
      <c r="C4" s="15">
        <f>COUNTIFS('架電リスト'!$C$5:$C$23,A4,'架電リスト'!$E$5:$E$23,"&lt;&gt;")</f>
        <v/>
      </c>
      <c r="D4" s="15">
        <f>B4-COUNTIFS('架電リスト'!$C$5:$C$23,A4,'架電リスト'!$J$5:$J$23,"未架電")-COUNTIFS('架電リスト'!$C$5:$C$23,A4,'架電リスト'!$J$5:$J$23,"")</f>
        <v/>
      </c>
      <c r="E4" s="15">
        <f>COUNTIFS('架電リスト'!$C$5:$C$23,$A4,'架電リスト'!$J$5:$J$23,"不在・折返し待ち")</f>
        <v/>
      </c>
      <c r="F4" s="15">
        <f>COUNTIFS('架電リスト'!$C$5:$C$23,$A4,'架電リスト'!$J$5:$J$23,"担当者不在")</f>
        <v/>
      </c>
      <c r="G4" s="15">
        <f>COUNTIFS('架電リスト'!$C$5:$C$23,$A4,'架電リスト'!$J$5:$J$23,"資料送付")</f>
        <v/>
      </c>
      <c r="H4" s="15">
        <f>COUNTIFS('架電リスト'!$C$5:$C$23,$A4,'架電リスト'!$J$5:$J$23,"アポ獲得")</f>
        <v/>
      </c>
      <c r="I4" s="15">
        <f>COUNTIFS('架電リスト'!$C$5:$C$23,$A4,'架電リスト'!$J$5:$J$23,"検討中")</f>
        <v/>
      </c>
      <c r="J4" s="15">
        <f>COUNTIFS('架電リスト'!$C$5:$C$23,$A4,'架電リスト'!$J$5:$J$23,"NG")</f>
        <v/>
      </c>
      <c r="K4" s="15">
        <f>COUNTIFS('架電リスト'!$C$5:$C$23,$A4,'架電リスト'!$J$5:$J$23,"番号不明")</f>
        <v/>
      </c>
    </row>
    <row r="5">
      <c r="A5" s="15" t="inlineStr">
        <is>
          <t>長野市</t>
        </is>
      </c>
      <c r="B5" s="15">
        <f>COUNTIF('架電リスト'!$C$5:$C$23,A5)</f>
        <v/>
      </c>
      <c r="C5" s="15">
        <f>COUNTIFS('架電リスト'!$C$5:$C$23,A5,'架電リスト'!$E$5:$E$23,"&lt;&gt;")</f>
        <v/>
      </c>
      <c r="D5" s="15">
        <f>B5-COUNTIFS('架電リスト'!$C$5:$C$23,A5,'架電リスト'!$J$5:$J$23,"未架電")-COUNTIFS('架電リスト'!$C$5:$C$23,A5,'架電リスト'!$J$5:$J$23,"")</f>
        <v/>
      </c>
      <c r="E5" s="15">
        <f>COUNTIFS('架電リスト'!$C$5:$C$23,$A5,'架電リスト'!$J$5:$J$23,"不在・折返し待ち")</f>
        <v/>
      </c>
      <c r="F5" s="15">
        <f>COUNTIFS('架電リスト'!$C$5:$C$23,$A5,'架電リスト'!$J$5:$J$23,"担当者不在")</f>
        <v/>
      </c>
      <c r="G5" s="15">
        <f>COUNTIFS('架電リスト'!$C$5:$C$23,$A5,'架電リスト'!$J$5:$J$23,"資料送付")</f>
        <v/>
      </c>
      <c r="H5" s="15">
        <f>COUNTIFS('架電リスト'!$C$5:$C$23,$A5,'架電リスト'!$J$5:$J$23,"アポ獲得")</f>
        <v/>
      </c>
      <c r="I5" s="15">
        <f>COUNTIFS('架電リスト'!$C$5:$C$23,$A5,'架電リスト'!$J$5:$J$23,"検討中")</f>
        <v/>
      </c>
      <c r="J5" s="15">
        <f>COUNTIFS('架電リスト'!$C$5:$C$23,$A5,'架電リスト'!$J$5:$J$23,"NG")</f>
        <v/>
      </c>
      <c r="K5" s="15">
        <f>COUNTIFS('架電リスト'!$C$5:$C$23,$A5,'架電リスト'!$J$5:$J$23,"番号不明")</f>
        <v/>
      </c>
    </row>
    <row r="6">
      <c r="A6" s="15" t="inlineStr">
        <is>
          <t>上田市</t>
        </is>
      </c>
      <c r="B6" s="15">
        <f>COUNTIF('架電リスト'!$C$5:$C$23,A6)</f>
        <v/>
      </c>
      <c r="C6" s="15">
        <f>COUNTIFS('架電リスト'!$C$5:$C$23,A6,'架電リスト'!$E$5:$E$23,"&lt;&gt;")</f>
        <v/>
      </c>
      <c r="D6" s="15">
        <f>B6-COUNTIFS('架電リスト'!$C$5:$C$23,A6,'架電リスト'!$J$5:$J$23,"未架電")-COUNTIFS('架電リスト'!$C$5:$C$23,A6,'架電リスト'!$J$5:$J$23,"")</f>
        <v/>
      </c>
      <c r="E6" s="15">
        <f>COUNTIFS('架電リスト'!$C$5:$C$23,$A6,'架電リスト'!$J$5:$J$23,"不在・折返し待ち")</f>
        <v/>
      </c>
      <c r="F6" s="15">
        <f>COUNTIFS('架電リスト'!$C$5:$C$23,$A6,'架電リスト'!$J$5:$J$23,"担当者不在")</f>
        <v/>
      </c>
      <c r="G6" s="15">
        <f>COUNTIFS('架電リスト'!$C$5:$C$23,$A6,'架電リスト'!$J$5:$J$23,"資料送付")</f>
        <v/>
      </c>
      <c r="H6" s="15">
        <f>COUNTIFS('架電リスト'!$C$5:$C$23,$A6,'架電リスト'!$J$5:$J$23,"アポ獲得")</f>
        <v/>
      </c>
      <c r="I6" s="15">
        <f>COUNTIFS('架電リスト'!$C$5:$C$23,$A6,'架電リスト'!$J$5:$J$23,"検討中")</f>
        <v/>
      </c>
      <c r="J6" s="15">
        <f>COUNTIFS('架電リスト'!$C$5:$C$23,$A6,'架電リスト'!$J$5:$J$23,"NG")</f>
        <v/>
      </c>
      <c r="K6" s="15">
        <f>COUNTIFS('架電リスト'!$C$5:$C$23,$A6,'架電リスト'!$J$5:$J$23,"番号不明")</f>
        <v/>
      </c>
    </row>
    <row r="7">
      <c r="A7" s="15" t="inlineStr">
        <is>
          <t>佐久市</t>
        </is>
      </c>
      <c r="B7" s="15">
        <f>COUNTIF('架電リスト'!$C$5:$C$23,A7)</f>
        <v/>
      </c>
      <c r="C7" s="15">
        <f>COUNTIFS('架電リスト'!$C$5:$C$23,A7,'架電リスト'!$E$5:$E$23,"&lt;&gt;")</f>
        <v/>
      </c>
      <c r="D7" s="15">
        <f>B7-COUNTIFS('架電リスト'!$C$5:$C$23,A7,'架電リスト'!$J$5:$J$23,"未架電")-COUNTIFS('架電リスト'!$C$5:$C$23,A7,'架電リスト'!$J$5:$J$23,"")</f>
        <v/>
      </c>
      <c r="E7" s="15">
        <f>COUNTIFS('架電リスト'!$C$5:$C$23,$A7,'架電リスト'!$J$5:$J$23,"不在・折返し待ち")</f>
        <v/>
      </c>
      <c r="F7" s="15">
        <f>COUNTIFS('架電リスト'!$C$5:$C$23,$A7,'架電リスト'!$J$5:$J$23,"担当者不在")</f>
        <v/>
      </c>
      <c r="G7" s="15">
        <f>COUNTIFS('架電リスト'!$C$5:$C$23,$A7,'架電リスト'!$J$5:$J$23,"資料送付")</f>
        <v/>
      </c>
      <c r="H7" s="15">
        <f>COUNTIFS('架電リスト'!$C$5:$C$23,$A7,'架電リスト'!$J$5:$J$23,"アポ獲得")</f>
        <v/>
      </c>
      <c r="I7" s="15">
        <f>COUNTIFS('架電リスト'!$C$5:$C$23,$A7,'架電リスト'!$J$5:$J$23,"検討中")</f>
        <v/>
      </c>
      <c r="J7" s="15">
        <f>COUNTIFS('架電リスト'!$C$5:$C$23,$A7,'架電リスト'!$J$5:$J$23,"NG")</f>
        <v/>
      </c>
      <c r="K7" s="15">
        <f>COUNTIFS('架電リスト'!$C$5:$C$23,$A7,'架電リスト'!$J$5:$J$23,"番号不明")</f>
        <v/>
      </c>
    </row>
    <row r="8">
      <c r="A8" s="15" t="inlineStr">
        <is>
          <t>飯田市</t>
        </is>
      </c>
      <c r="B8" s="15">
        <f>COUNTIF('架電リスト'!$C$5:$C$23,A8)</f>
        <v/>
      </c>
      <c r="C8" s="15">
        <f>COUNTIFS('架電リスト'!$C$5:$C$23,A8,'架電リスト'!$E$5:$E$23,"&lt;&gt;")</f>
        <v/>
      </c>
      <c r="D8" s="15">
        <f>B8-COUNTIFS('架電リスト'!$C$5:$C$23,A8,'架電リスト'!$J$5:$J$23,"未架電")-COUNTIFS('架電リスト'!$C$5:$C$23,A8,'架電リスト'!$J$5:$J$23,"")</f>
        <v/>
      </c>
      <c r="E8" s="15">
        <f>COUNTIFS('架電リスト'!$C$5:$C$23,$A8,'架電リスト'!$J$5:$J$23,"不在・折返し待ち")</f>
        <v/>
      </c>
      <c r="F8" s="15">
        <f>COUNTIFS('架電リスト'!$C$5:$C$23,$A8,'架電リスト'!$J$5:$J$23,"担当者不在")</f>
        <v/>
      </c>
      <c r="G8" s="15">
        <f>COUNTIFS('架電リスト'!$C$5:$C$23,$A8,'架電リスト'!$J$5:$J$23,"資料送付")</f>
        <v/>
      </c>
      <c r="H8" s="15">
        <f>COUNTIFS('架電リスト'!$C$5:$C$23,$A8,'架電リスト'!$J$5:$J$23,"アポ獲得")</f>
        <v/>
      </c>
      <c r="I8" s="15">
        <f>COUNTIFS('架電リスト'!$C$5:$C$23,$A8,'架電リスト'!$J$5:$J$23,"検討中")</f>
        <v/>
      </c>
      <c r="J8" s="15">
        <f>COUNTIFS('架電リスト'!$C$5:$C$23,$A8,'架電リスト'!$J$5:$J$23,"NG")</f>
        <v/>
      </c>
      <c r="K8" s="15">
        <f>COUNTIFS('架電リスト'!$C$5:$C$23,$A8,'架電リスト'!$J$5:$J$23,"番号不明")</f>
        <v/>
      </c>
    </row>
    <row r="9">
      <c r="A9" s="15" t="inlineStr">
        <is>
          <t>伊那市</t>
        </is>
      </c>
      <c r="B9" s="15">
        <f>COUNTIF('架電リスト'!$C$5:$C$23,A9)</f>
        <v/>
      </c>
      <c r="C9" s="15">
        <f>COUNTIFS('架電リスト'!$C$5:$C$23,A9,'架電リスト'!$E$5:$E$23,"&lt;&gt;")</f>
        <v/>
      </c>
      <c r="D9" s="15">
        <f>B9-COUNTIFS('架電リスト'!$C$5:$C$23,A9,'架電リスト'!$J$5:$J$23,"未架電")-COUNTIFS('架電リスト'!$C$5:$C$23,A9,'架電リスト'!$J$5:$J$23,"")</f>
        <v/>
      </c>
      <c r="E9" s="15">
        <f>COUNTIFS('架電リスト'!$C$5:$C$23,$A9,'架電リスト'!$J$5:$J$23,"不在・折返し待ち")</f>
        <v/>
      </c>
      <c r="F9" s="15">
        <f>COUNTIFS('架電リスト'!$C$5:$C$23,$A9,'架電リスト'!$J$5:$J$23,"担当者不在")</f>
        <v/>
      </c>
      <c r="G9" s="15">
        <f>COUNTIFS('架電リスト'!$C$5:$C$23,$A9,'架電リスト'!$J$5:$J$23,"資料送付")</f>
        <v/>
      </c>
      <c r="H9" s="15">
        <f>COUNTIFS('架電リスト'!$C$5:$C$23,$A9,'架電リスト'!$J$5:$J$23,"アポ獲得")</f>
        <v/>
      </c>
      <c r="I9" s="15">
        <f>COUNTIFS('架電リスト'!$C$5:$C$23,$A9,'架電リスト'!$J$5:$J$23,"検討中")</f>
        <v/>
      </c>
      <c r="J9" s="15">
        <f>COUNTIFS('架電リスト'!$C$5:$C$23,$A9,'架電リスト'!$J$5:$J$23,"NG")</f>
        <v/>
      </c>
      <c r="K9" s="15">
        <f>COUNTIFS('架電リスト'!$C$5:$C$23,$A9,'架電リスト'!$J$5:$J$23,"番号不明")</f>
        <v/>
      </c>
    </row>
    <row r="10">
      <c r="A10" s="15" t="inlineStr">
        <is>
          <t>天龍村</t>
        </is>
      </c>
      <c r="B10" s="15">
        <f>COUNTIF('架電リスト'!$C$5:$C$23,A10)</f>
        <v/>
      </c>
      <c r="C10" s="15">
        <f>COUNTIFS('架電リスト'!$C$5:$C$23,A10,'架電リスト'!$E$5:$E$23,"&lt;&gt;")</f>
        <v/>
      </c>
      <c r="D10" s="15">
        <f>B10-COUNTIFS('架電リスト'!$C$5:$C$23,A10,'架電リスト'!$J$5:$J$23,"未架電")-COUNTIFS('架電リスト'!$C$5:$C$23,A10,'架電リスト'!$J$5:$J$23,"")</f>
        <v/>
      </c>
      <c r="E10" s="15">
        <f>COUNTIFS('架電リスト'!$C$5:$C$23,$A10,'架電リスト'!$J$5:$J$23,"不在・折返し待ち")</f>
        <v/>
      </c>
      <c r="F10" s="15">
        <f>COUNTIFS('架電リスト'!$C$5:$C$23,$A10,'架電リスト'!$J$5:$J$23,"担当者不在")</f>
        <v/>
      </c>
      <c r="G10" s="15">
        <f>COUNTIFS('架電リスト'!$C$5:$C$23,$A10,'架電リスト'!$J$5:$J$23,"資料送付")</f>
        <v/>
      </c>
      <c r="H10" s="15">
        <f>COUNTIFS('架電リスト'!$C$5:$C$23,$A10,'架電リスト'!$J$5:$J$23,"アポ獲得")</f>
        <v/>
      </c>
      <c r="I10" s="15">
        <f>COUNTIFS('架電リスト'!$C$5:$C$23,$A10,'架電リスト'!$J$5:$J$23,"検討中")</f>
        <v/>
      </c>
      <c r="J10" s="15">
        <f>COUNTIFS('架電リスト'!$C$5:$C$23,$A10,'架電リスト'!$J$5:$J$23,"NG")</f>
        <v/>
      </c>
      <c r="K10" s="15">
        <f>COUNTIFS('架電リスト'!$C$5:$C$23,$A10,'架電リスト'!$J$5:$J$23,"番号不明")</f>
        <v/>
      </c>
    </row>
    <row r="11">
      <c r="A11" s="15" t="inlineStr">
        <is>
          <t>茅野市</t>
        </is>
      </c>
      <c r="B11" s="15">
        <f>COUNTIF('架電リスト'!$C$5:$C$23,A11)</f>
        <v/>
      </c>
      <c r="C11" s="15">
        <f>COUNTIFS('架電リスト'!$C$5:$C$23,A11,'架電リスト'!$E$5:$E$23,"&lt;&gt;")</f>
        <v/>
      </c>
      <c r="D11" s="15">
        <f>B11-COUNTIFS('架電リスト'!$C$5:$C$23,A11,'架電リスト'!$J$5:$J$23,"未架電")-COUNTIFS('架電リスト'!$C$5:$C$23,A11,'架電リスト'!$J$5:$J$23,"")</f>
        <v/>
      </c>
      <c r="E11" s="15">
        <f>COUNTIFS('架電リスト'!$C$5:$C$23,$A11,'架電リスト'!$J$5:$J$23,"不在・折返し待ち")</f>
        <v/>
      </c>
      <c r="F11" s="15">
        <f>COUNTIFS('架電リスト'!$C$5:$C$23,$A11,'架電リスト'!$J$5:$J$23,"担当者不在")</f>
        <v/>
      </c>
      <c r="G11" s="15">
        <f>COUNTIFS('架電リスト'!$C$5:$C$23,$A11,'架電リスト'!$J$5:$J$23,"資料送付")</f>
        <v/>
      </c>
      <c r="H11" s="15">
        <f>COUNTIFS('架電リスト'!$C$5:$C$23,$A11,'架電リスト'!$J$5:$J$23,"アポ獲得")</f>
        <v/>
      </c>
      <c r="I11" s="15">
        <f>COUNTIFS('架電リスト'!$C$5:$C$23,$A11,'架電リスト'!$J$5:$J$23,"検討中")</f>
        <v/>
      </c>
      <c r="J11" s="15">
        <f>COUNTIFS('架電リスト'!$C$5:$C$23,$A11,'架電リスト'!$J$5:$J$23,"NG")</f>
        <v/>
      </c>
      <c r="K11" s="15">
        <f>COUNTIFS('架電リスト'!$C$5:$C$23,$A11,'架電リスト'!$J$5:$J$23,"番号不明")</f>
        <v/>
      </c>
    </row>
    <row r="12">
      <c r="A12" s="15" t="inlineStr">
        <is>
          <t>塩尻市</t>
        </is>
      </c>
      <c r="B12" s="15">
        <f>COUNTIF('架電リスト'!$C$5:$C$23,A12)</f>
        <v/>
      </c>
      <c r="C12" s="15">
        <f>COUNTIFS('架電リスト'!$C$5:$C$23,A12,'架電リスト'!$E$5:$E$23,"&lt;&gt;")</f>
        <v/>
      </c>
      <c r="D12" s="15">
        <f>B12-COUNTIFS('架電リスト'!$C$5:$C$23,A12,'架電リスト'!$J$5:$J$23,"未架電")-COUNTIFS('架電リスト'!$C$5:$C$23,A12,'架電リスト'!$J$5:$J$23,"")</f>
        <v/>
      </c>
      <c r="E12" s="15">
        <f>COUNTIFS('架電リスト'!$C$5:$C$23,$A12,'架電リスト'!$J$5:$J$23,"不在・折返し待ち")</f>
        <v/>
      </c>
      <c r="F12" s="15">
        <f>COUNTIFS('架電リスト'!$C$5:$C$23,$A12,'架電リスト'!$J$5:$J$23,"担当者不在")</f>
        <v/>
      </c>
      <c r="G12" s="15">
        <f>COUNTIFS('架電リスト'!$C$5:$C$23,$A12,'架電リスト'!$J$5:$J$23,"資料送付")</f>
        <v/>
      </c>
      <c r="H12" s="15">
        <f>COUNTIFS('架電リスト'!$C$5:$C$23,$A12,'架電リスト'!$J$5:$J$23,"アポ獲得")</f>
        <v/>
      </c>
      <c r="I12" s="15">
        <f>COUNTIFS('架電リスト'!$C$5:$C$23,$A12,'架電リスト'!$J$5:$J$23,"検討中")</f>
        <v/>
      </c>
      <c r="J12" s="15">
        <f>COUNTIFS('架電リスト'!$C$5:$C$23,$A12,'架電リスト'!$J$5:$J$23,"NG")</f>
        <v/>
      </c>
      <c r="K12" s="15">
        <f>COUNTIFS('架電リスト'!$C$5:$C$23,$A12,'架電リスト'!$J$5:$J$23,"番号不明")</f>
        <v/>
      </c>
    </row>
    <row r="13">
      <c r="A13" s="16" t="inlineStr">
        <is>
          <t>合計</t>
        </is>
      </c>
      <c r="B13" s="16">
        <f>SUM(B4:B12)</f>
        <v/>
      </c>
      <c r="C13" s="16">
        <f>SUM(C4:C12)</f>
        <v/>
      </c>
      <c r="D13" s="16">
        <f>SUM(D4:D12)</f>
        <v/>
      </c>
      <c r="E13" s="16">
        <f>SUM(E4:E12)</f>
        <v/>
      </c>
      <c r="F13" s="16">
        <f>SUM(F4:F12)</f>
        <v/>
      </c>
      <c r="G13" s="16">
        <f>SUM(G4:G12)</f>
        <v/>
      </c>
      <c r="H13" s="16">
        <f>SUM(H4:H12)</f>
        <v/>
      </c>
      <c r="I13" s="16">
        <f>SUM(I4:I12)</f>
        <v/>
      </c>
      <c r="J13" s="16">
        <f>SUM(J4:J12)</f>
        <v/>
      </c>
      <c r="K13" s="16">
        <f>SUM(K4:K12)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7" t="inlineStr">
        <is>
          <t>■ 使い方</t>
        </is>
      </c>
    </row>
    <row r="2">
      <c r="A2" s="18" t="inlineStr">
        <is>
          <t>・「架電リスト」の黄色の列（電話番号・架電日・担当者・架電結果・次回連絡日・メモ）に入力してください。</t>
        </is>
      </c>
    </row>
    <row r="3">
      <c r="A3" s="18" t="inlineStr">
        <is>
          <t>・架電結果はプルダウンから選択します（アポ獲得＝緑、NG＝グレーで行が自動着色）。</t>
        </is>
      </c>
    </row>
    <row r="4">
      <c r="A4" s="18" t="inlineStr">
        <is>
          <t>・「学校情報ページ」の「開く」をクリックすると、学校ネットの各校ページが開きます。</t>
        </is>
      </c>
    </row>
    <row r="5">
      <c r="A5" s="18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8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8" t="inlineStr">
        <is>
          <t>・都道府県や市区町村で絞り込む場合は、見出し行の▼（フィルター）を使用してください。</t>
        </is>
      </c>
    </row>
    <row r="8">
      <c r="A8" s="18" t="inlineStr">
        <is>
          <t>・集計シートは入力内容に連動して自動で集計されます。</t>
        </is>
      </c>
    </row>
    <row r="9">
      <c r="A9" s="18" t="inlineStr"/>
    </row>
    <row r="10">
      <c r="A10" s="17" t="inlineStr">
        <is>
          <t>■ 元データについての注意</t>
        </is>
      </c>
    </row>
    <row r="11">
      <c r="A11" s="18" t="inlineStr">
        <is>
          <t>・出典：ご提供いただいた学校ネットの検索結果（私立高校・長野県、19校）の貼り付けデータ。並び順は都道府県ごとに元データの掲載順です。</t>
        </is>
      </c>
    </row>
    <row r="12">
      <c r="A12" s="18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8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8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2026-10-13T08:33:06Z</dcterms:created>
  <dcterms:modified xsi:type="dcterms:W3CDTF">2026-10-13T08:33:06Z</dcterms:modified>
</cp:coreProperties>
</file>