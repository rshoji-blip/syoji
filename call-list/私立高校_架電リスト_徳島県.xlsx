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'架電リスト'!$A$4:$O$7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5216.html" TargetMode="External" Id="rId1" /><Relationship Type="http://schemas.openxmlformats.org/officeDocument/2006/relationships/hyperlink" Target="https://www.gakkou.net/kou/view/index_305226.html" TargetMode="External" Id="rId2" /><Relationship Type="http://schemas.openxmlformats.org/officeDocument/2006/relationships/hyperlink" Target="https://www.gakkou.net/kou/view/index_305222.html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架電リスト（徳島県／3校）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徳島県</t>
        </is>
      </c>
      <c r="C5" s="5" t="inlineStr">
        <is>
          <t>徳島市</t>
        </is>
      </c>
      <c r="D5" s="5" t="inlineStr">
        <is>
          <t>香蘭高等学校</t>
        </is>
      </c>
      <c r="E5" s="6" t="inlineStr">
        <is>
          <t>088-652-5044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徳島県私立学校一覧でも一致</t>
        </is>
      </c>
      <c r="N5" s="11" t="inlineStr">
        <is>
          <t>https://kouran-kou.jp/nyusi.html</t>
        </is>
      </c>
      <c r="O5" s="12" t="inlineStr">
        <is>
          <t>開く</t>
        </is>
      </c>
    </row>
    <row r="6">
      <c r="A6" s="4" t="n">
        <v>2</v>
      </c>
      <c r="B6" s="5" t="inlineStr">
        <is>
          <t>徳島県</t>
        </is>
      </c>
      <c r="C6" s="5" t="inlineStr">
        <is>
          <t>徳島市</t>
        </is>
      </c>
      <c r="D6" s="5" t="inlineStr">
        <is>
          <t>生光学園高等学校</t>
        </is>
      </c>
      <c r="E6" s="6" t="inlineStr">
        <is>
          <t>088-641-1032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代表番号</t>
        </is>
      </c>
      <c r="N6" s="11" t="inlineStr">
        <is>
          <t>http://www.seikogakuen.ac.jp/guide.html</t>
        </is>
      </c>
      <c r="O6" s="12" t="inlineStr">
        <is>
          <t>開く</t>
        </is>
      </c>
    </row>
    <row r="7">
      <c r="A7" s="4" t="n">
        <v>3</v>
      </c>
      <c r="B7" s="5" t="inlineStr">
        <is>
          <t>徳島県</t>
        </is>
      </c>
      <c r="C7" s="5" t="inlineStr">
        <is>
          <t>徳島市</t>
        </is>
      </c>
      <c r="D7" s="5" t="inlineStr">
        <is>
          <t>徳島文理高等学校</t>
        </is>
      </c>
      <c r="E7" s="6" t="inlineStr">
        <is>
          <t>088-626-1225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中高共通番号</t>
        </is>
      </c>
      <c r="N7" s="11" t="inlineStr">
        <is>
          <t>https://www.bunri.ed.jp/access/</t>
        </is>
      </c>
      <c r="O7" s="12" t="inlineStr">
        <is>
          <t>開く</t>
        </is>
      </c>
    </row>
  </sheetData>
  <autoFilter ref="A4:O7"/>
  <conditionalFormatting sqref="A5:O7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7" showDropDown="0" showInputMessage="0" showErrorMessage="0" allowBlank="1" type="list">
      <formula1>"未架電,不在・折返し待ち,担当者不在,資料送付,アポ獲得,検討中,NG,番号不明"</formula1>
    </dataValidation>
    <dataValidation sqref="H5:H7 K5:K7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3" t="inlineStr">
        <is>
          <t>徳島市</t>
        </is>
      </c>
      <c r="B4" s="13">
        <f>COUNTIF('架電リスト'!$C$5:$C$7,A4)</f>
        <v/>
      </c>
      <c r="C4" s="13">
        <f>COUNTIFS('架電リスト'!$C$5:$C$7,A4,'架電リスト'!$E$5:$E$7,"&lt;&gt;")</f>
        <v/>
      </c>
      <c r="D4" s="13">
        <f>B4-COUNTIFS('架電リスト'!$C$5:$C$7,A4,'架電リスト'!$J$5:$J$7,"未架電")-COUNTIFS('架電リスト'!$C$5:$C$7,A4,'架電リスト'!$J$5:$J$7,"")</f>
        <v/>
      </c>
      <c r="E4" s="13">
        <f>COUNTIFS('架電リスト'!$C$5:$C$7,$A4,'架電リスト'!$J$5:$J$7,"不在・折返し待ち")</f>
        <v/>
      </c>
      <c r="F4" s="13">
        <f>COUNTIFS('架電リスト'!$C$5:$C$7,$A4,'架電リスト'!$J$5:$J$7,"担当者不在")</f>
        <v/>
      </c>
      <c r="G4" s="13">
        <f>COUNTIFS('架電リスト'!$C$5:$C$7,$A4,'架電リスト'!$J$5:$J$7,"資料送付")</f>
        <v/>
      </c>
      <c r="H4" s="13">
        <f>COUNTIFS('架電リスト'!$C$5:$C$7,$A4,'架電リスト'!$J$5:$J$7,"アポ獲得")</f>
        <v/>
      </c>
      <c r="I4" s="13">
        <f>COUNTIFS('架電リスト'!$C$5:$C$7,$A4,'架電リスト'!$J$5:$J$7,"検討中")</f>
        <v/>
      </c>
      <c r="J4" s="13">
        <f>COUNTIFS('架電リスト'!$C$5:$C$7,$A4,'架電リスト'!$J$5:$J$7,"NG")</f>
        <v/>
      </c>
      <c r="K4" s="13">
        <f>COUNTIFS('架電リスト'!$C$5:$C$7,$A4,'架電リスト'!$J$5:$J$7,"番号不明")</f>
        <v/>
      </c>
    </row>
    <row r="5">
      <c r="A5" s="14" t="inlineStr">
        <is>
          <t>合計</t>
        </is>
      </c>
      <c r="B5" s="14">
        <f>SUM(B4:B4)</f>
        <v/>
      </c>
      <c r="C5" s="14">
        <f>SUM(C4:C4)</f>
        <v/>
      </c>
      <c r="D5" s="14">
        <f>SUM(D4:D4)</f>
        <v/>
      </c>
      <c r="E5" s="14">
        <f>SUM(E4:E4)</f>
        <v/>
      </c>
      <c r="F5" s="14">
        <f>SUM(F4:F4)</f>
        <v/>
      </c>
      <c r="G5" s="14">
        <f>SUM(G4:G4)</f>
        <v/>
      </c>
      <c r="H5" s="14">
        <f>SUM(H4:H4)</f>
        <v/>
      </c>
      <c r="I5" s="14">
        <f>SUM(I4:I4)</f>
        <v/>
      </c>
      <c r="J5" s="14">
        <f>SUM(J4:J4)</f>
        <v/>
      </c>
      <c r="K5" s="14">
        <f>SUM(K4:K4)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■ 使い方</t>
        </is>
      </c>
    </row>
    <row r="2">
      <c r="A2" s="16" t="inlineStr">
        <is>
          <t>・「架電リスト」の黄色の列（電話番号・架電日・担当者・架電結果・次回連絡日・メモ）に入力してください。</t>
        </is>
      </c>
    </row>
    <row r="3">
      <c r="A3" s="16" t="inlineStr">
        <is>
          <t>・架電結果はプルダウンから選択します（アポ獲得＝緑、NG＝グレーで行が自動着色）。</t>
        </is>
      </c>
    </row>
    <row r="4">
      <c r="A4" s="16" t="inlineStr">
        <is>
          <t>・「学校情報ページ」の「開く」をクリックすると、学校ネットの各校ページが開きます。</t>
        </is>
      </c>
    </row>
    <row r="5">
      <c r="A5" s="16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6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6" t="inlineStr">
        <is>
          <t>・都道府県や市区町村で絞り込む場合は、見出し行の▼（フィルター）を使用してください。</t>
        </is>
      </c>
    </row>
    <row r="8">
      <c r="A8" s="16" t="inlineStr">
        <is>
          <t>・集計シートは入力内容に連動して自動で集計されます。</t>
        </is>
      </c>
    </row>
    <row r="9">
      <c r="A9" s="16" t="inlineStr"/>
    </row>
    <row r="10">
      <c r="A10" s="15" t="inlineStr">
        <is>
          <t>■ 元データについての注意</t>
        </is>
      </c>
    </row>
    <row r="11">
      <c r="A11" s="16" t="inlineStr">
        <is>
          <t>・出典：ご提供いただいた学校ネットの検索結果（私立高校・徳島県、3校）の貼り付けデータ。並び順は都道府県ごとに元データの掲載順です。</t>
        </is>
      </c>
    </row>
    <row r="12">
      <c r="A12" s="16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6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6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2026-10-14T02:00:51Z</dcterms:created>
  <dcterms:modified xsi:type="dcterms:W3CDTF">2026-10-14T02:00:51Z</dcterms:modified>
</cp:coreProperties>
</file>