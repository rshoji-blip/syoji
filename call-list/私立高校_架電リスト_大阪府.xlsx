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'架電リスト'!$A$4:$O$104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4145.html" TargetMode="External" Id="rId1" /><Relationship Type="http://schemas.openxmlformats.org/officeDocument/2006/relationships/hyperlink" Target="https://www.gakkou.net/kou/view/index_304241.html" TargetMode="External" Id="rId2" /><Relationship Type="http://schemas.openxmlformats.org/officeDocument/2006/relationships/hyperlink" Target="https://www.gakkou.net/kou/view/index_304083.html" TargetMode="External" Id="rId3" /><Relationship Type="http://schemas.openxmlformats.org/officeDocument/2006/relationships/hyperlink" Target="https://www.gakkou.net/kou/view/index_304068.html" TargetMode="External" Id="rId4" /><Relationship Type="http://schemas.openxmlformats.org/officeDocument/2006/relationships/hyperlink" Target="https://www.gakkou.net/kou/view/index_304271.html" TargetMode="External" Id="rId5" /><Relationship Type="http://schemas.openxmlformats.org/officeDocument/2006/relationships/hyperlink" Target="https://www.gakkou.net/kou/view/index_304027.html" TargetMode="External" Id="rId6" /><Relationship Type="http://schemas.openxmlformats.org/officeDocument/2006/relationships/hyperlink" Target="https://www.gakkou.net/kou/view/index_306779.html" TargetMode="External" Id="rId7" /><Relationship Type="http://schemas.openxmlformats.org/officeDocument/2006/relationships/hyperlink" Target="https://www.gakkou.net/kou/view/index_304057.html" TargetMode="External" Id="rId8" /><Relationship Type="http://schemas.openxmlformats.org/officeDocument/2006/relationships/hyperlink" Target="https://www.gakkou.net/kou/view/index_304170.html" TargetMode="External" Id="rId9" /><Relationship Type="http://schemas.openxmlformats.org/officeDocument/2006/relationships/hyperlink" Target="https://www.gakkou.net/kou/view/index_304079.html" TargetMode="External" Id="rId10" /><Relationship Type="http://schemas.openxmlformats.org/officeDocument/2006/relationships/hyperlink" Target="https://www.gakkou.net/kou/view/index_304158.html" TargetMode="External" Id="rId11" /><Relationship Type="http://schemas.openxmlformats.org/officeDocument/2006/relationships/hyperlink" Target="https://www.gakkou.net/kou/view/index_304123.html" TargetMode="External" Id="rId12" /><Relationship Type="http://schemas.openxmlformats.org/officeDocument/2006/relationships/hyperlink" Target="https://www.gakkou.net/kou/view/index_304281.html" TargetMode="External" Id="rId13" /><Relationship Type="http://schemas.openxmlformats.org/officeDocument/2006/relationships/hyperlink" Target="https://www.gakkou.net/kou/view/index_304167.html" TargetMode="External" Id="rId14" /><Relationship Type="http://schemas.openxmlformats.org/officeDocument/2006/relationships/hyperlink" Target="https://www.gakkou.net/kou/view/index_304032.html" TargetMode="External" Id="rId15" /><Relationship Type="http://schemas.openxmlformats.org/officeDocument/2006/relationships/hyperlink" Target="https://www.gakkou.net/kou/view/index_304193.html" TargetMode="External" Id="rId16" /><Relationship Type="http://schemas.openxmlformats.org/officeDocument/2006/relationships/hyperlink" Target="https://www.gakkou.net/kou/view/index_304121.html" TargetMode="External" Id="rId17" /><Relationship Type="http://schemas.openxmlformats.org/officeDocument/2006/relationships/hyperlink" Target="https://www.gakkou.net/kou/view/index_304044.html" TargetMode="External" Id="rId18" /><Relationship Type="http://schemas.openxmlformats.org/officeDocument/2006/relationships/hyperlink" Target="https://www.gakkou.net/kou/view/index_304230.html" TargetMode="External" Id="rId19" /><Relationship Type="http://schemas.openxmlformats.org/officeDocument/2006/relationships/hyperlink" Target="https://www.gakkou.net/kou/view/index_304344.html" TargetMode="External" Id="rId20" /><Relationship Type="http://schemas.openxmlformats.org/officeDocument/2006/relationships/hyperlink" Target="https://www.gakkou.net/kou/view/index_304045.html" TargetMode="External" Id="rId21" /><Relationship Type="http://schemas.openxmlformats.org/officeDocument/2006/relationships/hyperlink" Target="https://www.gakkou.net/kou/view/index_304052.html" TargetMode="External" Id="rId22" /><Relationship Type="http://schemas.openxmlformats.org/officeDocument/2006/relationships/hyperlink" Target="https://www.gakkou.net/kou/view/index_304033.html" TargetMode="External" Id="rId23" /><Relationship Type="http://schemas.openxmlformats.org/officeDocument/2006/relationships/hyperlink" Target="https://www.gakkou.net/kou/view/index_304073.html" TargetMode="External" Id="rId24" /><Relationship Type="http://schemas.openxmlformats.org/officeDocument/2006/relationships/hyperlink" Target="https://www.gakkou.net/kou/view/index_304182.html" TargetMode="External" Id="rId25" /><Relationship Type="http://schemas.openxmlformats.org/officeDocument/2006/relationships/hyperlink" Target="https://www.gakkou.net/kou/view/index_304303.html" TargetMode="External" Id="rId26" /><Relationship Type="http://schemas.openxmlformats.org/officeDocument/2006/relationships/hyperlink" Target="https://www.gakkou.net/kou/view/index_304196.html" TargetMode="External" Id="rId27" /><Relationship Type="http://schemas.openxmlformats.org/officeDocument/2006/relationships/hyperlink" Target="https://www.gakkou.net/kou/view/index_304220.html" TargetMode="External" Id="rId28" /><Relationship Type="http://schemas.openxmlformats.org/officeDocument/2006/relationships/hyperlink" Target="https://www.gakkou.net/kou/view/index_304074.html" TargetMode="External" Id="rId29" /><Relationship Type="http://schemas.openxmlformats.org/officeDocument/2006/relationships/hyperlink" Target="https://www.gakkou.net/kou/view/index_304266.html" TargetMode="External" Id="rId30" /><Relationship Type="http://schemas.openxmlformats.org/officeDocument/2006/relationships/hyperlink" Target="https://www.gakkou.net/kou/view/index_304092.html" TargetMode="External" Id="rId31" /><Relationship Type="http://schemas.openxmlformats.org/officeDocument/2006/relationships/hyperlink" Target="https://www.gakkou.net/kou/view/index_304046.html" TargetMode="External" Id="rId32" /><Relationship Type="http://schemas.openxmlformats.org/officeDocument/2006/relationships/hyperlink" Target="https://www.gakkou.net/kou/view/index_304290.html" TargetMode="External" Id="rId33" /><Relationship Type="http://schemas.openxmlformats.org/officeDocument/2006/relationships/hyperlink" Target="https://www.gakkou.net/kou/view/index_304177.html" TargetMode="External" Id="rId34" /><Relationship Type="http://schemas.openxmlformats.org/officeDocument/2006/relationships/hyperlink" Target="https://www.gakkou.net/kou/view/index_304227.html" TargetMode="External" Id="rId35" /><Relationship Type="http://schemas.openxmlformats.org/officeDocument/2006/relationships/hyperlink" Target="https://www.gakkou.net/kou/view/index_306745.html" TargetMode="External" Id="rId36" /><Relationship Type="http://schemas.openxmlformats.org/officeDocument/2006/relationships/hyperlink" Target="https://www.gakkou.net/kou/view/index_304159.html" TargetMode="External" Id="rId37" /><Relationship Type="http://schemas.openxmlformats.org/officeDocument/2006/relationships/hyperlink" Target="https://www.gakkou.net/kou/view/index_304031.html" TargetMode="External" Id="rId38" /><Relationship Type="http://schemas.openxmlformats.org/officeDocument/2006/relationships/hyperlink" Target="https://www.gakkou.net/kou/view/index_304263.html" TargetMode="External" Id="rId39" /><Relationship Type="http://schemas.openxmlformats.org/officeDocument/2006/relationships/hyperlink" Target="https://www.gakkou.net/kou/view/index_304147.html" TargetMode="External" Id="rId40" /><Relationship Type="http://schemas.openxmlformats.org/officeDocument/2006/relationships/hyperlink" Target="https://www.gakkou.net/kou/view/index_304325.html" TargetMode="External" Id="rId41" /><Relationship Type="http://schemas.openxmlformats.org/officeDocument/2006/relationships/hyperlink" Target="https://www.gakkou.net/kou/view/index_304237.html" TargetMode="External" Id="rId42" /><Relationship Type="http://schemas.openxmlformats.org/officeDocument/2006/relationships/hyperlink" Target="https://www.gakkou.net/kou/view/index_304025.html" TargetMode="External" Id="rId43" /><Relationship Type="http://schemas.openxmlformats.org/officeDocument/2006/relationships/hyperlink" Target="https://www.gakkou.net/kou/view/index_304165.html" TargetMode="External" Id="rId44" /><Relationship Type="http://schemas.openxmlformats.org/officeDocument/2006/relationships/hyperlink" Target="https://www.gakkou.net/kou/view/index_304127.html" TargetMode="External" Id="rId45" /><Relationship Type="http://schemas.openxmlformats.org/officeDocument/2006/relationships/hyperlink" Target="https://www.gakkou.net/kou/view/index_304308.html" TargetMode="External" Id="rId46" /><Relationship Type="http://schemas.openxmlformats.org/officeDocument/2006/relationships/hyperlink" Target="https://www.gakkou.net/kou/view/index_304070.html" TargetMode="External" Id="rId47" /><Relationship Type="http://schemas.openxmlformats.org/officeDocument/2006/relationships/hyperlink" Target="https://www.gakkou.net/kou/view/index_304114.html" TargetMode="External" Id="rId48" /><Relationship Type="http://schemas.openxmlformats.org/officeDocument/2006/relationships/hyperlink" Target="https://www.gakkou.net/kou/view/index_306368.html" TargetMode="External" Id="rId49" /><Relationship Type="http://schemas.openxmlformats.org/officeDocument/2006/relationships/hyperlink" Target="https://www.gakkou.net/kou/view/index_304202.html" TargetMode="External" Id="rId50" /><Relationship Type="http://schemas.openxmlformats.org/officeDocument/2006/relationships/hyperlink" Target="https://www.gakkou.net/kou/view/index_304181.html" TargetMode="External" Id="rId51" /><Relationship Type="http://schemas.openxmlformats.org/officeDocument/2006/relationships/hyperlink" Target="https://www.gakkou.net/kou/view/index_304075.html" TargetMode="External" Id="rId52" /><Relationship Type="http://schemas.openxmlformats.org/officeDocument/2006/relationships/hyperlink" Target="https://www.gakkou.net/kou/view/index_304253.html" TargetMode="External" Id="rId53" /><Relationship Type="http://schemas.openxmlformats.org/officeDocument/2006/relationships/hyperlink" Target="https://www.gakkou.net/kou/view/index_306774.html" TargetMode="External" Id="rId54" /><Relationship Type="http://schemas.openxmlformats.org/officeDocument/2006/relationships/hyperlink" Target="https://www.gakkou.net/kou/view/index_304219.html" TargetMode="External" Id="rId55" /><Relationship Type="http://schemas.openxmlformats.org/officeDocument/2006/relationships/hyperlink" Target="https://www.gakkou.net/kou/view/index_304071.html" TargetMode="External" Id="rId56" /><Relationship Type="http://schemas.openxmlformats.org/officeDocument/2006/relationships/hyperlink" Target="https://www.gakkou.net/kou/view/index_306440.html" TargetMode="External" Id="rId57" /><Relationship Type="http://schemas.openxmlformats.org/officeDocument/2006/relationships/hyperlink" Target="https://www.gakkou.net/kou/view/index_304236.html" TargetMode="External" Id="rId58" /><Relationship Type="http://schemas.openxmlformats.org/officeDocument/2006/relationships/hyperlink" Target="https://www.gakkou.net/kou/view/index_304094.html" TargetMode="External" Id="rId59" /><Relationship Type="http://schemas.openxmlformats.org/officeDocument/2006/relationships/hyperlink" Target="https://www.gakkou.net/kou/view/index_304112.html" TargetMode="External" Id="rId60" /><Relationship Type="http://schemas.openxmlformats.org/officeDocument/2006/relationships/hyperlink" Target="https://www.gakkou.net/kou/view/index_304042.html" TargetMode="External" Id="rId61" /><Relationship Type="http://schemas.openxmlformats.org/officeDocument/2006/relationships/hyperlink" Target="https://www.gakkou.net/kou/view/index_304218.html" TargetMode="External" Id="rId62" /><Relationship Type="http://schemas.openxmlformats.org/officeDocument/2006/relationships/hyperlink" Target="https://www.gakkou.net/kou/view/index_304054.html" TargetMode="External" Id="rId63" /><Relationship Type="http://schemas.openxmlformats.org/officeDocument/2006/relationships/hyperlink" Target="https://www.gakkou.net/kou/view/index_304343.html" TargetMode="External" Id="rId64" /><Relationship Type="http://schemas.openxmlformats.org/officeDocument/2006/relationships/hyperlink" Target="https://www.gakkou.net/kou/view/index_304283.html" TargetMode="External" Id="rId65" /><Relationship Type="http://schemas.openxmlformats.org/officeDocument/2006/relationships/hyperlink" Target="https://www.gakkou.net/kou/view/index_304166.html" TargetMode="External" Id="rId66" /><Relationship Type="http://schemas.openxmlformats.org/officeDocument/2006/relationships/hyperlink" Target="https://www.gakkou.net/kou/view/index_304066.html" TargetMode="External" Id="rId67" /><Relationship Type="http://schemas.openxmlformats.org/officeDocument/2006/relationships/hyperlink" Target="https://www.gakkou.net/kou/view/index_304313.html" TargetMode="External" Id="rId68" /><Relationship Type="http://schemas.openxmlformats.org/officeDocument/2006/relationships/hyperlink" Target="https://www.gakkou.net/kou/view/index_304128.html" TargetMode="External" Id="rId69" /><Relationship Type="http://schemas.openxmlformats.org/officeDocument/2006/relationships/hyperlink" Target="https://www.gakkou.net/kou/view/index_304153.html" TargetMode="External" Id="rId70" /><Relationship Type="http://schemas.openxmlformats.org/officeDocument/2006/relationships/hyperlink" Target="https://www.gakkou.net/kou/view/index_304060.html" TargetMode="External" Id="rId71" /><Relationship Type="http://schemas.openxmlformats.org/officeDocument/2006/relationships/hyperlink" Target="https://www.gakkou.net/kou/view/index_304222.html" TargetMode="External" Id="rId72" /><Relationship Type="http://schemas.openxmlformats.org/officeDocument/2006/relationships/hyperlink" Target="https://www.gakkou.net/kou/view/index_304185.html" TargetMode="External" Id="rId73" /><Relationship Type="http://schemas.openxmlformats.org/officeDocument/2006/relationships/hyperlink" Target="https://www.gakkou.net/kou/view/index_304142.html" TargetMode="External" Id="rId74" /><Relationship Type="http://schemas.openxmlformats.org/officeDocument/2006/relationships/hyperlink" Target="https://www.gakkou.net/kou/view/index_304297.html" TargetMode="External" Id="rId75" /><Relationship Type="http://schemas.openxmlformats.org/officeDocument/2006/relationships/hyperlink" Target="https://www.gakkou.net/kou/view/index_304129.html" TargetMode="External" Id="rId76" /><Relationship Type="http://schemas.openxmlformats.org/officeDocument/2006/relationships/hyperlink" Target="https://www.gakkou.net/kou/view/index_306443.html" TargetMode="External" Id="rId77" /><Relationship Type="http://schemas.openxmlformats.org/officeDocument/2006/relationships/hyperlink" Target="https://www.gakkou.net/kou/view/index_304209.html" TargetMode="External" Id="rId78" /><Relationship Type="http://schemas.openxmlformats.org/officeDocument/2006/relationships/hyperlink" Target="https://www.gakkou.net/kou/view/index_304203.html" TargetMode="External" Id="rId79" /><Relationship Type="http://schemas.openxmlformats.org/officeDocument/2006/relationships/hyperlink" Target="https://www.gakkou.net/kou/view/index_306369.html" TargetMode="External" Id="rId80" /><Relationship Type="http://schemas.openxmlformats.org/officeDocument/2006/relationships/hyperlink" Target="https://www.gakkou.net/kou/view/index_304126.html" TargetMode="External" Id="rId81" /><Relationship Type="http://schemas.openxmlformats.org/officeDocument/2006/relationships/hyperlink" Target="https://www.gakkou.net/kou/view/index_304311.html" TargetMode="External" Id="rId82" /><Relationship Type="http://schemas.openxmlformats.org/officeDocument/2006/relationships/hyperlink" Target="https://www.gakkou.net/kou/view/index_304277.html" TargetMode="External" Id="rId83" /><Relationship Type="http://schemas.openxmlformats.org/officeDocument/2006/relationships/hyperlink" Target="https://www.gakkou.net/kou/view/index_304251.html" TargetMode="External" Id="rId84" /><Relationship Type="http://schemas.openxmlformats.org/officeDocument/2006/relationships/hyperlink" Target="https://www.gakkou.net/kou/view/index_304136.html" TargetMode="External" Id="rId85" /><Relationship Type="http://schemas.openxmlformats.org/officeDocument/2006/relationships/hyperlink" Target="https://www.gakkou.net/kou/view/index_304261.html" TargetMode="External" Id="rId86" /><Relationship Type="http://schemas.openxmlformats.org/officeDocument/2006/relationships/hyperlink" Target="https://www.gakkou.net/kou/view/index_304231.html" TargetMode="External" Id="rId87" /><Relationship Type="http://schemas.openxmlformats.org/officeDocument/2006/relationships/hyperlink" Target="https://www.gakkou.net/kou/view/index_304093.html" TargetMode="External" Id="rId88" /><Relationship Type="http://schemas.openxmlformats.org/officeDocument/2006/relationships/hyperlink" Target="https://www.gakkou.net/kou/view/index_304272.html" TargetMode="External" Id="rId89" /><Relationship Type="http://schemas.openxmlformats.org/officeDocument/2006/relationships/hyperlink" Target="https://www.gakkou.net/kou/view/index_304082.html" TargetMode="External" Id="rId90" /><Relationship Type="http://schemas.openxmlformats.org/officeDocument/2006/relationships/hyperlink" Target="https://www.gakkou.net/kou/view/index_304143.html" TargetMode="External" Id="rId91" /><Relationship Type="http://schemas.openxmlformats.org/officeDocument/2006/relationships/hyperlink" Target="https://www.gakkou.net/kou/view/index_304138.html" TargetMode="External" Id="rId92" /><Relationship Type="http://schemas.openxmlformats.org/officeDocument/2006/relationships/hyperlink" Target="https://www.gakkou.net/kou/view/index_304086.html" TargetMode="External" Id="rId93" /><Relationship Type="http://schemas.openxmlformats.org/officeDocument/2006/relationships/hyperlink" Target="https://www.gakkou.net/kou/view/index_304065.html" TargetMode="External" Id="rId94" /><Relationship Type="http://schemas.openxmlformats.org/officeDocument/2006/relationships/hyperlink" Target="https://www.gakkou.net/kou/view/index_304089.html" TargetMode="External" Id="rId95" /><Relationship Type="http://schemas.openxmlformats.org/officeDocument/2006/relationships/hyperlink" Target="https://www.gakkou.net/kou/view/index_306371.html" TargetMode="External" Id="rId96" /><Relationship Type="http://schemas.openxmlformats.org/officeDocument/2006/relationships/hyperlink" Target="https://www.gakkou.net/kou/view/index_304339.html" TargetMode="External" Id="rId97" /><Relationship Type="http://schemas.openxmlformats.org/officeDocument/2006/relationships/hyperlink" Target="https://www.gakkou.net/kou/view/index_304139.html" TargetMode="External" Id="rId98" /><Relationship Type="http://schemas.openxmlformats.org/officeDocument/2006/relationships/hyperlink" Target="https://www.gakkou.net/kou/view/index_306441.html" TargetMode="External" Id="rId99" /><Relationship Type="http://schemas.openxmlformats.org/officeDocument/2006/relationships/hyperlink" Target="https://www.gakkou.net/kou/view/index_304176.html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0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架電リスト（大阪府／100校）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大阪府</t>
        </is>
      </c>
      <c r="C5" s="5" t="inlineStr">
        <is>
          <t>箕面市</t>
        </is>
      </c>
      <c r="D5" s="5" t="inlineStr">
        <is>
          <t>アサンプション国際高等学校</t>
        </is>
      </c>
      <c r="E5" s="6" t="inlineStr">
        <is>
          <t>072-721-3080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中高共通番号。1サイトのみ072-721-7680と記載（誤記とみられる）</t>
        </is>
      </c>
      <c r="N5" s="11" t="inlineStr">
        <is>
          <t>https://www.assumption.ed.jp/jsh/</t>
        </is>
      </c>
      <c r="O5" s="12" t="inlineStr">
        <is>
          <t>開く</t>
        </is>
      </c>
    </row>
    <row r="6">
      <c r="A6" s="4" t="n">
        <v>2</v>
      </c>
      <c r="B6" s="5" t="inlineStr">
        <is>
          <t>大阪府</t>
        </is>
      </c>
      <c r="C6" s="5" t="inlineStr">
        <is>
          <t>東大阪市</t>
        </is>
      </c>
      <c r="D6" s="5" t="inlineStr">
        <is>
          <t>アナン学園高等学校</t>
        </is>
      </c>
      <c r="E6" s="6" t="inlineStr">
        <is>
          <t>06-6723-5511</t>
        </is>
      </c>
      <c r="F6" s="7" t="inlineStr">
        <is>
          <t>高</t>
        </is>
      </c>
      <c r="G6" s="5" t="inlineStr">
        <is>
          <t>普通科・専門学科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法人の事業報告書（公式）で確認。1サイトのみ06-6732-1209と記載</t>
        </is>
      </c>
      <c r="N6" s="11" t="inlineStr">
        <is>
          <t>https://www.anangakuen.ed.jp/pdf/infodisclosure/2022/report/report01.pdf</t>
        </is>
      </c>
      <c r="O6" s="12" t="inlineStr">
        <is>
          <t>開く</t>
        </is>
      </c>
    </row>
    <row r="7">
      <c r="A7" s="4" t="n">
        <v>3</v>
      </c>
      <c r="B7" s="5" t="inlineStr">
        <is>
          <t>大阪府</t>
        </is>
      </c>
      <c r="C7" s="5" t="inlineStr">
        <is>
          <t>大阪市阿倍野区</t>
        </is>
      </c>
      <c r="D7" s="5" t="inlineStr">
        <is>
          <t>あべの翔学高等学校</t>
        </is>
      </c>
      <c r="E7" s="6" t="inlineStr">
        <is>
          <t>06-6719-2801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n"/>
      <c r="N7" s="11" t="inlineStr">
        <is>
          <t>https://abeno-shogaku.ed.jp/school/access</t>
        </is>
      </c>
      <c r="O7" s="12" t="inlineStr">
        <is>
          <t>開く</t>
        </is>
      </c>
    </row>
    <row r="8">
      <c r="A8" s="4" t="n">
        <v>4</v>
      </c>
      <c r="B8" s="5" t="inlineStr">
        <is>
          <t>大阪府</t>
        </is>
      </c>
      <c r="C8" s="5" t="inlineStr">
        <is>
          <t>大阪市天王寺区</t>
        </is>
      </c>
      <c r="D8" s="5" t="inlineStr">
        <is>
          <t>上宮高等学校</t>
        </is>
      </c>
      <c r="E8" s="6" t="inlineStr">
        <is>
          <t>06-6771-5701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n"/>
      <c r="N8" s="11" t="inlineStr">
        <is>
          <t>https://www.uenomiya.ed.jp/</t>
        </is>
      </c>
      <c r="O8" s="12" t="inlineStr">
        <is>
          <t>開く</t>
        </is>
      </c>
    </row>
    <row r="9">
      <c r="A9" s="4" t="n">
        <v>5</v>
      </c>
      <c r="B9" s="5" t="inlineStr">
        <is>
          <t>大阪府</t>
        </is>
      </c>
      <c r="C9" s="5" t="inlineStr">
        <is>
          <t>太子町</t>
        </is>
      </c>
      <c r="D9" s="5" t="inlineStr">
        <is>
          <t>上宮太子高等学校</t>
        </is>
      </c>
      <c r="E9" s="6" t="inlineStr">
        <is>
          <t>0721-98-3611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n"/>
      <c r="N9" s="11" t="inlineStr">
        <is>
          <t>https://uenomiya-taishi.ed.jp/contact/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大阪府</t>
        </is>
      </c>
      <c r="C10" s="5" t="inlineStr">
        <is>
          <t>大阪市淀川区</t>
        </is>
      </c>
      <c r="D10" s="5" t="inlineStr">
        <is>
          <t>英真学園高等学校</t>
        </is>
      </c>
      <c r="E10" s="6" t="inlineStr">
        <is>
          <t>06-6303-2181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n"/>
      <c r="N10" s="11" t="inlineStr">
        <is>
          <t>https://eishingakuen.ac.jp/contact/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大阪府</t>
        </is>
      </c>
      <c r="C11" s="5" t="inlineStr">
        <is>
          <t>大阪市福島区</t>
        </is>
      </c>
      <c r="D11" s="5" t="inlineStr">
        <is>
          <t>英風高等学校</t>
        </is>
      </c>
      <c r="E11" s="6" t="inlineStr">
        <is>
          <t>06-6464-0668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通信制（女子）。フリーダイヤル0120-812-078も公式記載</t>
        </is>
      </c>
      <c r="N11" s="11" t="inlineStr">
        <is>
          <t>https://www.eifu.ed.jp/access/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大阪府</t>
        </is>
      </c>
      <c r="C12" s="5" t="inlineStr">
        <is>
          <t>大阪市中央区</t>
        </is>
      </c>
      <c r="D12" s="5" t="inlineStr">
        <is>
          <t>追手門学院大手前高等学校</t>
        </is>
      </c>
      <c r="E12" s="6" t="inlineStr">
        <is>
          <t>06-6942-2235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中高共通番号</t>
        </is>
      </c>
      <c r="N12" s="11" t="inlineStr">
        <is>
          <t>https://www.otemon-js.ed.jp/hs/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大阪府</t>
        </is>
      </c>
      <c r="C13" s="5" t="inlineStr">
        <is>
          <t>茨木市</t>
        </is>
      </c>
      <c r="D13" s="5" t="inlineStr">
        <is>
          <t>追手門学院高等学校</t>
        </is>
      </c>
      <c r="E13" s="6" t="inlineStr">
        <is>
          <t>072-697-8185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中高共通代表。ユネスコ関連ページに072-643-1333の記載あり（旧番号の可能性）</t>
        </is>
      </c>
      <c r="N13" s="11" t="inlineStr">
        <is>
          <t>https://www.otemon-jh.ed.jp/access/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大阪府</t>
        </is>
      </c>
      <c r="C14" s="5" t="inlineStr">
        <is>
          <t>大阪市生野区</t>
        </is>
      </c>
      <c r="D14" s="5" t="inlineStr">
        <is>
          <t>大阪偕星学園高等学校</t>
        </is>
      </c>
      <c r="E14" s="6" t="inlineStr">
        <is>
          <t>06-6716-0003</t>
        </is>
      </c>
      <c r="F14" s="7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n"/>
      <c r="N14" s="11" t="inlineStr">
        <is>
          <t>https://www.osaka-kaisei.ac.jp/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大阪府</t>
        </is>
      </c>
      <c r="C15" s="5" t="inlineStr">
        <is>
          <t>吹田市</t>
        </is>
      </c>
      <c r="D15" s="5" t="inlineStr">
        <is>
          <t>大阪学院大学高等学校</t>
        </is>
      </c>
      <c r="E15" s="6" t="inlineStr">
        <is>
          <t>06-6381-6661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n"/>
      <c r="N15" s="11" t="inlineStr">
        <is>
          <t>https://www.ogu-h.ed.jp/access.html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大阪府</t>
        </is>
      </c>
      <c r="C16" s="5" t="inlineStr">
        <is>
          <t>大阪市住吉区</t>
        </is>
      </c>
      <c r="D16" s="5" t="inlineStr">
        <is>
          <t>大阪学芸高等学校</t>
        </is>
      </c>
      <c r="E16" s="6" t="inlineStr">
        <is>
          <t>06-6693-6301</t>
        </is>
      </c>
      <c r="F16" s="7" t="inlineStr">
        <is>
          <t>高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法人代表は06-6693-6303</t>
        </is>
      </c>
      <c r="N16" s="11" t="inlineStr">
        <is>
          <t>https://www.osakagakugei.ac.jp/senior/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大阪府</t>
        </is>
      </c>
      <c r="C17" s="5" t="inlineStr">
        <is>
          <t>河内長野市</t>
        </is>
      </c>
      <c r="D17" s="5" t="inlineStr">
        <is>
          <t>大阪暁光高等学校</t>
        </is>
      </c>
      <c r="E17" s="6" t="inlineStr">
        <is>
          <t>0721-53-5281</t>
        </is>
      </c>
      <c r="F17" s="7" t="inlineStr">
        <is>
          <t>高</t>
        </is>
      </c>
      <c r="G17" s="5" t="inlineStr">
        <is>
          <t>普通科・専門学科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入試広報室は0721-26-7098</t>
        </is>
      </c>
      <c r="N17" s="11" t="inlineStr">
        <is>
          <t>https://www.osakagyoko.ed.jp/official/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大阪府</t>
        </is>
      </c>
      <c r="C18" s="5" t="inlineStr">
        <is>
          <t>摂津市</t>
        </is>
      </c>
      <c r="D18" s="5" t="inlineStr">
        <is>
          <t>大阪薫英女学院高等学校</t>
        </is>
      </c>
      <c r="E18" s="6" t="inlineStr">
        <is>
          <t>06-6381-5381</t>
        </is>
      </c>
      <c r="F18" s="7" t="inlineStr">
        <is>
          <t>高</t>
        </is>
      </c>
      <c r="G18" s="5" t="inlineStr">
        <is>
          <t>普通科・専門学科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入試直通06-6381-0335。法人代表は06-6381-6548</t>
        </is>
      </c>
      <c r="N18" s="11" t="inlineStr">
        <is>
          <t>https://www.kun-ei.jp/contact/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大阪府</t>
        </is>
      </c>
      <c r="C19" s="5" t="inlineStr">
        <is>
          <t>大阪市東淀川区</t>
        </is>
      </c>
      <c r="D19" s="5" t="inlineStr">
        <is>
          <t>大阪高等学校</t>
        </is>
      </c>
      <c r="E19" s="6" t="inlineStr">
        <is>
          <t>06-6340-3031</t>
        </is>
      </c>
      <c r="F19" s="7" t="inlineStr">
        <is>
          <t>高</t>
        </is>
      </c>
      <c r="G19" s="5" t="inlineStr">
        <is>
          <t>普通科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大阪市東淀川区ページでも一致</t>
        </is>
      </c>
      <c r="N19" s="11" t="inlineStr">
        <is>
          <t>https://www.osakashs.ed.jp/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大阪府</t>
        </is>
      </c>
      <c r="C20" s="5" t="inlineStr">
        <is>
          <t>守口市</t>
        </is>
      </c>
      <c r="D20" s="5" t="inlineStr">
        <is>
          <t>大阪国際高等学校</t>
        </is>
      </c>
      <c r="E20" s="6" t="inlineStr">
        <is>
          <t>06-6992-5931</t>
        </is>
      </c>
      <c r="F20" s="7" t="inlineStr">
        <is>
          <t>高</t>
        </is>
      </c>
      <c r="G20" s="5" t="inlineStr">
        <is>
          <t>普通科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中高一体（大阪国際中学校高等学校）。所在地は守口市松下町。募集広報部直通06-6992-5941</t>
        </is>
      </c>
      <c r="N20" s="11" t="inlineStr">
        <is>
          <t>https://www.kokusai-h.oiu.ed.jp/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大阪府</t>
        </is>
      </c>
      <c r="C21" s="5" t="inlineStr">
        <is>
          <t>大阪市住之江区</t>
        </is>
      </c>
      <c r="D21" s="5" t="inlineStr">
        <is>
          <t>大阪金剛インターナショナル高等学校</t>
        </is>
      </c>
      <c r="E21" s="6" t="inlineStr">
        <is>
          <t>06-4703-1780</t>
        </is>
      </c>
      <c r="F21" s="7" t="inlineStr">
        <is>
          <t>高</t>
        </is>
      </c>
      <c r="G21" s="5" t="inlineStr">
        <is>
          <t>普通科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一部サイトに06-4703-1781の記載あり</t>
        </is>
      </c>
      <c r="N21" s="11" t="inlineStr">
        <is>
          <t>https://www.kongogakuen.ed.jp/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大阪府</t>
        </is>
      </c>
      <c r="C22" s="5" t="inlineStr">
        <is>
          <t>大阪市城東区</t>
        </is>
      </c>
      <c r="D22" s="5" t="inlineStr">
        <is>
          <t>大阪産業大学附属高等学校</t>
        </is>
      </c>
      <c r="E22" s="6" t="inlineStr">
        <is>
          <t>06-6939-1491</t>
        </is>
      </c>
      <c r="F22" s="7" t="inlineStr">
        <is>
          <t>高</t>
        </is>
      </c>
      <c r="G22" s="5" t="inlineStr">
        <is>
          <t>普通科・専門学科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n"/>
      <c r="N22" s="11" t="inlineStr">
        <is>
          <t>https://www.osaka-sandai.ed.jp/guide/outline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大阪府</t>
        </is>
      </c>
      <c r="C23" s="5" t="inlineStr">
        <is>
          <t>東大阪市</t>
        </is>
      </c>
      <c r="D23" s="5" t="inlineStr">
        <is>
          <t>大阪商業大学高等学校</t>
        </is>
      </c>
      <c r="E23" s="6" t="inlineStr">
        <is>
          <t>06-6781-3050</t>
        </is>
      </c>
      <c r="F23" s="7" t="inlineStr">
        <is>
          <t>高</t>
        </is>
      </c>
      <c r="G23" s="5" t="inlineStr">
        <is>
          <t>普通科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inlineStr">
        <is>
          <t>一部電話帳サイトに06-6781-3060の記載あり（公式と不一致）</t>
        </is>
      </c>
      <c r="N23" s="11" t="inlineStr">
        <is>
          <t>https://www.daishodai-h.ed.jp/contact/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大阪府</t>
        </is>
      </c>
      <c r="C24" s="5" t="inlineStr">
        <is>
          <t>堺市中区</t>
        </is>
      </c>
      <c r="D24" s="5" t="inlineStr">
        <is>
          <t>大阪商業大学堺高等学校</t>
        </is>
      </c>
      <c r="E24" s="6" t="inlineStr">
        <is>
          <t>072-278-2252</t>
        </is>
      </c>
      <c r="F24" s="7" t="inlineStr">
        <is>
          <t>高</t>
        </is>
      </c>
      <c r="G24" s="5" t="inlineStr">
        <is>
          <t>普通科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n"/>
      <c r="N24" s="11" t="inlineStr">
        <is>
          <t>https://www.shodaisakai.ac.jp/inquiry/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大阪府</t>
        </is>
      </c>
      <c r="C25" s="5" t="inlineStr">
        <is>
          <t>大阪市城東区</t>
        </is>
      </c>
      <c r="D25" s="5" t="inlineStr">
        <is>
          <t>大阪信愛学院高等学校</t>
        </is>
      </c>
      <c r="E25" s="6" t="inlineStr">
        <is>
          <t>06-6939-4391</t>
        </is>
      </c>
      <c r="F25" s="7" t="inlineStr">
        <is>
          <t>高</t>
        </is>
      </c>
      <c r="G25" s="5" t="inlineStr">
        <is>
          <t>普通科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inlineStr">
        <is>
          <t>公式に「代表」と明記。公式アクセス・問合せページには06-6167-8546の記載もあり</t>
        </is>
      </c>
      <c r="N25" s="11" t="inlineStr">
        <is>
          <t>https://high.osaka-shinai.ed.jp/admissions/opencampus/</t>
        </is>
      </c>
      <c r="O25" s="12" t="inlineStr">
        <is>
          <t>開く</t>
        </is>
      </c>
    </row>
    <row r="26">
      <c r="A26" s="4" t="n">
        <v>22</v>
      </c>
      <c r="B26" s="5" t="inlineStr">
        <is>
          <t>大阪府</t>
        </is>
      </c>
      <c r="C26" s="5" t="inlineStr">
        <is>
          <t>大阪市中央区</t>
        </is>
      </c>
      <c r="D26" s="5" t="inlineStr">
        <is>
          <t>大阪女学院高等学校</t>
        </is>
      </c>
      <c r="E26" s="6" t="inlineStr">
        <is>
          <t>06-6761-4113</t>
        </is>
      </c>
      <c r="F26" s="7" t="inlineStr">
        <is>
          <t>高</t>
        </is>
      </c>
      <c r="G26" s="5" t="inlineStr">
        <is>
          <t>普通科・専門学科</t>
        </is>
      </c>
      <c r="H26" s="8" t="n"/>
      <c r="I26" s="9" t="n"/>
      <c r="J26" s="9" t="inlineStr">
        <is>
          <t>未架電</t>
        </is>
      </c>
      <c r="K26" s="8" t="n"/>
      <c r="L26" s="9" t="n"/>
      <c r="M26" s="10" t="inlineStr">
        <is>
          <t>法人事務局は06-6761-4013</t>
        </is>
      </c>
      <c r="N26" s="11" t="inlineStr">
        <is>
          <t>https://www.osaka-jogakuin.ed.jp/contact/</t>
        </is>
      </c>
      <c r="O26" s="12" t="inlineStr">
        <is>
          <t>開く</t>
        </is>
      </c>
    </row>
    <row r="27">
      <c r="A27" s="4" t="n">
        <v>23</v>
      </c>
      <c r="B27" s="5" t="inlineStr">
        <is>
          <t>大阪府</t>
        </is>
      </c>
      <c r="C27" s="5" t="inlineStr">
        <is>
          <t>大阪市東淀川区</t>
        </is>
      </c>
      <c r="D27" s="5" t="inlineStr">
        <is>
          <t>大阪成蹊女子高等学校</t>
        </is>
      </c>
      <c r="E27" s="6" t="inlineStr">
        <is>
          <t>06-6829-2510</t>
        </is>
      </c>
      <c r="F27" s="7" t="inlineStr">
        <is>
          <t>高</t>
        </is>
      </c>
      <c r="G27" s="5" t="inlineStr">
        <is>
          <t>普通科・専門学科</t>
        </is>
      </c>
      <c r="H27" s="8" t="n"/>
      <c r="I27" s="9" t="n"/>
      <c r="J27" s="9" t="inlineStr">
        <is>
          <t>未架電</t>
        </is>
      </c>
      <c r="K27" s="8" t="n"/>
      <c r="L27" s="9" t="n"/>
      <c r="M27" s="10" t="inlineStr">
        <is>
          <t>募集広報企画室は06-6829-2514</t>
        </is>
      </c>
      <c r="N27" s="11" t="inlineStr">
        <is>
          <t>https://high.osaka-seikei.jp/access/</t>
        </is>
      </c>
      <c r="O27" s="12" t="inlineStr">
        <is>
          <t>開く</t>
        </is>
      </c>
    </row>
    <row r="28">
      <c r="A28" s="4" t="n">
        <v>24</v>
      </c>
      <c r="B28" s="5" t="inlineStr">
        <is>
          <t>大阪府</t>
        </is>
      </c>
      <c r="C28" s="5" t="inlineStr">
        <is>
          <t>大阪市天王寺区</t>
        </is>
      </c>
      <c r="D28" s="5" t="inlineStr">
        <is>
          <t>大阪星光学院高等学校</t>
        </is>
      </c>
      <c r="E28" s="6" t="inlineStr">
        <is>
          <t>06-6771-0737</t>
        </is>
      </c>
      <c r="F28" s="7" t="inlineStr">
        <is>
          <t>高</t>
        </is>
      </c>
      <c r="G28" s="5" t="inlineStr">
        <is>
          <t>普通科</t>
        </is>
      </c>
      <c r="H28" s="8" t="n"/>
      <c r="I28" s="9" t="n"/>
      <c r="J28" s="9" t="inlineStr">
        <is>
          <t>未架電</t>
        </is>
      </c>
      <c r="K28" s="8" t="n"/>
      <c r="L28" s="9" t="n"/>
      <c r="M28" s="10" t="inlineStr">
        <is>
          <t>中高共通。高校からの募集は停止との第三者情報あり</t>
        </is>
      </c>
      <c r="N28" s="11" t="inlineStr">
        <is>
          <t>http://www.osakaseiko.ac.jp/access/access.html</t>
        </is>
      </c>
      <c r="O28" s="12" t="inlineStr">
        <is>
          <t>開く</t>
        </is>
      </c>
    </row>
    <row r="29">
      <c r="A29" s="4" t="n">
        <v>25</v>
      </c>
      <c r="B29" s="5" t="inlineStr">
        <is>
          <t>大阪府</t>
        </is>
      </c>
      <c r="C29" s="5" t="inlineStr">
        <is>
          <t>島本町</t>
        </is>
      </c>
      <c r="D29" s="5" t="inlineStr">
        <is>
          <t>大阪青凌高等学校</t>
        </is>
      </c>
      <c r="E29" s="6" t="inlineStr">
        <is>
          <t>075-754-7771</t>
        </is>
      </c>
      <c r="F29" s="7" t="inlineStr">
        <is>
          <t>高</t>
        </is>
      </c>
      <c r="G29" s="5" t="inlineStr">
        <is>
          <t>普通科</t>
        </is>
      </c>
      <c r="H29" s="8" t="n"/>
      <c r="I29" s="9" t="n"/>
      <c r="J29" s="9" t="inlineStr">
        <is>
          <t>未架電</t>
        </is>
      </c>
      <c r="K29" s="8" t="n"/>
      <c r="L29" s="9" t="n"/>
      <c r="M29" s="10" t="inlineStr">
        <is>
          <t>2020年に三島郡島本町へ移転（旧・高槻市の番号は072-669-4111）。入試広報室は075-754-7754</t>
        </is>
      </c>
      <c r="N29" s="11" t="inlineStr">
        <is>
          <t>https://www.osakaseiryo.jp/access/</t>
        </is>
      </c>
      <c r="O29" s="12" t="inlineStr">
        <is>
          <t>開く</t>
        </is>
      </c>
    </row>
    <row r="30">
      <c r="A30" s="4" t="n">
        <v>26</v>
      </c>
      <c r="B30" s="5" t="inlineStr">
        <is>
          <t>大阪府</t>
        </is>
      </c>
      <c r="C30" s="5" t="inlineStr">
        <is>
          <t>熊取町</t>
        </is>
      </c>
      <c r="D30" s="5" t="inlineStr">
        <is>
          <t>大阪体育大学浪商高等学校</t>
        </is>
      </c>
      <c r="E30" s="6" t="inlineStr">
        <is>
          <t>072-453-7001</t>
        </is>
      </c>
      <c r="F30" s="7" t="inlineStr">
        <is>
          <t>高</t>
        </is>
      </c>
      <c r="G30" s="5" t="inlineStr">
        <is>
          <t>普通科</t>
        </is>
      </c>
      <c r="H30" s="8" t="n"/>
      <c r="I30" s="9" t="n"/>
      <c r="J30" s="9" t="inlineStr">
        <is>
          <t>未架電</t>
        </is>
      </c>
      <c r="K30" s="8" t="n"/>
      <c r="L30" s="9" t="n"/>
      <c r="M30" s="10" t="inlineStr">
        <is>
          <t>入試対策室は072-453-7972</t>
        </is>
      </c>
      <c r="N30" s="11" t="inlineStr">
        <is>
          <t>https://www.ouhs-school.jp/namisho/</t>
        </is>
      </c>
      <c r="O30" s="12" t="inlineStr">
        <is>
          <t>開く</t>
        </is>
      </c>
    </row>
    <row r="31">
      <c r="A31" s="4" t="n">
        <v>27</v>
      </c>
      <c r="B31" s="5" t="inlineStr">
        <is>
          <t>大阪府</t>
        </is>
      </c>
      <c r="C31" s="5" t="inlineStr">
        <is>
          <t>守口市</t>
        </is>
      </c>
      <c r="D31" s="5" t="inlineStr">
        <is>
          <t>大阪電気通信大学高等学校</t>
        </is>
      </c>
      <c r="E31" s="6" t="inlineStr">
        <is>
          <t>06-6992-6261</t>
        </is>
      </c>
      <c r="F31" s="7" t="inlineStr">
        <is>
          <t>高</t>
        </is>
      </c>
      <c r="G31" s="5" t="inlineStr">
        <is>
          <t>普通科・専門学科</t>
        </is>
      </c>
      <c r="H31" s="8" t="n"/>
      <c r="I31" s="9" t="n"/>
      <c r="J31" s="9" t="inlineStr">
        <is>
          <t>未架電</t>
        </is>
      </c>
      <c r="K31" s="8" t="n"/>
      <c r="L31" s="9" t="n"/>
      <c r="M31" s="10" t="inlineStr">
        <is>
          <t>大学法人の公式サイトに「代表」と記載</t>
        </is>
      </c>
      <c r="N31" s="11" t="inlineStr">
        <is>
          <t>https://www.osakac.ac.jp/corp/access/</t>
        </is>
      </c>
      <c r="O31" s="12" t="inlineStr">
        <is>
          <t>開く</t>
        </is>
      </c>
    </row>
    <row r="32">
      <c r="A32" s="4" t="n">
        <v>28</v>
      </c>
      <c r="B32" s="5" t="inlineStr">
        <is>
          <t>大阪府</t>
        </is>
      </c>
      <c r="C32" s="5" t="inlineStr">
        <is>
          <t>大東市</t>
        </is>
      </c>
      <c r="D32" s="5" t="inlineStr">
        <is>
          <t>大阪桐蔭高等学校</t>
        </is>
      </c>
      <c r="E32" s="6" t="inlineStr">
        <is>
          <t>072-870-1001</t>
        </is>
      </c>
      <c r="F32" s="7" t="inlineStr">
        <is>
          <t>高</t>
        </is>
      </c>
      <c r="G32" s="5" t="inlineStr">
        <is>
          <t>普通科</t>
        </is>
      </c>
      <c r="H32" s="8" t="n"/>
      <c r="I32" s="9" t="n"/>
      <c r="J32" s="9" t="inlineStr">
        <is>
          <t>未架電</t>
        </is>
      </c>
      <c r="K32" s="8" t="n"/>
      <c r="L32" s="9" t="n"/>
      <c r="M32" s="10" t="inlineStr">
        <is>
          <t>公式サイトのフッター・大東市HPで一致</t>
        </is>
      </c>
      <c r="N32" s="11" t="inlineStr">
        <is>
          <t>https://www.osakatoin.ed.jp/access/</t>
        </is>
      </c>
      <c r="O32" s="12" t="inlineStr">
        <is>
          <t>開く</t>
        </is>
      </c>
    </row>
    <row r="33">
      <c r="A33" s="4" t="n">
        <v>29</v>
      </c>
      <c r="B33" s="5" t="inlineStr">
        <is>
          <t>大阪府</t>
        </is>
      </c>
      <c r="C33" s="5" t="inlineStr">
        <is>
          <t>大阪市天王寺区</t>
        </is>
      </c>
      <c r="D33" s="5" t="inlineStr">
        <is>
          <t>大阪夕陽丘学園高等学校</t>
        </is>
      </c>
      <c r="E33" s="6" t="inlineStr">
        <is>
          <t>06-6771-9510</t>
        </is>
      </c>
      <c r="F33" s="7" t="inlineStr">
        <is>
          <t>高</t>
        </is>
      </c>
      <c r="G33" s="5" t="inlineStr">
        <is>
          <t>普通科</t>
        </is>
      </c>
      <c r="H33" s="8" t="n"/>
      <c r="I33" s="9" t="n"/>
      <c r="J33" s="9" t="inlineStr">
        <is>
          <t>未架電</t>
        </is>
      </c>
      <c r="K33" s="8" t="n"/>
      <c r="L33" s="9" t="n"/>
      <c r="M33" s="10" t="n"/>
      <c r="N33" s="11" t="inlineStr">
        <is>
          <t>https://www.oyg.ed.jp/about/</t>
        </is>
      </c>
      <c r="O33" s="12" t="inlineStr">
        <is>
          <t>開く</t>
        </is>
      </c>
    </row>
    <row r="34">
      <c r="A34" s="4" t="n">
        <v>30</v>
      </c>
      <c r="B34" s="5" t="inlineStr">
        <is>
          <t>大阪府</t>
        </is>
      </c>
      <c r="C34" s="5" t="inlineStr">
        <is>
          <t>藤井寺市</t>
        </is>
      </c>
      <c r="D34" s="5" t="inlineStr">
        <is>
          <t>大阪緑涼高等学校</t>
        </is>
      </c>
      <c r="E34" s="6" t="inlineStr">
        <is>
          <t>072-955-0718</t>
        </is>
      </c>
      <c r="F34" s="7" t="inlineStr">
        <is>
          <t>高</t>
        </is>
      </c>
      <c r="G34" s="5" t="inlineStr">
        <is>
          <t>普通科</t>
        </is>
      </c>
      <c r="H34" s="8" t="n"/>
      <c r="I34" s="9" t="n"/>
      <c r="J34" s="9" t="inlineStr">
        <is>
          <t>未架電</t>
        </is>
      </c>
      <c r="K34" s="8" t="n"/>
      <c r="L34" s="9" t="n"/>
      <c r="M34" s="10" t="n"/>
      <c r="N34" s="11" t="inlineStr">
        <is>
          <t>https://www.osakaryokuryo.ed.jp/</t>
        </is>
      </c>
      <c r="O34" s="12" t="inlineStr">
        <is>
          <t>開く</t>
        </is>
      </c>
    </row>
    <row r="35">
      <c r="A35" s="4" t="n">
        <v>31</v>
      </c>
      <c r="B35" s="5" t="inlineStr">
        <is>
          <t>大阪府</t>
        </is>
      </c>
      <c r="C35" s="5" t="inlineStr">
        <is>
          <t>大阪市阿倍野区</t>
        </is>
      </c>
      <c r="D35" s="5" t="inlineStr">
        <is>
          <t>大谷高等学校（大阪府）</t>
        </is>
      </c>
      <c r="E35" s="6" t="inlineStr">
        <is>
          <t>06-6661-8400</t>
        </is>
      </c>
      <c r="F35" s="7" t="inlineStr">
        <is>
          <t>高</t>
        </is>
      </c>
      <c r="G35" s="5" t="inlineStr">
        <is>
          <t>普通科</t>
        </is>
      </c>
      <c r="H35" s="8" t="n"/>
      <c r="I35" s="9" t="n"/>
      <c r="J35" s="9" t="inlineStr">
        <is>
          <t>未架電</t>
        </is>
      </c>
      <c r="K35" s="8" t="n"/>
      <c r="L35" s="9" t="n"/>
      <c r="M35" s="10" t="inlineStr">
        <is>
          <t>中学校は06-6661-0385</t>
        </is>
      </c>
      <c r="N35" s="11" t="inlineStr">
        <is>
          <t>https://www.osk-ohtani.ed.jp/policy/</t>
        </is>
      </c>
      <c r="O35" s="12" t="inlineStr">
        <is>
          <t>開く</t>
        </is>
      </c>
    </row>
    <row r="36">
      <c r="A36" s="4" t="n">
        <v>32</v>
      </c>
      <c r="B36" s="5" t="inlineStr">
        <is>
          <t>大阪府</t>
        </is>
      </c>
      <c r="C36" s="5" t="inlineStr">
        <is>
          <t>大阪市城東区</t>
        </is>
      </c>
      <c r="D36" s="5" t="inlineStr">
        <is>
          <t>開明高等学校</t>
        </is>
      </c>
      <c r="E36" s="6" t="inlineStr">
        <is>
          <t>06-6932-4461</t>
        </is>
      </c>
      <c r="F36" s="7" t="inlineStr">
        <is>
          <t>高</t>
        </is>
      </c>
      <c r="G36" s="5" t="inlineStr">
        <is>
          <t>普通科</t>
        </is>
      </c>
      <c r="H36" s="8" t="n"/>
      <c r="I36" s="9" t="n"/>
      <c r="J36" s="9" t="inlineStr">
        <is>
          <t>未架電</t>
        </is>
      </c>
      <c r="K36" s="8" t="n"/>
      <c r="L36" s="9" t="n"/>
      <c r="M36" s="10" t="inlineStr">
        <is>
          <t>中高共通</t>
        </is>
      </c>
      <c r="N36" s="11" t="inlineStr">
        <is>
          <t>https://kaimei.ed.jp/</t>
        </is>
      </c>
      <c r="O36" s="12" t="inlineStr">
        <is>
          <t>開く</t>
        </is>
      </c>
    </row>
    <row r="37">
      <c r="A37" s="4" t="n">
        <v>33</v>
      </c>
      <c r="B37" s="5" t="inlineStr">
        <is>
          <t>大阪府</t>
        </is>
      </c>
      <c r="C37" s="5" t="inlineStr">
        <is>
          <t>堺市堺区</t>
        </is>
      </c>
      <c r="D37" s="5" t="inlineStr">
        <is>
          <t>香ヶ丘リベルテ高等学校</t>
        </is>
      </c>
      <c r="E37" s="6" t="inlineStr">
        <is>
          <t>072-238-7881</t>
        </is>
      </c>
      <c r="F37" s="7" t="inlineStr">
        <is>
          <t>高</t>
        </is>
      </c>
      <c r="G37" s="5" t="inlineStr">
        <is>
          <t>普通科・専門学科</t>
        </is>
      </c>
      <c r="H37" s="8" t="n"/>
      <c r="I37" s="9" t="n"/>
      <c r="J37" s="9" t="inlineStr">
        <is>
          <t>未架電</t>
        </is>
      </c>
      <c r="K37" s="8" t="n"/>
      <c r="L37" s="9" t="n"/>
      <c r="M37" s="10" t="n"/>
      <c r="N37" s="11" t="inlineStr">
        <is>
          <t>https://liberte.ed.jp/</t>
        </is>
      </c>
      <c r="O37" s="12" t="inlineStr">
        <is>
          <t>開く</t>
        </is>
      </c>
    </row>
    <row r="38">
      <c r="A38" s="4" t="n">
        <v>34</v>
      </c>
      <c r="B38" s="5" t="inlineStr">
        <is>
          <t>大阪府</t>
        </is>
      </c>
      <c r="C38" s="5" t="inlineStr">
        <is>
          <t>茨木市</t>
        </is>
      </c>
      <c r="D38" s="5" t="inlineStr">
        <is>
          <t>関西大倉高等学校</t>
        </is>
      </c>
      <c r="E38" s="6" t="inlineStr">
        <is>
          <t>072-643-6321</t>
        </is>
      </c>
      <c r="F38" s="7" t="inlineStr">
        <is>
          <t>高</t>
        </is>
      </c>
      <c r="G38" s="5" t="inlineStr">
        <is>
          <t>普通科</t>
        </is>
      </c>
      <c r="H38" s="8" t="n"/>
      <c r="I38" s="9" t="n"/>
      <c r="J38" s="9" t="inlineStr">
        <is>
          <t>未架電</t>
        </is>
      </c>
      <c r="K38" s="8" t="n"/>
      <c r="L38" s="9" t="n"/>
      <c r="M38" s="10" t="n"/>
      <c r="N38" s="11" t="inlineStr">
        <is>
          <t>https://www.kankura.jp/</t>
        </is>
      </c>
      <c r="O38" s="12" t="inlineStr">
        <is>
          <t>開く</t>
        </is>
      </c>
    </row>
    <row r="39">
      <c r="A39" s="4" t="n">
        <v>35</v>
      </c>
      <c r="B39" s="5" t="inlineStr">
        <is>
          <t>大阪府</t>
        </is>
      </c>
      <c r="C39" s="5" t="inlineStr">
        <is>
          <t>交野市</t>
        </is>
      </c>
      <c r="D39" s="5" t="inlineStr">
        <is>
          <t>関西創価高等学校</t>
        </is>
      </c>
      <c r="E39" s="6" t="inlineStr">
        <is>
          <t>072-891-0011</t>
        </is>
      </c>
      <c r="F39" s="7" t="inlineStr">
        <is>
          <t>高</t>
        </is>
      </c>
      <c r="G39" s="5" t="inlineStr">
        <is>
          <t>普通科</t>
        </is>
      </c>
      <c r="H39" s="8" t="n"/>
      <c r="I39" s="9" t="n"/>
      <c r="J39" s="9" t="inlineStr">
        <is>
          <t>未架電</t>
        </is>
      </c>
      <c r="K39" s="8" t="n"/>
      <c r="L39" s="9" t="n"/>
      <c r="M39" s="10" t="n"/>
      <c r="N39" s="11" t="inlineStr">
        <is>
          <t>https://kansai-senior.soka.ed.jp/access/</t>
        </is>
      </c>
      <c r="O39" s="12" t="inlineStr">
        <is>
          <t>開く</t>
        </is>
      </c>
    </row>
    <row r="40">
      <c r="A40" s="4" t="n">
        <v>36</v>
      </c>
      <c r="B40" s="5" t="inlineStr">
        <is>
          <t>大阪府</t>
        </is>
      </c>
      <c r="C40" s="5" t="inlineStr">
        <is>
          <t>高槻市</t>
        </is>
      </c>
      <c r="D40" s="5" t="inlineStr">
        <is>
          <t>関西大学高等部</t>
        </is>
      </c>
      <c r="E40" s="6" t="inlineStr">
        <is>
          <t>072-684-4327</t>
        </is>
      </c>
      <c r="F40" s="7" t="inlineStr">
        <is>
          <t>高</t>
        </is>
      </c>
      <c r="G40" s="5" t="inlineStr">
        <is>
          <t>普通科</t>
        </is>
      </c>
      <c r="H40" s="8" t="n"/>
      <c r="I40" s="9" t="n"/>
      <c r="J40" s="9" t="inlineStr">
        <is>
          <t>未架電</t>
        </is>
      </c>
      <c r="K40" s="8" t="n"/>
      <c r="L40" s="9" t="n"/>
      <c r="M40" s="10" t="inlineStr">
        <is>
          <t>高槻ミューズキャンパス内。キャンパス代表は072-684-4000</t>
        </is>
      </c>
      <c r="N40" s="11" t="inlineStr">
        <is>
          <t>https://www.kansai-u.ac.jp/Fc_ss/access.php</t>
        </is>
      </c>
      <c r="O40" s="12" t="inlineStr">
        <is>
          <t>開く</t>
        </is>
      </c>
    </row>
    <row r="41">
      <c r="A41" s="4" t="n">
        <v>37</v>
      </c>
      <c r="B41" s="5" t="inlineStr">
        <is>
          <t>大阪府</t>
        </is>
      </c>
      <c r="C41" s="5" t="inlineStr">
        <is>
          <t>吹田市</t>
        </is>
      </c>
      <c r="D41" s="5" t="inlineStr">
        <is>
          <t>関西大学第一高等学校</t>
        </is>
      </c>
      <c r="E41" s="6" t="inlineStr">
        <is>
          <t>06-6337-7750</t>
        </is>
      </c>
      <c r="F41" s="7" t="inlineStr">
        <is>
          <t>高</t>
        </is>
      </c>
      <c r="G41" s="5" t="inlineStr">
        <is>
          <t>普通科</t>
        </is>
      </c>
      <c r="H41" s="8" t="n"/>
      <c r="I41" s="9" t="n"/>
      <c r="J41" s="9" t="inlineStr">
        <is>
          <t>未架電</t>
        </is>
      </c>
      <c r="K41" s="8" t="n"/>
      <c r="L41" s="9" t="n"/>
      <c r="M41" s="10" t="n"/>
      <c r="N41" s="11" t="inlineStr">
        <is>
          <t>https://www.kansai-u.ac.jp/dai-ichi/high/</t>
        </is>
      </c>
      <c r="O41" s="12" t="inlineStr">
        <is>
          <t>開く</t>
        </is>
      </c>
    </row>
    <row r="42">
      <c r="A42" s="4" t="n">
        <v>38</v>
      </c>
      <c r="B42" s="5" t="inlineStr">
        <is>
          <t>大阪府</t>
        </is>
      </c>
      <c r="C42" s="5" t="inlineStr">
        <is>
          <t>大阪市東淀川区</t>
        </is>
      </c>
      <c r="D42" s="5" t="inlineStr">
        <is>
          <t>関西大学北陽高等学校</t>
        </is>
      </c>
      <c r="E42" s="6" t="inlineStr">
        <is>
          <t>06-6328-5964</t>
        </is>
      </c>
      <c r="F42" s="7" t="inlineStr">
        <is>
          <t>高</t>
        </is>
      </c>
      <c r="G42" s="5" t="inlineStr">
        <is>
          <t>普通科</t>
        </is>
      </c>
      <c r="H42" s="8" t="n"/>
      <c r="I42" s="9" t="n"/>
      <c r="J42" s="9" t="inlineStr">
        <is>
          <t>未架電</t>
        </is>
      </c>
      <c r="K42" s="8" t="n"/>
      <c r="L42" s="9" t="n"/>
      <c r="M42" s="10" t="n"/>
      <c r="N42" s="11" t="inlineStr">
        <is>
          <t>https://www.kansai-u.ac.jp/hokuyo/header/access.html</t>
        </is>
      </c>
      <c r="O42" s="12" t="inlineStr">
        <is>
          <t>開く</t>
        </is>
      </c>
    </row>
    <row r="43">
      <c r="A43" s="4" t="n">
        <v>39</v>
      </c>
      <c r="B43" s="5" t="inlineStr">
        <is>
          <t>大阪府</t>
        </is>
      </c>
      <c r="C43" s="5" t="inlineStr">
        <is>
          <t>柏原市</t>
        </is>
      </c>
      <c r="D43" s="5" t="inlineStr">
        <is>
          <t>関西福祉科学大学高等学校</t>
        </is>
      </c>
      <c r="E43" s="6" t="inlineStr">
        <is>
          <t>072-976-1112</t>
        </is>
      </c>
      <c r="F43" s="7" t="inlineStr">
        <is>
          <t>高</t>
        </is>
      </c>
      <c r="G43" s="5" t="inlineStr">
        <is>
          <t>普通科</t>
        </is>
      </c>
      <c r="H43" s="8" t="n"/>
      <c r="I43" s="9" t="n"/>
      <c r="J43" s="9" t="inlineStr">
        <is>
          <t>未架電</t>
        </is>
      </c>
      <c r="K43" s="8" t="n"/>
      <c r="L43" s="9" t="n"/>
      <c r="M43" s="10" t="inlineStr">
        <is>
          <t>公式表記は072-976-1112〜5</t>
        </is>
      </c>
      <c r="N43" s="11" t="inlineStr">
        <is>
          <t>https://www.hs.fuksi-kagk-u.ac.jp/contact/</t>
        </is>
      </c>
      <c r="O43" s="12" t="inlineStr">
        <is>
          <t>開く</t>
        </is>
      </c>
    </row>
    <row r="44">
      <c r="A44" s="4" t="n">
        <v>40</v>
      </c>
      <c r="B44" s="5" t="inlineStr">
        <is>
          <t>大阪府</t>
        </is>
      </c>
      <c r="C44" s="5" t="inlineStr">
        <is>
          <t>箕面市</t>
        </is>
      </c>
      <c r="D44" s="5" t="inlineStr">
        <is>
          <t>関西学院千里国際高等部</t>
        </is>
      </c>
      <c r="E44" s="6" t="inlineStr">
        <is>
          <t>072-727-5050</t>
        </is>
      </c>
      <c r="F44" s="7" t="inlineStr">
        <is>
          <t>高</t>
        </is>
      </c>
      <c r="G44" s="5" t="inlineStr">
        <is>
          <t>普通科</t>
        </is>
      </c>
      <c r="H44" s="8" t="n"/>
      <c r="I44" s="9" t="n"/>
      <c r="J44" s="9" t="inlineStr">
        <is>
          <t>未架電</t>
        </is>
      </c>
      <c r="K44" s="8" t="n"/>
      <c r="L44" s="9" t="n"/>
      <c r="M44" s="10" t="inlineStr">
        <is>
          <t>072-727-5070は中等部等の別番号とみられる</t>
        </is>
      </c>
      <c r="N44" s="11" t="inlineStr">
        <is>
          <t>https://sis.kwansei.ac.jp/contact</t>
        </is>
      </c>
      <c r="O44" s="12" t="inlineStr">
        <is>
          <t>開く</t>
        </is>
      </c>
    </row>
    <row r="45">
      <c r="A45" s="4" t="n">
        <v>41</v>
      </c>
      <c r="B45" s="5" t="inlineStr">
        <is>
          <t>大阪府</t>
        </is>
      </c>
      <c r="C45" s="5" t="inlineStr">
        <is>
          <t>岸和田市</t>
        </is>
      </c>
      <c r="D45" s="5" t="inlineStr">
        <is>
          <t>近畿大学泉州高等学校</t>
        </is>
      </c>
      <c r="E45" s="6" t="inlineStr">
        <is>
          <t>072-479-1231</t>
        </is>
      </c>
      <c r="F45" s="7" t="inlineStr">
        <is>
          <t>高</t>
        </is>
      </c>
      <c r="G45" s="5" t="inlineStr">
        <is>
          <t>普通科</t>
        </is>
      </c>
      <c r="H45" s="8" t="n"/>
      <c r="I45" s="9" t="n"/>
      <c r="J45" s="9" t="inlineStr">
        <is>
          <t>未架電</t>
        </is>
      </c>
      <c r="K45" s="8" t="n"/>
      <c r="L45" s="9" t="n"/>
      <c r="M45" s="10" t="n"/>
      <c r="N45" s="11" t="inlineStr">
        <is>
          <t>https://www.kindai-sensyu.ed.jp/contact/</t>
        </is>
      </c>
      <c r="O45" s="12" t="inlineStr">
        <is>
          <t>開く</t>
        </is>
      </c>
    </row>
    <row r="46">
      <c r="A46" s="4" t="n">
        <v>42</v>
      </c>
      <c r="B46" s="5" t="inlineStr">
        <is>
          <t>大阪府</t>
        </is>
      </c>
      <c r="C46" s="5" t="inlineStr">
        <is>
          <t>東大阪市</t>
        </is>
      </c>
      <c r="D46" s="5" t="inlineStr">
        <is>
          <t>近畿大学附属高等学校</t>
        </is>
      </c>
      <c r="E46" s="6" t="inlineStr">
        <is>
          <t>06-6722-1261</t>
        </is>
      </c>
      <c r="F46" s="7" t="inlineStr">
        <is>
          <t>高</t>
        </is>
      </c>
      <c r="G46" s="5" t="inlineStr">
        <is>
          <t>普通科・専門学科</t>
        </is>
      </c>
      <c r="H46" s="8" t="n"/>
      <c r="I46" s="9" t="n"/>
      <c r="J46" s="9" t="inlineStr">
        <is>
          <t>未架電</t>
        </is>
      </c>
      <c r="K46" s="8" t="n"/>
      <c r="L46" s="9" t="n"/>
      <c r="M46" s="10" t="inlineStr">
        <is>
          <t>公式に「代表電話番号」と記載</t>
        </is>
      </c>
      <c r="N46" s="11" t="inlineStr">
        <is>
          <t>https://www.jsh.kindai.ac.jp/hs/access/</t>
        </is>
      </c>
      <c r="O46" s="12" t="inlineStr">
        <is>
          <t>開く</t>
        </is>
      </c>
    </row>
    <row r="47">
      <c r="A47" s="4" t="n">
        <v>43</v>
      </c>
      <c r="B47" s="5" t="inlineStr">
        <is>
          <t>大阪府</t>
        </is>
      </c>
      <c r="C47" s="5" t="inlineStr">
        <is>
          <t>大阪市北区</t>
        </is>
      </c>
      <c r="D47" s="5" t="inlineStr">
        <is>
          <t>金蘭会高等学校</t>
        </is>
      </c>
      <c r="E47" s="6" t="inlineStr">
        <is>
          <t>06-6453-0281</t>
        </is>
      </c>
      <c r="F47" s="7" t="inlineStr">
        <is>
          <t>高</t>
        </is>
      </c>
      <c r="G47" s="5" t="inlineStr">
        <is>
          <t>普通科</t>
        </is>
      </c>
      <c r="H47" s="8" t="n"/>
      <c r="I47" s="9" t="n"/>
      <c r="J47" s="9" t="inlineStr">
        <is>
          <t>未架電</t>
        </is>
      </c>
      <c r="K47" s="8" t="n"/>
      <c r="L47" s="9" t="n"/>
      <c r="M47" s="10" t="n"/>
      <c r="N47" s="11" t="inlineStr">
        <is>
          <t>https://kinran.ed.jp/contact/</t>
        </is>
      </c>
      <c r="O47" s="12" t="inlineStr">
        <is>
          <t>開く</t>
        </is>
      </c>
    </row>
    <row r="48">
      <c r="A48" s="4" t="n">
        <v>44</v>
      </c>
      <c r="B48" s="5" t="inlineStr">
        <is>
          <t>大阪府</t>
        </is>
      </c>
      <c r="C48" s="5" t="inlineStr">
        <is>
          <t>吹田市</t>
        </is>
      </c>
      <c r="D48" s="5" t="inlineStr">
        <is>
          <t>金蘭千里高等学校</t>
        </is>
      </c>
      <c r="E48" s="6" t="inlineStr">
        <is>
          <t>06-6872-0263</t>
        </is>
      </c>
      <c r="F48" s="7" t="inlineStr">
        <is>
          <t>高</t>
        </is>
      </c>
      <c r="G48" s="5" t="inlineStr">
        <is>
          <t>普通科</t>
        </is>
      </c>
      <c r="H48" s="8" t="n"/>
      <c r="I48" s="9" t="n"/>
      <c r="J48" s="9" t="inlineStr">
        <is>
          <t>未架電</t>
        </is>
      </c>
      <c r="K48" s="8" t="n"/>
      <c r="L48" s="9" t="n"/>
      <c r="M48" s="10" t="inlineStr">
        <is>
          <t>完全中高一貫で高校募集なしとの記載あり</t>
        </is>
      </c>
      <c r="N48" s="11" t="inlineStr">
        <is>
          <t>https://www.kinransenri.ed.jp/contact/</t>
        </is>
      </c>
      <c r="O48" s="12" t="inlineStr">
        <is>
          <t>開く</t>
        </is>
      </c>
    </row>
    <row r="49">
      <c r="A49" s="4" t="n">
        <v>45</v>
      </c>
      <c r="B49" s="5" t="inlineStr">
        <is>
          <t>大阪府</t>
        </is>
      </c>
      <c r="C49" s="5" t="inlineStr">
        <is>
          <t>大阪市住吉区</t>
        </is>
      </c>
      <c r="D49" s="5" t="inlineStr">
        <is>
          <t>建国高等学校</t>
        </is>
      </c>
      <c r="E49" s="6" t="inlineStr">
        <is>
          <t>06-6691-1231</t>
        </is>
      </c>
      <c r="F49" s="7" t="inlineStr">
        <is>
          <t>高</t>
        </is>
      </c>
      <c r="G49" s="5" t="inlineStr">
        <is>
          <t>普通科</t>
        </is>
      </c>
      <c r="H49" s="8" t="n"/>
      <c r="I49" s="9" t="n"/>
      <c r="J49" s="9" t="inlineStr">
        <is>
          <t>未架電</t>
        </is>
      </c>
      <c r="K49" s="8" t="n"/>
      <c r="L49" s="9" t="n"/>
      <c r="M49" s="10" t="n"/>
      <c r="N49" s="11" t="inlineStr">
        <is>
          <t>https://keonguk.ac.jp/access/</t>
        </is>
      </c>
      <c r="O49" s="12" t="inlineStr">
        <is>
          <t>開く</t>
        </is>
      </c>
    </row>
    <row r="50">
      <c r="A50" s="4" t="n">
        <v>46</v>
      </c>
      <c r="B50" s="5" t="inlineStr">
        <is>
          <t>大阪府</t>
        </is>
      </c>
      <c r="C50" s="5" t="inlineStr">
        <is>
          <t>堺市堺区</t>
        </is>
      </c>
      <c r="D50" s="5" t="inlineStr">
        <is>
          <t>賢明学院高等学校</t>
        </is>
      </c>
      <c r="E50" s="6" t="inlineStr">
        <is>
          <t>072-241-1679</t>
        </is>
      </c>
      <c r="F50" s="7" t="inlineStr">
        <is>
          <t>高</t>
        </is>
      </c>
      <c r="G50" s="5" t="inlineStr">
        <is>
          <t>普通科</t>
        </is>
      </c>
      <c r="H50" s="8" t="n"/>
      <c r="I50" s="9" t="n"/>
      <c r="J50" s="9" t="inlineStr">
        <is>
          <t>未架電</t>
        </is>
      </c>
      <c r="K50" s="8" t="n"/>
      <c r="L50" s="9" t="n"/>
      <c r="M50" s="10" t="inlineStr">
        <is>
          <t>通信制課程は072-241-2111</t>
        </is>
      </c>
      <c r="N50" s="11" t="inlineStr">
        <is>
          <t>https://kenmei.jp/contact/inquiry/</t>
        </is>
      </c>
      <c r="O50" s="12" t="inlineStr">
        <is>
          <t>開く</t>
        </is>
      </c>
    </row>
    <row r="51">
      <c r="A51" s="4" t="n">
        <v>47</v>
      </c>
      <c r="B51" s="5" t="inlineStr">
        <is>
          <t>大阪府</t>
        </is>
      </c>
      <c r="C51" s="5" t="inlineStr">
        <is>
          <t>大阪市天王寺区</t>
        </is>
      </c>
      <c r="D51" s="5" t="inlineStr">
        <is>
          <t>興國高等学校</t>
        </is>
      </c>
      <c r="E51" s="6" t="inlineStr">
        <is>
          <t>06-6779-8151</t>
        </is>
      </c>
      <c r="F51" s="7" t="inlineStr">
        <is>
          <t>高</t>
        </is>
      </c>
      <c r="G51" s="5" t="inlineStr">
        <is>
          <t>普通科・専門学科</t>
        </is>
      </c>
      <c r="H51" s="8" t="n"/>
      <c r="I51" s="9" t="n"/>
      <c r="J51" s="9" t="inlineStr">
        <is>
          <t>未架電</t>
        </is>
      </c>
      <c r="K51" s="8" t="n"/>
      <c r="L51" s="9" t="n"/>
      <c r="M51" s="10" t="n"/>
      <c r="N51" s="11" t="inlineStr">
        <is>
          <t>https://www.kokoku.ed.jp/contact/</t>
        </is>
      </c>
      <c r="O51" s="12" t="inlineStr">
        <is>
          <t>開く</t>
        </is>
      </c>
    </row>
    <row r="52">
      <c r="A52" s="4" t="n">
        <v>48</v>
      </c>
      <c r="B52" s="5" t="inlineStr">
        <is>
          <t>大阪府</t>
        </is>
      </c>
      <c r="C52" s="5" t="inlineStr">
        <is>
          <t>大阪市西淀川区</t>
        </is>
      </c>
      <c r="D52" s="5" t="inlineStr">
        <is>
          <t>好文学園女子高等学校</t>
        </is>
      </c>
      <c r="E52" s="6" t="inlineStr">
        <is>
          <t>06-6472-2281</t>
        </is>
      </c>
      <c r="F52" s="7" t="inlineStr">
        <is>
          <t>高</t>
        </is>
      </c>
      <c r="G52" s="5" t="inlineStr">
        <is>
          <t>普通科</t>
        </is>
      </c>
      <c r="H52" s="8" t="n"/>
      <c r="I52" s="9" t="n"/>
      <c r="J52" s="9" t="inlineStr">
        <is>
          <t>未架電</t>
        </is>
      </c>
      <c r="K52" s="8" t="n"/>
      <c r="L52" s="9" t="n"/>
      <c r="M52" s="10" t="n"/>
      <c r="N52" s="11" t="inlineStr">
        <is>
          <t>https://koubun.ed.jp/access.html</t>
        </is>
      </c>
      <c r="O52" s="12" t="inlineStr">
        <is>
          <t>開く</t>
        </is>
      </c>
    </row>
    <row r="53">
      <c r="A53" s="4" t="n">
        <v>49</v>
      </c>
      <c r="B53" s="5" t="inlineStr">
        <is>
          <t>大阪府</t>
        </is>
      </c>
      <c r="C53" s="5" t="inlineStr">
        <is>
          <t>茨木市</t>
        </is>
      </c>
      <c r="D53" s="5" t="inlineStr">
        <is>
          <t>向陽台高等学校</t>
        </is>
      </c>
      <c r="E53" s="6" t="inlineStr">
        <is>
          <t>072-643-6681</t>
        </is>
      </c>
      <c r="F53" s="7" t="inlineStr">
        <is>
          <t>高</t>
        </is>
      </c>
      <c r="G53" s="5" t="inlineStr">
        <is>
          <t>普通科</t>
        </is>
      </c>
      <c r="H53" s="8" t="n"/>
      <c r="I53" s="9" t="n"/>
      <c r="J53" s="9" t="inlineStr">
        <is>
          <t>未架電</t>
        </is>
      </c>
      <c r="K53" s="8" t="n"/>
      <c r="L53" s="9" t="n"/>
      <c r="M53" s="10" t="n"/>
      <c r="N53" s="11" t="inlineStr">
        <is>
          <t>https://www.koyodai.ed.jp/form.php</t>
        </is>
      </c>
      <c r="O53" s="12" t="inlineStr">
        <is>
          <t>開く</t>
        </is>
      </c>
    </row>
    <row r="54">
      <c r="A54" s="4" t="n">
        <v>50</v>
      </c>
      <c r="B54" s="5" t="inlineStr">
        <is>
          <t>大阪府</t>
        </is>
      </c>
      <c r="C54" s="5" t="inlineStr">
        <is>
          <t>寝屋川市</t>
        </is>
      </c>
      <c r="D54" s="5" t="inlineStr">
        <is>
          <t>香里ヌヴェール学院高等学校</t>
        </is>
      </c>
      <c r="E54" s="6" t="inlineStr">
        <is>
          <t>072-831-8452</t>
        </is>
      </c>
      <c r="F54" s="7" t="inlineStr">
        <is>
          <t>高</t>
        </is>
      </c>
      <c r="G54" s="5" t="inlineStr">
        <is>
          <t>普通科</t>
        </is>
      </c>
      <c r="H54" s="8" t="n"/>
      <c r="I54" s="9" t="n"/>
      <c r="J54" s="9" t="inlineStr">
        <is>
          <t>未架電</t>
        </is>
      </c>
      <c r="K54" s="8" t="n"/>
      <c r="L54" s="9" t="n"/>
      <c r="M54" s="10" t="inlineStr">
        <is>
          <t>一部サイトに072-833-3344の記載あり（旧番号の可能性）</t>
        </is>
      </c>
      <c r="N54" s="11" t="inlineStr">
        <is>
          <t>https://www.seibo.ed.jp/nevers-hs/</t>
        </is>
      </c>
      <c r="O54" s="12" t="inlineStr">
        <is>
          <t>開く</t>
        </is>
      </c>
    </row>
    <row r="55">
      <c r="A55" s="4" t="n">
        <v>51</v>
      </c>
      <c r="B55" s="5" t="inlineStr">
        <is>
          <t>大阪府</t>
        </is>
      </c>
      <c r="C55" s="5" t="inlineStr">
        <is>
          <t>高槻市</t>
        </is>
      </c>
      <c r="D55" s="5" t="inlineStr">
        <is>
          <t>金光大阪高等学校</t>
        </is>
      </c>
      <c r="E55" s="6" t="inlineStr">
        <is>
          <t>072-669-5211</t>
        </is>
      </c>
      <c r="F55" s="7" t="inlineStr">
        <is>
          <t>高</t>
        </is>
      </c>
      <c r="G55" s="5" t="inlineStr">
        <is>
          <t>普通科</t>
        </is>
      </c>
      <c r="H55" s="8" t="n"/>
      <c r="I55" s="9" t="n"/>
      <c r="J55" s="9" t="inlineStr">
        <is>
          <t>未架電</t>
        </is>
      </c>
      <c r="K55" s="8" t="n"/>
      <c r="L55" s="9" t="n"/>
      <c r="M55" s="10" t="n"/>
      <c r="N55" s="11" t="inlineStr">
        <is>
          <t>https://www.kohs.ed.jp/access/</t>
        </is>
      </c>
      <c r="O55" s="12" t="inlineStr">
        <is>
          <t>開く</t>
        </is>
      </c>
    </row>
    <row r="56">
      <c r="A56" s="4" t="n">
        <v>52</v>
      </c>
      <c r="B56" s="5" t="inlineStr">
        <is>
          <t>大阪府</t>
        </is>
      </c>
      <c r="C56" s="5" t="inlineStr">
        <is>
          <t>大阪市生野区</t>
        </is>
      </c>
      <c r="D56" s="5" t="inlineStr">
        <is>
          <t>金光藤蔭高等学校</t>
        </is>
      </c>
      <c r="E56" s="6" t="inlineStr">
        <is>
          <t>06-6751-2461</t>
        </is>
      </c>
      <c r="F56" s="7" t="inlineStr">
        <is>
          <t>高</t>
        </is>
      </c>
      <c r="G56" s="5" t="inlineStr">
        <is>
          <t>普通科</t>
        </is>
      </c>
      <c r="H56" s="8" t="n"/>
      <c r="I56" s="9" t="n"/>
      <c r="J56" s="9" t="inlineStr">
        <is>
          <t>未架電</t>
        </is>
      </c>
      <c r="K56" s="8" t="n"/>
      <c r="L56" s="9" t="n"/>
      <c r="M56" s="10" t="inlineStr">
        <is>
          <t>生野キャンパス代表。香芝キャンパスは0745-79-0333</t>
        </is>
      </c>
      <c r="N56" s="11" t="inlineStr">
        <is>
          <t>https://www.konkoutouin.ed.jp/school/access.html</t>
        </is>
      </c>
      <c r="O56" s="12" t="inlineStr">
        <is>
          <t>開く</t>
        </is>
      </c>
    </row>
    <row r="57">
      <c r="A57" s="4" t="n">
        <v>53</v>
      </c>
      <c r="B57" s="5" t="inlineStr">
        <is>
          <t>大阪府</t>
        </is>
      </c>
      <c r="C57" s="5" t="inlineStr">
        <is>
          <t>八尾市</t>
        </is>
      </c>
      <c r="D57" s="5" t="inlineStr">
        <is>
          <t>金光八尾高等学校</t>
        </is>
      </c>
      <c r="E57" s="6" t="inlineStr">
        <is>
          <t>072-922-9162</t>
        </is>
      </c>
      <c r="F57" s="7" t="inlineStr">
        <is>
          <t>高</t>
        </is>
      </c>
      <c r="G57" s="5" t="inlineStr">
        <is>
          <t>普通科</t>
        </is>
      </c>
      <c r="H57" s="8" t="n"/>
      <c r="I57" s="9" t="n"/>
      <c r="J57" s="9" t="inlineStr">
        <is>
          <t>未架電</t>
        </is>
      </c>
      <c r="K57" s="8" t="n"/>
      <c r="L57" s="9" t="n"/>
      <c r="M57" s="10" t="n"/>
      <c r="N57" s="11" t="inlineStr">
        <is>
          <t>https://konkoyao.ed.jp/contact/</t>
        </is>
      </c>
      <c r="O57" s="12" t="inlineStr">
        <is>
          <t>開く</t>
        </is>
      </c>
    </row>
    <row r="58">
      <c r="A58" s="4" t="n">
        <v>54</v>
      </c>
      <c r="B58" s="5" t="inlineStr">
        <is>
          <t>大阪府</t>
        </is>
      </c>
      <c r="C58" s="5" t="inlineStr">
        <is>
          <t>堺市堺区</t>
        </is>
      </c>
      <c r="D58" s="5" t="inlineStr">
        <is>
          <t>堺リベラル高等学校</t>
        </is>
      </c>
      <c r="E58" s="6" t="inlineStr">
        <is>
          <t>072-275-7688</t>
        </is>
      </c>
      <c r="F58" s="7" t="inlineStr">
        <is>
          <t>高</t>
        </is>
      </c>
      <c r="G58" s="5" t="inlineStr">
        <is>
          <t>専門学科</t>
        </is>
      </c>
      <c r="H58" s="8" t="n"/>
      <c r="I58" s="9" t="n"/>
      <c r="J58" s="9" t="inlineStr">
        <is>
          <t>未架電</t>
        </is>
      </c>
      <c r="K58" s="8" t="n"/>
      <c r="L58" s="9" t="n"/>
      <c r="M58" s="10" t="inlineStr">
        <is>
          <t>入試対策室は072-226-8814</t>
        </is>
      </c>
      <c r="N58" s="11" t="inlineStr">
        <is>
          <t>https://www.liberal.ed.jp/access/</t>
        </is>
      </c>
      <c r="O58" s="12" t="inlineStr">
        <is>
          <t>開く</t>
        </is>
      </c>
    </row>
    <row r="59">
      <c r="A59" s="4" t="n">
        <v>55</v>
      </c>
      <c r="B59" s="5" t="inlineStr">
        <is>
          <t>大阪府</t>
        </is>
      </c>
      <c r="C59" s="5" t="inlineStr">
        <is>
          <t>大東市</t>
        </is>
      </c>
      <c r="D59" s="5" t="inlineStr">
        <is>
          <t>四條畷学園高等学校</t>
        </is>
      </c>
      <c r="E59" s="6" t="inlineStr">
        <is>
          <t>072-876-1327</t>
        </is>
      </c>
      <c r="F59" s="7" t="inlineStr">
        <is>
          <t>高</t>
        </is>
      </c>
      <c r="G59" s="5" t="inlineStr">
        <is>
          <t>普通科</t>
        </is>
      </c>
      <c r="H59" s="8" t="n"/>
      <c r="I59" s="9" t="n"/>
      <c r="J59" s="9" t="inlineStr">
        <is>
          <t>未架電</t>
        </is>
      </c>
      <c r="K59" s="8" t="n"/>
      <c r="L59" s="9" t="n"/>
      <c r="M59" s="10" t="inlineStr">
        <is>
          <t>高校直通。学園代表は072-876-1321</t>
        </is>
      </c>
      <c r="N59" s="11" t="inlineStr">
        <is>
          <t>https://hs.shijonawate-gakuen.ac.jp/access/</t>
        </is>
      </c>
      <c r="O59" s="12" t="inlineStr">
        <is>
          <t>開く</t>
        </is>
      </c>
    </row>
    <row r="60">
      <c r="A60" s="4" t="n">
        <v>56</v>
      </c>
      <c r="B60" s="5" t="inlineStr">
        <is>
          <t>大阪府</t>
        </is>
      </c>
      <c r="C60" s="5" t="inlineStr">
        <is>
          <t>大阪市天王寺区</t>
        </is>
      </c>
      <c r="D60" s="5" t="inlineStr">
        <is>
          <t>四天王寺高等学校</t>
        </is>
      </c>
      <c r="E60" s="6" t="inlineStr">
        <is>
          <t>06-6772-6201</t>
        </is>
      </c>
      <c r="F60" s="13" t="inlineStr">
        <is>
          <t>中</t>
        </is>
      </c>
      <c r="G60" s="5" t="inlineStr">
        <is>
          <t>普通科</t>
        </is>
      </c>
      <c r="H60" s="8" t="n"/>
      <c r="I60" s="9" t="n"/>
      <c r="J60" s="9" t="inlineStr">
        <is>
          <t>未架電</t>
        </is>
      </c>
      <c r="K60" s="8" t="n"/>
      <c r="L60" s="9" t="n"/>
      <c r="M60" s="10" t="inlineStr">
        <is>
          <t>公式サイトで未確認、複数の第三者サイトで一致</t>
        </is>
      </c>
      <c r="N60" s="11" t="inlineStr">
        <is>
          <t>https://www.mapion.co.jp/phonebook/M11004/27109/ILSP0000040799_ipclm/</t>
        </is>
      </c>
      <c r="O60" s="12" t="inlineStr">
        <is>
          <t>開く</t>
        </is>
      </c>
    </row>
    <row r="61">
      <c r="A61" s="4" t="n">
        <v>57</v>
      </c>
      <c r="B61" s="5" t="inlineStr">
        <is>
          <t>大阪府</t>
        </is>
      </c>
      <c r="C61" s="5" t="inlineStr">
        <is>
          <t>貝塚市</t>
        </is>
      </c>
      <c r="D61" s="5" t="inlineStr">
        <is>
          <t>秋桜高等学校</t>
        </is>
      </c>
      <c r="E61" s="6" t="inlineStr">
        <is>
          <t>072-432-6007</t>
        </is>
      </c>
      <c r="F61" s="7" t="inlineStr">
        <is>
          <t>高</t>
        </is>
      </c>
      <c r="G61" s="5" t="inlineStr">
        <is>
          <t>普通科</t>
        </is>
      </c>
      <c r="H61" s="8" t="n"/>
      <c r="I61" s="9" t="n"/>
      <c r="J61" s="9" t="inlineStr">
        <is>
          <t>未架電</t>
        </is>
      </c>
      <c r="K61" s="8" t="n"/>
      <c r="L61" s="9" t="n"/>
      <c r="M61" s="10" t="n"/>
      <c r="N61" s="11" t="inlineStr">
        <is>
          <t>https://www.shuoh.ed.jp/</t>
        </is>
      </c>
      <c r="O61" s="12" t="inlineStr">
        <is>
          <t>開く</t>
        </is>
      </c>
    </row>
    <row r="62">
      <c r="A62" s="4" t="n">
        <v>58</v>
      </c>
      <c r="B62" s="5" t="inlineStr">
        <is>
          <t>大阪府</t>
        </is>
      </c>
      <c r="C62" s="5" t="inlineStr">
        <is>
          <t>東大阪市</t>
        </is>
      </c>
      <c r="D62" s="5" t="inlineStr">
        <is>
          <t>樟蔭高等学校</t>
        </is>
      </c>
      <c r="E62" s="6" t="inlineStr">
        <is>
          <t>06-6723-8185</t>
        </is>
      </c>
      <c r="F62" s="7" t="inlineStr">
        <is>
          <t>高</t>
        </is>
      </c>
      <c r="G62" s="5" t="inlineStr">
        <is>
          <t>普通科</t>
        </is>
      </c>
      <c r="H62" s="8" t="n"/>
      <c r="I62" s="9" t="n"/>
      <c r="J62" s="9" t="inlineStr">
        <is>
          <t>未架電</t>
        </is>
      </c>
      <c r="K62" s="8" t="n"/>
      <c r="L62" s="9" t="n"/>
      <c r="M62" s="10" t="n"/>
      <c r="N62" s="11" t="inlineStr">
        <is>
          <t>https://shoin-chuko.sakuraweb.com/hs/contact/</t>
        </is>
      </c>
      <c r="O62" s="12" t="inlineStr">
        <is>
          <t>開く</t>
        </is>
      </c>
    </row>
    <row r="63">
      <c r="A63" s="4" t="n">
        <v>59</v>
      </c>
      <c r="B63" s="5" t="inlineStr">
        <is>
          <t>大阪府</t>
        </is>
      </c>
      <c r="C63" s="5" t="inlineStr">
        <is>
          <t>大阪市東住吉区</t>
        </is>
      </c>
      <c r="D63" s="5" t="inlineStr">
        <is>
          <t>城南学園高等学校</t>
        </is>
      </c>
      <c r="E63" s="6" t="inlineStr">
        <is>
          <t>06-6702-9784</t>
        </is>
      </c>
      <c r="F63" s="7" t="inlineStr">
        <is>
          <t>高</t>
        </is>
      </c>
      <c r="G63" s="5" t="inlineStr">
        <is>
          <t>普通科</t>
        </is>
      </c>
      <c r="H63" s="8" t="n"/>
      <c r="I63" s="9" t="n"/>
      <c r="J63" s="9" t="inlineStr">
        <is>
          <t>未架電</t>
        </is>
      </c>
      <c r="K63" s="8" t="n"/>
      <c r="L63" s="9" t="n"/>
      <c r="M63" s="10" t="inlineStr">
        <is>
          <t>事務局番号。職員室は06-6702-9781（第三者サイトはこちらが多い）</t>
        </is>
      </c>
      <c r="N63" s="11" t="inlineStr">
        <is>
          <t>https://www.jonan.ac.jp/senior/access/</t>
        </is>
      </c>
      <c r="O63" s="12" t="inlineStr">
        <is>
          <t>開く</t>
        </is>
      </c>
    </row>
    <row r="64">
      <c r="A64" s="4" t="n">
        <v>60</v>
      </c>
      <c r="B64" s="5" t="inlineStr">
        <is>
          <t>大阪府</t>
        </is>
      </c>
      <c r="C64" s="5" t="inlineStr">
        <is>
          <t>大阪市此花区</t>
        </is>
      </c>
      <c r="D64" s="5" t="inlineStr">
        <is>
          <t>昇陽高等学校</t>
        </is>
      </c>
      <c r="E64" s="6" t="inlineStr">
        <is>
          <t>06-6461-0091</t>
        </is>
      </c>
      <c r="F64" s="7" t="inlineStr">
        <is>
          <t>高</t>
        </is>
      </c>
      <c r="G64" s="5" t="inlineStr">
        <is>
          <t>普通科・専門学科</t>
        </is>
      </c>
      <c r="H64" s="8" t="n"/>
      <c r="I64" s="9" t="n"/>
      <c r="J64" s="9" t="inlineStr">
        <is>
          <t>未架電</t>
        </is>
      </c>
      <c r="K64" s="8" t="n"/>
      <c r="L64" s="9" t="n"/>
      <c r="M64" s="10" t="n"/>
      <c r="N64" s="11" t="inlineStr">
        <is>
          <t>https://www.oskshoyo.ed.jp/contact/</t>
        </is>
      </c>
      <c r="O64" s="12" t="inlineStr">
        <is>
          <t>開く</t>
        </is>
      </c>
    </row>
    <row r="65">
      <c r="A65" s="4" t="n">
        <v>61</v>
      </c>
      <c r="B65" s="5" t="inlineStr">
        <is>
          <t>大阪府</t>
        </is>
      </c>
      <c r="C65" s="5" t="inlineStr">
        <is>
          <t>大阪市旭区</t>
        </is>
      </c>
      <c r="D65" s="5" t="inlineStr">
        <is>
          <t>常翔学園高等学校</t>
        </is>
      </c>
      <c r="E65" s="6" t="inlineStr">
        <is>
          <t>06-6954-4435</t>
        </is>
      </c>
      <c r="F65" s="7" t="inlineStr">
        <is>
          <t>高</t>
        </is>
      </c>
      <c r="G65" s="5" t="inlineStr">
        <is>
          <t>普通科</t>
        </is>
      </c>
      <c r="H65" s="8" t="n"/>
      <c r="I65" s="9" t="n"/>
      <c r="J65" s="9" t="inlineStr">
        <is>
          <t>未架電</t>
        </is>
      </c>
      <c r="K65" s="8" t="n"/>
      <c r="L65" s="9" t="n"/>
      <c r="M65" s="10" t="inlineStr">
        <is>
          <t>事務室番号（入試部は06-6954-4436）</t>
        </is>
      </c>
      <c r="N65" s="11" t="inlineStr">
        <is>
          <t>https://www.highs.josho.ac.jp/contact/</t>
        </is>
      </c>
      <c r="O65" s="12" t="inlineStr">
        <is>
          <t>開く</t>
        </is>
      </c>
    </row>
    <row r="66">
      <c r="A66" s="4" t="n">
        <v>62</v>
      </c>
      <c r="B66" s="5" t="inlineStr">
        <is>
          <t>大阪府</t>
        </is>
      </c>
      <c r="C66" s="5" t="inlineStr">
        <is>
          <t>枚方市</t>
        </is>
      </c>
      <c r="D66" s="5" t="inlineStr">
        <is>
          <t>常翔啓光学園高等学校</t>
        </is>
      </c>
      <c r="E66" s="6" t="inlineStr">
        <is>
          <t>072-848-0521</t>
        </is>
      </c>
      <c r="F66" s="7" t="inlineStr">
        <is>
          <t>高</t>
        </is>
      </c>
      <c r="G66" s="5" t="inlineStr">
        <is>
          <t>普通科</t>
        </is>
      </c>
      <c r="H66" s="8" t="n"/>
      <c r="I66" s="9" t="n"/>
      <c r="J66" s="9" t="inlineStr">
        <is>
          <t>未架電</t>
        </is>
      </c>
      <c r="K66" s="8" t="n"/>
      <c r="L66" s="9" t="n"/>
      <c r="M66" s="10" t="inlineStr">
        <is>
          <t>公式に代表と記載。一部サイトに072-807-6632の記載あり</t>
        </is>
      </c>
      <c r="N66" s="11" t="inlineStr">
        <is>
          <t>https://www.keiko.josho.ac.jp/access/</t>
        </is>
      </c>
      <c r="O66" s="12" t="inlineStr">
        <is>
          <t>開く</t>
        </is>
      </c>
    </row>
    <row r="67">
      <c r="A67" s="4" t="n">
        <v>63</v>
      </c>
      <c r="B67" s="5" t="inlineStr">
        <is>
          <t>大阪府</t>
        </is>
      </c>
      <c r="C67" s="5" t="inlineStr">
        <is>
          <t>大阪市中央区</t>
        </is>
      </c>
      <c r="D67" s="5" t="inlineStr">
        <is>
          <t>城星学園高等学校</t>
        </is>
      </c>
      <c r="E67" s="6" t="inlineStr">
        <is>
          <t>06-6941-5977</t>
        </is>
      </c>
      <c r="F67" s="7" t="inlineStr">
        <is>
          <t>高</t>
        </is>
      </c>
      <c r="G67" s="5" t="inlineStr">
        <is>
          <t>普通科</t>
        </is>
      </c>
      <c r="H67" s="8" t="n"/>
      <c r="I67" s="9" t="n"/>
      <c r="J67" s="9" t="inlineStr">
        <is>
          <t>未架電</t>
        </is>
      </c>
      <c r="K67" s="8" t="n"/>
      <c r="L67" s="9" t="n"/>
      <c r="M67" s="10" t="inlineStr">
        <is>
          <t>2022年4月に「ヴェリタス城星学園高等学校」へ校名変更</t>
        </is>
      </c>
      <c r="N67" s="11" t="inlineStr">
        <is>
          <t>https://www.josei.ed.jp/</t>
        </is>
      </c>
      <c r="O67" s="12" t="inlineStr">
        <is>
          <t>開く</t>
        </is>
      </c>
    </row>
    <row r="68">
      <c r="A68" s="4" t="n">
        <v>64</v>
      </c>
      <c r="B68" s="5" t="inlineStr">
        <is>
          <t>大阪府</t>
        </is>
      </c>
      <c r="C68" s="5" t="inlineStr">
        <is>
          <t>堺市中区</t>
        </is>
      </c>
      <c r="D68" s="5" t="inlineStr">
        <is>
          <t>精華高等学校</t>
        </is>
      </c>
      <c r="E68" s="6" t="inlineStr">
        <is>
          <t>072-234-3391</t>
        </is>
      </c>
      <c r="F68" s="7" t="inlineStr">
        <is>
          <t>高</t>
        </is>
      </c>
      <c r="G68" s="5" t="inlineStr">
        <is>
          <t>普通科</t>
        </is>
      </c>
      <c r="H68" s="8" t="n"/>
      <c r="I68" s="9" t="n"/>
      <c r="J68" s="9" t="inlineStr">
        <is>
          <t>未架電</t>
        </is>
      </c>
      <c r="K68" s="8" t="n"/>
      <c r="L68" s="9" t="n"/>
      <c r="M68" s="10" t="n"/>
      <c r="N68" s="11" t="inlineStr">
        <is>
          <t>https://www.seika-h.ed.jp/inquiry/</t>
        </is>
      </c>
      <c r="O68" s="12" t="inlineStr">
        <is>
          <t>開く</t>
        </is>
      </c>
    </row>
    <row r="69">
      <c r="A69" s="4" t="n">
        <v>65</v>
      </c>
      <c r="B69" s="5" t="inlineStr">
        <is>
          <t>大阪府</t>
        </is>
      </c>
      <c r="C69" s="5" t="inlineStr">
        <is>
          <t>河内長野市</t>
        </is>
      </c>
      <c r="D69" s="5" t="inlineStr">
        <is>
          <t>清教学園高等学校</t>
        </is>
      </c>
      <c r="E69" s="6" t="inlineStr">
        <is>
          <t>0721-62-6828</t>
        </is>
      </c>
      <c r="F69" s="7" t="inlineStr">
        <is>
          <t>高</t>
        </is>
      </c>
      <c r="G69" s="5" t="inlineStr">
        <is>
          <t>普通科</t>
        </is>
      </c>
      <c r="H69" s="8" t="n"/>
      <c r="I69" s="9" t="n"/>
      <c r="J69" s="9" t="inlineStr">
        <is>
          <t>未架電</t>
        </is>
      </c>
      <c r="K69" s="8" t="n"/>
      <c r="L69" s="9" t="n"/>
      <c r="M69" s="10" t="inlineStr">
        <is>
          <t>代表番号（入試は0721-63-8568）</t>
        </is>
      </c>
      <c r="N69" s="11" t="inlineStr">
        <is>
          <t>https://www.seikyo.ed.jp/guide/</t>
        </is>
      </c>
      <c r="O69" s="12" t="inlineStr">
        <is>
          <t>開く</t>
        </is>
      </c>
    </row>
    <row r="70">
      <c r="A70" s="4" t="n">
        <v>66</v>
      </c>
      <c r="B70" s="5" t="inlineStr">
        <is>
          <t>大阪府</t>
        </is>
      </c>
      <c r="C70" s="5" t="inlineStr">
        <is>
          <t>摂津市</t>
        </is>
      </c>
      <c r="D70" s="5" t="inlineStr">
        <is>
          <t>星翔高等学校</t>
        </is>
      </c>
      <c r="E70" s="6" t="inlineStr">
        <is>
          <t>06-6381-0220</t>
        </is>
      </c>
      <c r="F70" s="7" t="inlineStr">
        <is>
          <t>高</t>
        </is>
      </c>
      <c r="G70" s="5" t="inlineStr">
        <is>
          <t>普通科・専門学科</t>
        </is>
      </c>
      <c r="H70" s="8" t="n"/>
      <c r="I70" s="9" t="n"/>
      <c r="J70" s="9" t="inlineStr">
        <is>
          <t>未架電</t>
        </is>
      </c>
      <c r="K70" s="8" t="n"/>
      <c r="L70" s="9" t="n"/>
      <c r="M70" s="10" t="n"/>
      <c r="N70" s="11" t="inlineStr">
        <is>
          <t>https://www.osaka-seisho.ed.jp/contact/</t>
        </is>
      </c>
      <c r="O70" s="12" t="inlineStr">
        <is>
          <t>開く</t>
        </is>
      </c>
    </row>
    <row r="71">
      <c r="A71" s="4" t="n">
        <v>67</v>
      </c>
      <c r="B71" s="5" t="inlineStr">
        <is>
          <t>大阪府</t>
        </is>
      </c>
      <c r="C71" s="5" t="inlineStr">
        <is>
          <t>大阪市天王寺区</t>
        </is>
      </c>
      <c r="D71" s="5" t="inlineStr">
        <is>
          <t>清風高等学校</t>
        </is>
      </c>
      <c r="E71" s="6" t="inlineStr">
        <is>
          <t>06-6771-5757</t>
        </is>
      </c>
      <c r="F71" s="7" t="inlineStr">
        <is>
          <t>高</t>
        </is>
      </c>
      <c r="G71" s="5" t="inlineStr">
        <is>
          <t>普通科・専門学科</t>
        </is>
      </c>
      <c r="H71" s="8" t="n"/>
      <c r="I71" s="9" t="n"/>
      <c r="J71" s="9" t="inlineStr">
        <is>
          <t>未架電</t>
        </is>
      </c>
      <c r="K71" s="8" t="n"/>
      <c r="L71" s="9" t="n"/>
      <c r="M71" s="10" t="n"/>
      <c r="N71" s="11" t="inlineStr">
        <is>
          <t>https://www.seifu.ac.jp/access/</t>
        </is>
      </c>
      <c r="O71" s="12" t="inlineStr">
        <is>
          <t>開く</t>
        </is>
      </c>
    </row>
    <row r="72">
      <c r="A72" s="4" t="n">
        <v>68</v>
      </c>
      <c r="B72" s="5" t="inlineStr">
        <is>
          <t>大阪府</t>
        </is>
      </c>
      <c r="C72" s="5" t="inlineStr">
        <is>
          <t>高石市</t>
        </is>
      </c>
      <c r="D72" s="5" t="inlineStr">
        <is>
          <t>清風南海高等学校</t>
        </is>
      </c>
      <c r="E72" s="6" t="inlineStr">
        <is>
          <t>072-261-7761</t>
        </is>
      </c>
      <c r="F72" s="7" t="inlineStr">
        <is>
          <t>高</t>
        </is>
      </c>
      <c r="G72" s="5" t="inlineStr">
        <is>
          <t>普通科</t>
        </is>
      </c>
      <c r="H72" s="8" t="n"/>
      <c r="I72" s="9" t="n"/>
      <c r="J72" s="9" t="inlineStr">
        <is>
          <t>未架電</t>
        </is>
      </c>
      <c r="K72" s="8" t="n"/>
      <c r="L72" s="9" t="n"/>
      <c r="M72" s="10" t="inlineStr">
        <is>
          <t>中高共通の代表番号</t>
        </is>
      </c>
      <c r="N72" s="11" t="inlineStr">
        <is>
          <t>https://www.seifunankai.ac.jp/</t>
        </is>
      </c>
      <c r="O72" s="12" t="inlineStr">
        <is>
          <t>開く</t>
        </is>
      </c>
    </row>
    <row r="73">
      <c r="A73" s="4" t="n">
        <v>69</v>
      </c>
      <c r="B73" s="5" t="inlineStr">
        <is>
          <t>大阪府</t>
        </is>
      </c>
      <c r="C73" s="5" t="inlineStr">
        <is>
          <t>大阪市住吉区</t>
        </is>
      </c>
      <c r="D73" s="5" t="inlineStr">
        <is>
          <t>清明学院高等学校</t>
        </is>
      </c>
      <c r="E73" s="6" t="inlineStr">
        <is>
          <t>06-6673-8181</t>
        </is>
      </c>
      <c r="F73" s="7" t="inlineStr">
        <is>
          <t>高</t>
        </is>
      </c>
      <c r="G73" s="5" t="inlineStr">
        <is>
          <t>普通科</t>
        </is>
      </c>
      <c r="H73" s="8" t="n"/>
      <c r="I73" s="9" t="n"/>
      <c r="J73" s="9" t="inlineStr">
        <is>
          <t>未架電</t>
        </is>
      </c>
      <c r="K73" s="8" t="n"/>
      <c r="L73" s="9" t="n"/>
      <c r="M73" s="10" t="n"/>
      <c r="N73" s="11" t="inlineStr">
        <is>
          <t>https://www.seimei.ed.jp/about/access.html</t>
        </is>
      </c>
      <c r="O73" s="12" t="inlineStr">
        <is>
          <t>開く</t>
        </is>
      </c>
    </row>
    <row r="74">
      <c r="A74" s="4" t="n">
        <v>70</v>
      </c>
      <c r="B74" s="5" t="inlineStr">
        <is>
          <t>大阪府</t>
        </is>
      </c>
      <c r="C74" s="5" t="inlineStr">
        <is>
          <t>池田市</t>
        </is>
      </c>
      <c r="D74" s="5" t="inlineStr">
        <is>
          <t>宣真高等学校</t>
        </is>
      </c>
      <c r="E74" s="6" t="inlineStr">
        <is>
          <t>072-761-8801</t>
        </is>
      </c>
      <c r="F74" s="7" t="inlineStr">
        <is>
          <t>高</t>
        </is>
      </c>
      <c r="G74" s="5" t="inlineStr">
        <is>
          <t>普通科</t>
        </is>
      </c>
      <c r="H74" s="8" t="n"/>
      <c r="I74" s="9" t="n"/>
      <c r="J74" s="9" t="inlineStr">
        <is>
          <t>未架電</t>
        </is>
      </c>
      <c r="K74" s="8" t="n"/>
      <c r="L74" s="9" t="n"/>
      <c r="M74" s="10" t="inlineStr">
        <is>
          <t>代表番号（入試広報部直通は072-760-3020）</t>
        </is>
      </c>
      <c r="N74" s="11" t="inlineStr">
        <is>
          <t>https://senshin-gakuen.jp/access/</t>
        </is>
      </c>
      <c r="O74" s="12" t="inlineStr">
        <is>
          <t>開く</t>
        </is>
      </c>
    </row>
    <row r="75">
      <c r="A75" s="4" t="n">
        <v>71</v>
      </c>
      <c r="B75" s="5" t="inlineStr">
        <is>
          <t>大阪府</t>
        </is>
      </c>
      <c r="C75" s="5" t="inlineStr">
        <is>
          <t>大阪市中央区</t>
        </is>
      </c>
      <c r="D75" s="5" t="inlineStr">
        <is>
          <t>相愛高等学校</t>
        </is>
      </c>
      <c r="E75" s="6" t="inlineStr">
        <is>
          <t>06-6262-0621</t>
        </is>
      </c>
      <c r="F75" s="7" t="inlineStr">
        <is>
          <t>高</t>
        </is>
      </c>
      <c r="G75" s="5" t="inlineStr">
        <is>
          <t>普通科・専門学科</t>
        </is>
      </c>
      <c r="H75" s="8" t="n"/>
      <c r="I75" s="9" t="n"/>
      <c r="J75" s="9" t="inlineStr">
        <is>
          <t>未架電</t>
        </is>
      </c>
      <c r="K75" s="8" t="n"/>
      <c r="L75" s="9" t="n"/>
      <c r="M75" s="10" t="n"/>
      <c r="N75" s="11" t="inlineStr">
        <is>
          <t>https://www.soai.ed.jp/school/access.html</t>
        </is>
      </c>
      <c r="O75" s="12" t="inlineStr">
        <is>
          <t>開く</t>
        </is>
      </c>
    </row>
    <row r="76">
      <c r="A76" s="4" t="n">
        <v>72</v>
      </c>
      <c r="B76" s="5" t="inlineStr">
        <is>
          <t>大阪府</t>
        </is>
      </c>
      <c r="C76" s="5" t="inlineStr">
        <is>
          <t>大東市</t>
        </is>
      </c>
      <c r="D76" s="5" t="inlineStr">
        <is>
          <t>太成学院大学高等学校</t>
        </is>
      </c>
      <c r="E76" s="6" t="inlineStr">
        <is>
          <t>072-871-1921</t>
        </is>
      </c>
      <c r="F76" s="7" t="inlineStr">
        <is>
          <t>高</t>
        </is>
      </c>
      <c r="G76" s="5" t="inlineStr">
        <is>
          <t>普通科・専門学科</t>
        </is>
      </c>
      <c r="H76" s="8" t="n"/>
      <c r="I76" s="9" t="n"/>
      <c r="J76" s="9" t="inlineStr">
        <is>
          <t>未架電</t>
        </is>
      </c>
      <c r="K76" s="8" t="n"/>
      <c r="L76" s="9" t="n"/>
      <c r="M76" s="10" t="inlineStr">
        <is>
          <t>大東市公式サイトとも一致</t>
        </is>
      </c>
      <c r="N76" s="11" t="inlineStr">
        <is>
          <t>https://www.taisei-hs.ac.jp/hs/</t>
        </is>
      </c>
      <c r="O76" s="12" t="inlineStr">
        <is>
          <t>開く</t>
        </is>
      </c>
    </row>
    <row r="77">
      <c r="A77" s="4" t="n">
        <v>73</v>
      </c>
      <c r="B77" s="5" t="inlineStr">
        <is>
          <t>大阪府</t>
        </is>
      </c>
      <c r="C77" s="5" t="inlineStr">
        <is>
          <t>高槻市</t>
        </is>
      </c>
      <c r="D77" s="5" t="inlineStr">
        <is>
          <t>高槻高等学校</t>
        </is>
      </c>
      <c r="E77" s="6" t="inlineStr">
        <is>
          <t>072-671-0001</t>
        </is>
      </c>
      <c r="F77" s="13" t="inlineStr">
        <is>
          <t>中</t>
        </is>
      </c>
      <c r="G77" s="5" t="inlineStr">
        <is>
          <t>普通科</t>
        </is>
      </c>
      <c r="H77" s="8" t="n"/>
      <c r="I77" s="9" t="n"/>
      <c r="J77" s="9" t="inlineStr">
        <is>
          <t>未架電</t>
        </is>
      </c>
      <c r="K77" s="8" t="n"/>
      <c r="L77" s="9" t="n"/>
      <c r="M77" s="10" t="inlineStr">
        <is>
          <t>公式ページで番号未確認。マピオン・学校情報サイトで一致</t>
        </is>
      </c>
      <c r="N77" s="11" t="inlineStr">
        <is>
          <t>https://www.takatsuki.ed.jp/access</t>
        </is>
      </c>
      <c r="O77" s="12" t="inlineStr">
        <is>
          <t>開く</t>
        </is>
      </c>
    </row>
    <row r="78">
      <c r="A78" s="4" t="n">
        <v>74</v>
      </c>
      <c r="B78" s="5" t="inlineStr">
        <is>
          <t>大阪府</t>
        </is>
      </c>
      <c r="C78" s="5" t="inlineStr">
        <is>
          <t>豊中市</t>
        </is>
      </c>
      <c r="D78" s="5" t="inlineStr">
        <is>
          <t>大商学園高等学校</t>
        </is>
      </c>
      <c r="E78" s="6" t="inlineStr">
        <is>
          <t>06-6862-5223</t>
        </is>
      </c>
      <c r="F78" s="7" t="inlineStr">
        <is>
          <t>高</t>
        </is>
      </c>
      <c r="G78" s="5" t="inlineStr">
        <is>
          <t>普通科・専門学科</t>
        </is>
      </c>
      <c r="H78" s="8" t="n"/>
      <c r="I78" s="9" t="n"/>
      <c r="J78" s="9" t="inlineStr">
        <is>
          <t>未架電</t>
        </is>
      </c>
      <c r="K78" s="8" t="n"/>
      <c r="L78" s="9" t="n"/>
      <c r="M78" s="10" t="n"/>
      <c r="N78" s="11" t="inlineStr">
        <is>
          <t>https://www.daisho.ac.jp/</t>
        </is>
      </c>
      <c r="O78" s="12" t="inlineStr">
        <is>
          <t>開く</t>
        </is>
      </c>
    </row>
    <row r="79">
      <c r="A79" s="4" t="n">
        <v>75</v>
      </c>
      <c r="B79" s="5" t="inlineStr">
        <is>
          <t>大阪府</t>
        </is>
      </c>
      <c r="C79" s="5" t="inlineStr">
        <is>
          <t>堺市南区</t>
        </is>
      </c>
      <c r="D79" s="5" t="inlineStr">
        <is>
          <t>帝塚山学院泉ヶ丘高等学校</t>
        </is>
      </c>
      <c r="E79" s="6" t="inlineStr">
        <is>
          <t>072-293-1221</t>
        </is>
      </c>
      <c r="F79" s="7" t="inlineStr">
        <is>
          <t>高</t>
        </is>
      </c>
      <c r="G79" s="5" t="inlineStr">
        <is>
          <t>普通科・専門学科</t>
        </is>
      </c>
      <c r="H79" s="8" t="n"/>
      <c r="I79" s="9" t="n"/>
      <c r="J79" s="9" t="inlineStr">
        <is>
          <t>未架電</t>
        </is>
      </c>
      <c r="K79" s="8" t="n"/>
      <c r="L79" s="9" t="n"/>
      <c r="M79" s="10" t="n"/>
      <c r="N79" s="11" t="inlineStr">
        <is>
          <t>https://www.tezuka-i-h.jp/</t>
        </is>
      </c>
      <c r="O79" s="12" t="inlineStr">
        <is>
          <t>開く</t>
        </is>
      </c>
    </row>
    <row r="80">
      <c r="A80" s="4" t="n">
        <v>76</v>
      </c>
      <c r="B80" s="5" t="inlineStr">
        <is>
          <t>大阪府</t>
        </is>
      </c>
      <c r="C80" s="5" t="inlineStr">
        <is>
          <t>大阪市住吉区</t>
        </is>
      </c>
      <c r="D80" s="5" t="inlineStr">
        <is>
          <t>帝塚山学院高等学校</t>
        </is>
      </c>
      <c r="E80" s="6" t="inlineStr">
        <is>
          <t>06-6672-1151</t>
        </is>
      </c>
      <c r="F80" s="7" t="inlineStr">
        <is>
          <t>高</t>
        </is>
      </c>
      <c r="G80" s="5" t="inlineStr">
        <is>
          <t>普通科</t>
        </is>
      </c>
      <c r="H80" s="8" t="n"/>
      <c r="I80" s="9" t="n"/>
      <c r="J80" s="9" t="inlineStr">
        <is>
          <t>未架電</t>
        </is>
      </c>
      <c r="K80" s="8" t="n"/>
      <c r="L80" s="9" t="n"/>
      <c r="M80" s="10" t="inlineStr">
        <is>
          <t>学校法人の公式アクセスページに記載</t>
        </is>
      </c>
      <c r="N80" s="11" t="inlineStr">
        <is>
          <t>https://www.tezukayama.ac.jp/access/</t>
        </is>
      </c>
      <c r="O80" s="12" t="inlineStr">
        <is>
          <t>開く</t>
        </is>
      </c>
    </row>
    <row r="81">
      <c r="A81" s="4" t="n">
        <v>77</v>
      </c>
      <c r="B81" s="5" t="inlineStr">
        <is>
          <t>大阪府</t>
        </is>
      </c>
      <c r="C81" s="5" t="inlineStr">
        <is>
          <t>大阪市平野区</t>
        </is>
      </c>
      <c r="D81" s="5" t="inlineStr">
        <is>
          <t>天王寺学館高等学校</t>
        </is>
      </c>
      <c r="E81" s="6" t="inlineStr">
        <is>
          <t>06-6795-1860</t>
        </is>
      </c>
      <c r="F81" s="7" t="inlineStr">
        <is>
          <t>高</t>
        </is>
      </c>
      <c r="G81" s="5" t="inlineStr">
        <is>
          <t>総合学科</t>
        </is>
      </c>
      <c r="H81" s="8" t="n"/>
      <c r="I81" s="9" t="n"/>
      <c r="J81" s="9" t="inlineStr">
        <is>
          <t>未架電</t>
        </is>
      </c>
      <c r="K81" s="8" t="n"/>
      <c r="L81" s="9" t="n"/>
      <c r="M81" s="10" t="inlineStr">
        <is>
          <t>通信制。2010年に平野区へ移転済み（旧番号06-6621-1860は古い情報）</t>
        </is>
      </c>
      <c r="N81" s="11" t="inlineStr">
        <is>
          <t>https://tg-group.ac.jp/tgkoko/i/ipc/contact/</t>
        </is>
      </c>
      <c r="O81" s="12" t="inlineStr">
        <is>
          <t>開く</t>
        </is>
      </c>
    </row>
    <row r="82">
      <c r="A82" s="4" t="n">
        <v>78</v>
      </c>
      <c r="B82" s="5" t="inlineStr">
        <is>
          <t>大阪府</t>
        </is>
      </c>
      <c r="C82" s="5" t="inlineStr">
        <is>
          <t>枚方市</t>
        </is>
      </c>
      <c r="D82" s="5" t="inlineStr">
        <is>
          <t>東海大学付属大阪仰星高等学校</t>
        </is>
      </c>
      <c r="E82" s="6" t="inlineStr">
        <is>
          <t>072-849-7211</t>
        </is>
      </c>
      <c r="F82" s="7" t="inlineStr">
        <is>
          <t>高</t>
        </is>
      </c>
      <c r="G82" s="5" t="inlineStr">
        <is>
          <t>普通科</t>
        </is>
      </c>
      <c r="H82" s="8" t="n"/>
      <c r="I82" s="9" t="n"/>
      <c r="J82" s="9" t="inlineStr">
        <is>
          <t>未架電</t>
        </is>
      </c>
      <c r="K82" s="8" t="n"/>
      <c r="L82" s="9" t="n"/>
      <c r="M82" s="10" t="n"/>
      <c r="N82" s="11" t="inlineStr">
        <is>
          <t>https://www.tokai-gyosei.ed.jp/access/</t>
        </is>
      </c>
      <c r="O82" s="12" t="inlineStr">
        <is>
          <t>開く</t>
        </is>
      </c>
    </row>
    <row r="83">
      <c r="A83" s="4" t="n">
        <v>79</v>
      </c>
      <c r="B83" s="5" t="inlineStr">
        <is>
          <t>大阪府</t>
        </is>
      </c>
      <c r="C83" s="5" t="inlineStr">
        <is>
          <t>寝屋川市</t>
        </is>
      </c>
      <c r="D83" s="5" t="inlineStr">
        <is>
          <t>同志社香里高等学校</t>
        </is>
      </c>
      <c r="E83" s="6" t="inlineStr">
        <is>
          <t>072-831-0285</t>
        </is>
      </c>
      <c r="F83" s="7" t="inlineStr">
        <is>
          <t>高</t>
        </is>
      </c>
      <c r="G83" s="5" t="inlineStr">
        <is>
          <t>普通科</t>
        </is>
      </c>
      <c r="H83" s="8" t="n"/>
      <c r="I83" s="9" t="n"/>
      <c r="J83" s="9" t="inlineStr">
        <is>
          <t>未架電</t>
        </is>
      </c>
      <c r="K83" s="8" t="n"/>
      <c r="L83" s="9" t="n"/>
      <c r="M83" s="10" t="inlineStr">
        <is>
          <t>中高共通番号。寝屋川市サイトとも一致</t>
        </is>
      </c>
      <c r="N83" s="11" t="inlineStr">
        <is>
          <t>https://www.kori.doshisha.ac.jp/agreement/</t>
        </is>
      </c>
      <c r="O83" s="12" t="inlineStr">
        <is>
          <t>開く</t>
        </is>
      </c>
    </row>
    <row r="84">
      <c r="A84" s="4" t="n">
        <v>80</v>
      </c>
      <c r="B84" s="5" t="inlineStr">
        <is>
          <t>大阪府</t>
        </is>
      </c>
      <c r="C84" s="5" t="inlineStr">
        <is>
          <t>枚方市</t>
        </is>
      </c>
      <c r="D84" s="5" t="inlineStr">
        <is>
          <t>長尾谷高等学校</t>
        </is>
      </c>
      <c r="E84" s="6" t="inlineStr">
        <is>
          <t>072-850-9111</t>
        </is>
      </c>
      <c r="F84" s="7" t="inlineStr">
        <is>
          <t>高</t>
        </is>
      </c>
      <c r="G84" s="5" t="inlineStr">
        <is>
          <t>普通科</t>
        </is>
      </c>
      <c r="H84" s="8" t="n"/>
      <c r="I84" s="9" t="n"/>
      <c r="J84" s="9" t="inlineStr">
        <is>
          <t>未架電</t>
        </is>
      </c>
      <c r="K84" s="8" t="n"/>
      <c r="L84" s="9" t="n"/>
      <c r="M84" s="10" t="inlineStr">
        <is>
          <t>通信制・枚方本校（フリーダイヤル0120-750-150）</t>
        </is>
      </c>
      <c r="N84" s="11" t="inlineStr">
        <is>
          <t>https://www.nagaodani.ed.jp/contact/</t>
        </is>
      </c>
      <c r="O84" s="12" t="inlineStr">
        <is>
          <t>開く</t>
        </is>
      </c>
    </row>
    <row r="85">
      <c r="A85" s="4" t="n">
        <v>81</v>
      </c>
      <c r="B85" s="5" t="inlineStr">
        <is>
          <t>大阪府</t>
        </is>
      </c>
      <c r="C85" s="5" t="inlineStr">
        <is>
          <t>大阪市住吉区</t>
        </is>
      </c>
      <c r="D85" s="5" t="inlineStr">
        <is>
          <t>浪速高等学校</t>
        </is>
      </c>
      <c r="E85" s="6" t="inlineStr">
        <is>
          <t>06-6693-4031</t>
        </is>
      </c>
      <c r="F85" s="7" t="inlineStr">
        <is>
          <t>高</t>
        </is>
      </c>
      <c r="G85" s="5" t="inlineStr">
        <is>
          <t>普通科・専門学科</t>
        </is>
      </c>
      <c r="H85" s="8" t="n"/>
      <c r="I85" s="9" t="n"/>
      <c r="J85" s="9" t="inlineStr">
        <is>
          <t>未架電</t>
        </is>
      </c>
      <c r="K85" s="8" t="n"/>
      <c r="L85" s="9" t="n"/>
      <c r="M85" s="10" t="inlineStr">
        <is>
          <t>代表番号。入試広報部は06-6693-0965</t>
        </is>
      </c>
      <c r="N85" s="11" t="inlineStr">
        <is>
          <t>https://www.naniwa.ed.jp/contact/</t>
        </is>
      </c>
      <c r="O85" s="12" t="inlineStr">
        <is>
          <t>開く</t>
        </is>
      </c>
    </row>
    <row r="86">
      <c r="A86" s="4" t="n">
        <v>82</v>
      </c>
      <c r="B86" s="5" t="inlineStr">
        <is>
          <t>大阪府</t>
        </is>
      </c>
      <c r="C86" s="5" t="inlineStr">
        <is>
          <t>高石市</t>
        </is>
      </c>
      <c r="D86" s="5" t="inlineStr">
        <is>
          <t>羽衣学園高等学校</t>
        </is>
      </c>
      <c r="E86" s="6" t="inlineStr">
        <is>
          <t>072-265-7561</t>
        </is>
      </c>
      <c r="F86" s="7" t="inlineStr">
        <is>
          <t>高</t>
        </is>
      </c>
      <c r="G86" s="5" t="inlineStr">
        <is>
          <t>普通科</t>
        </is>
      </c>
      <c r="H86" s="8" t="n"/>
      <c r="I86" s="9" t="n"/>
      <c r="J86" s="9" t="inlineStr">
        <is>
          <t>未架電</t>
        </is>
      </c>
      <c r="K86" s="8" t="n"/>
      <c r="L86" s="9" t="n"/>
      <c r="M86" s="10" t="n"/>
      <c r="N86" s="11" t="inlineStr">
        <is>
          <t>https://hagoromogakuen.ed.jp/contact/</t>
        </is>
      </c>
      <c r="O86" s="12" t="inlineStr">
        <is>
          <t>開く</t>
        </is>
      </c>
    </row>
    <row r="87">
      <c r="A87" s="4" t="n">
        <v>83</v>
      </c>
      <c r="B87" s="5" t="inlineStr">
        <is>
          <t>大阪府</t>
        </is>
      </c>
      <c r="C87" s="5" t="inlineStr">
        <is>
          <t>富田林市</t>
        </is>
      </c>
      <c r="D87" s="5" t="inlineStr">
        <is>
          <t>初芝富田林高等学校</t>
        </is>
      </c>
      <c r="E87" s="6" t="inlineStr">
        <is>
          <t>0721-34-1010</t>
        </is>
      </c>
      <c r="F87" s="7" t="inlineStr">
        <is>
          <t>高</t>
        </is>
      </c>
      <c r="G87" s="5" t="inlineStr">
        <is>
          <t>普通科</t>
        </is>
      </c>
      <c r="H87" s="8" t="n"/>
      <c r="I87" s="9" t="n"/>
      <c r="J87" s="9" t="inlineStr">
        <is>
          <t>未架電</t>
        </is>
      </c>
      <c r="K87" s="8" t="n"/>
      <c r="L87" s="9" t="n"/>
      <c r="M87" s="10" t="inlineStr">
        <is>
          <t>2026年4月に「利晶学園高等学校」へ校名変更</t>
        </is>
      </c>
      <c r="N87" s="11" t="inlineStr">
        <is>
          <t>https://www.rishogakuen.ed.jp/tondabayashi/info/inquiry.html</t>
        </is>
      </c>
      <c r="O87" s="12" t="inlineStr">
        <is>
          <t>開く</t>
        </is>
      </c>
    </row>
    <row r="88">
      <c r="A88" s="4" t="n">
        <v>84</v>
      </c>
      <c r="B88" s="5" t="inlineStr">
        <is>
          <t>大阪府</t>
        </is>
      </c>
      <c r="C88" s="5" t="inlineStr">
        <is>
          <t>松原市</t>
        </is>
      </c>
      <c r="D88" s="5" t="inlineStr">
        <is>
          <t>阪南大学高等学校</t>
        </is>
      </c>
      <c r="E88" s="6" t="inlineStr">
        <is>
          <t>072-332-1221</t>
        </is>
      </c>
      <c r="F88" s="7" t="inlineStr">
        <is>
          <t>高</t>
        </is>
      </c>
      <c r="G88" s="5" t="inlineStr">
        <is>
          <t>普通科</t>
        </is>
      </c>
      <c r="H88" s="8" t="n"/>
      <c r="I88" s="9" t="n"/>
      <c r="J88" s="9" t="inlineStr">
        <is>
          <t>未架電</t>
        </is>
      </c>
      <c r="K88" s="8" t="n"/>
      <c r="L88" s="9" t="n"/>
      <c r="M88" s="10" t="n"/>
      <c r="N88" s="11" t="inlineStr">
        <is>
          <t>https://www.hdk.ed.jp/access/</t>
        </is>
      </c>
      <c r="O88" s="12" t="inlineStr">
        <is>
          <t>開く</t>
        </is>
      </c>
    </row>
    <row r="89">
      <c r="A89" s="4" t="n">
        <v>85</v>
      </c>
      <c r="B89" s="5" t="inlineStr">
        <is>
          <t>大阪府</t>
        </is>
      </c>
      <c r="C89" s="5" t="inlineStr">
        <is>
          <t>豊中市</t>
        </is>
      </c>
      <c r="D89" s="5" t="inlineStr">
        <is>
          <t>梅花高等学校</t>
        </is>
      </c>
      <c r="E89" s="6" t="inlineStr">
        <is>
          <t>06-6852-0001</t>
        </is>
      </c>
      <c r="F89" s="7" t="inlineStr">
        <is>
          <t>高</t>
        </is>
      </c>
      <c r="G89" s="5" t="inlineStr">
        <is>
          <t>普通科</t>
        </is>
      </c>
      <c r="H89" s="8" t="n"/>
      <c r="I89" s="9" t="n"/>
      <c r="J89" s="9" t="inlineStr">
        <is>
          <t>未架電</t>
        </is>
      </c>
      <c r="K89" s="8" t="n"/>
      <c r="L89" s="9" t="n"/>
      <c r="M89" s="10" t="inlineStr">
        <is>
          <t>代表番号。入試広報部直通は06-6852-0002</t>
        </is>
      </c>
      <c r="N89" s="11" t="inlineStr">
        <is>
          <t>https://www.baika-jh.ed.jp/guide/access/</t>
        </is>
      </c>
      <c r="O89" s="12" t="inlineStr">
        <is>
          <t>開く</t>
        </is>
      </c>
    </row>
    <row r="90">
      <c r="A90" s="4" t="n">
        <v>86</v>
      </c>
      <c r="B90" s="5" t="inlineStr">
        <is>
          <t>大阪府</t>
        </is>
      </c>
      <c r="C90" s="5" t="inlineStr">
        <is>
          <t>柏原市</t>
        </is>
      </c>
      <c r="D90" s="5" t="inlineStr">
        <is>
          <t>東大阪大学柏原高等学校</t>
        </is>
      </c>
      <c r="E90" s="6" t="inlineStr">
        <is>
          <t>072-972-1565</t>
        </is>
      </c>
      <c r="F90" s="13" t="inlineStr">
        <is>
          <t>中</t>
        </is>
      </c>
      <c r="G90" s="5" t="inlineStr">
        <is>
          <t>普通科</t>
        </is>
      </c>
      <c r="H90" s="8" t="n"/>
      <c r="I90" s="9" t="n"/>
      <c r="J90" s="9" t="inlineStr">
        <is>
          <t>未架電</t>
        </is>
      </c>
      <c r="K90" s="8" t="n"/>
      <c r="L90" s="9" t="n"/>
      <c r="M90" s="10" t="inlineStr">
        <is>
          <t>マピオン等の複数サイトで一致。公式サイトでは未確認</t>
        </is>
      </c>
      <c r="N90" s="11" t="inlineStr">
        <is>
          <t>https://www.gakkou.net/kou/view/index_304261.html</t>
        </is>
      </c>
      <c r="O90" s="12" t="inlineStr">
        <is>
          <t>開く</t>
        </is>
      </c>
    </row>
    <row r="91">
      <c r="A91" s="4" t="n">
        <v>87</v>
      </c>
      <c r="B91" s="5" t="inlineStr">
        <is>
          <t>大阪府</t>
        </is>
      </c>
      <c r="C91" s="5" t="inlineStr">
        <is>
          <t>東大阪市</t>
        </is>
      </c>
      <c r="D91" s="5" t="inlineStr">
        <is>
          <t>東大阪大学敬愛高等学校</t>
        </is>
      </c>
      <c r="E91" s="6" t="inlineStr">
        <is>
          <t>06-6782-2881</t>
        </is>
      </c>
      <c r="F91" s="7" t="inlineStr">
        <is>
          <t>高</t>
        </is>
      </c>
      <c r="G91" s="5" t="inlineStr">
        <is>
          <t>普通科</t>
        </is>
      </c>
      <c r="H91" s="8" t="n"/>
      <c r="I91" s="9" t="n"/>
      <c r="J91" s="9" t="inlineStr">
        <is>
          <t>未架電</t>
        </is>
      </c>
      <c r="K91" s="8" t="n"/>
      <c r="L91" s="9" t="n"/>
      <c r="M91" s="10" t="n"/>
      <c r="N91" s="11" t="inlineStr">
        <is>
          <t>https://www.higashiosaka-hs.ac.jp/keiai/</t>
        </is>
      </c>
      <c r="O91" s="12" t="inlineStr">
        <is>
          <t>開く</t>
        </is>
      </c>
    </row>
    <row r="92">
      <c r="A92" s="4" t="n">
        <v>88</v>
      </c>
      <c r="B92" s="5" t="inlineStr">
        <is>
          <t>大阪府</t>
        </is>
      </c>
      <c r="C92" s="5" t="inlineStr">
        <is>
          <t>堺市南区</t>
        </is>
      </c>
      <c r="D92" s="5" t="inlineStr">
        <is>
          <t>東大谷高等学校</t>
        </is>
      </c>
      <c r="E92" s="6" t="inlineStr">
        <is>
          <t>072-289-8069</t>
        </is>
      </c>
      <c r="F92" s="7" t="inlineStr">
        <is>
          <t>高</t>
        </is>
      </c>
      <c r="G92" s="5" t="inlineStr">
        <is>
          <t>普通科</t>
        </is>
      </c>
      <c r="H92" s="8" t="n"/>
      <c r="I92" s="9" t="n"/>
      <c r="J92" s="9" t="inlineStr">
        <is>
          <t>未架電</t>
        </is>
      </c>
      <c r="K92" s="8" t="n"/>
      <c r="L92" s="9" t="n"/>
      <c r="M92" s="10" t="inlineStr">
        <is>
          <t>2013年に堺市南区三原台へ移転済み。現所在地の番号</t>
        </is>
      </c>
      <c r="N92" s="11" t="inlineStr">
        <is>
          <t>https://higashiohtani.ac.jp/contact</t>
        </is>
      </c>
      <c r="O92" s="12" t="inlineStr">
        <is>
          <t>開く</t>
        </is>
      </c>
    </row>
    <row r="93">
      <c r="A93" s="4" t="n">
        <v>89</v>
      </c>
      <c r="B93" s="5" t="inlineStr">
        <is>
          <t>大阪府</t>
        </is>
      </c>
      <c r="C93" s="5" t="inlineStr">
        <is>
          <t>富田林市</t>
        </is>
      </c>
      <c r="D93" s="5" t="inlineStr">
        <is>
          <t>PL学園高等学校</t>
        </is>
      </c>
      <c r="E93" s="6" t="inlineStr">
        <is>
          <t>0721-24-5132</t>
        </is>
      </c>
      <c r="F93" s="7" t="inlineStr">
        <is>
          <t>高</t>
        </is>
      </c>
      <c r="G93" s="5" t="inlineStr">
        <is>
          <t>普通科</t>
        </is>
      </c>
      <c r="H93" s="8" t="n"/>
      <c r="I93" s="9" t="n"/>
      <c r="J93" s="9" t="inlineStr">
        <is>
          <t>未架電</t>
        </is>
      </c>
      <c r="K93" s="8" t="n"/>
      <c r="L93" s="9" t="n"/>
      <c r="M93" s="10" t="inlineStr">
        <is>
          <t>富田林市の公式サイトでも番号が一致</t>
        </is>
      </c>
      <c r="N93" s="11" t="inlineStr">
        <is>
          <t>https://www.pl-gakuen.ac.jp/schoolguide/</t>
        </is>
      </c>
      <c r="O93" s="12" t="inlineStr">
        <is>
          <t>開く</t>
        </is>
      </c>
    </row>
    <row r="94">
      <c r="A94" s="4" t="n">
        <v>90</v>
      </c>
      <c r="B94" s="5" t="inlineStr">
        <is>
          <t>大阪府</t>
        </is>
      </c>
      <c r="C94" s="5" t="inlineStr">
        <is>
          <t>大阪市生野区</t>
        </is>
      </c>
      <c r="D94" s="5" t="inlineStr">
        <is>
          <t>プール学院高等学校</t>
        </is>
      </c>
      <c r="E94" s="6" t="inlineStr">
        <is>
          <t>06-6741-7005</t>
        </is>
      </c>
      <c r="F94" s="7" t="inlineStr">
        <is>
          <t>高</t>
        </is>
      </c>
      <c r="G94" s="5" t="inlineStr">
        <is>
          <t>普通科</t>
        </is>
      </c>
      <c r="H94" s="8" t="n"/>
      <c r="I94" s="9" t="n"/>
      <c r="J94" s="9" t="inlineStr">
        <is>
          <t>未架電</t>
        </is>
      </c>
      <c r="K94" s="8" t="n"/>
      <c r="L94" s="9" t="n"/>
      <c r="M94" s="10" t="n"/>
      <c r="N94" s="11" t="inlineStr">
        <is>
          <t>https://poole.ed.jp/</t>
        </is>
      </c>
      <c r="O94" s="12" t="inlineStr">
        <is>
          <t>開く</t>
        </is>
      </c>
    </row>
    <row r="95">
      <c r="A95" s="4" t="n">
        <v>91</v>
      </c>
      <c r="B95" s="5" t="inlineStr">
        <is>
          <t>大阪府</t>
        </is>
      </c>
      <c r="C95" s="5" t="inlineStr">
        <is>
          <t>箕面市</t>
        </is>
      </c>
      <c r="D95" s="5" t="inlineStr">
        <is>
          <t>箕面学園高等学校</t>
        </is>
      </c>
      <c r="E95" s="6" t="inlineStr">
        <is>
          <t>072-723-6551</t>
        </is>
      </c>
      <c r="F95" s="7" t="inlineStr">
        <is>
          <t>高</t>
        </is>
      </c>
      <c r="G95" s="5" t="inlineStr">
        <is>
          <t>普通科</t>
        </is>
      </c>
      <c r="H95" s="8" t="n"/>
      <c r="I95" s="9" t="n"/>
      <c r="J95" s="9" t="inlineStr">
        <is>
          <t>未架電</t>
        </is>
      </c>
      <c r="K95" s="8" t="n"/>
      <c r="L95" s="9" t="n"/>
      <c r="M95" s="10" t="inlineStr">
        <is>
          <t>代表番号</t>
        </is>
      </c>
      <c r="N95" s="11" t="inlineStr">
        <is>
          <t>https://minohgakuen.ed.jp/</t>
        </is>
      </c>
      <c r="O95" s="12" t="inlineStr">
        <is>
          <t>開く</t>
        </is>
      </c>
    </row>
    <row r="96">
      <c r="A96" s="4" t="n">
        <v>92</v>
      </c>
      <c r="B96" s="5" t="inlineStr">
        <is>
          <t>大阪府</t>
        </is>
      </c>
      <c r="C96" s="5" t="inlineStr">
        <is>
          <t>豊中市</t>
        </is>
      </c>
      <c r="D96" s="5" t="inlineStr">
        <is>
          <t>箕面自由学園高等学校</t>
        </is>
      </c>
      <c r="E96" s="6" t="inlineStr">
        <is>
          <t>06-6852-8110</t>
        </is>
      </c>
      <c r="F96" s="7" t="inlineStr">
        <is>
          <t>高</t>
        </is>
      </c>
      <c r="G96" s="5" t="inlineStr">
        <is>
          <t>普通科</t>
        </is>
      </c>
      <c r="H96" s="8" t="n"/>
      <c r="I96" s="9" t="n"/>
      <c r="J96" s="9" t="inlineStr">
        <is>
          <t>未架電</t>
        </is>
      </c>
      <c r="K96" s="8" t="n"/>
      <c r="L96" s="9" t="n"/>
      <c r="M96" s="10" t="inlineStr">
        <is>
          <t>NAVITIMEには別番号（06-6852-7595）の記載あるが公式と不一致</t>
        </is>
      </c>
      <c r="N96" s="11" t="inlineStr">
        <is>
          <t>https://mino-jiyu.ed.jp/hs/</t>
        </is>
      </c>
      <c r="O96" s="12" t="inlineStr">
        <is>
          <t>開く</t>
        </is>
      </c>
    </row>
    <row r="97">
      <c r="A97" s="4" t="n">
        <v>93</v>
      </c>
      <c r="B97" s="5" t="inlineStr">
        <is>
          <t>大阪府</t>
        </is>
      </c>
      <c r="C97" s="5" t="inlineStr">
        <is>
          <t>大阪市阿倍野区</t>
        </is>
      </c>
      <c r="D97" s="5" t="inlineStr">
        <is>
          <t>明浄学院高等学校</t>
        </is>
      </c>
      <c r="E97" s="6" t="inlineStr">
        <is>
          <t>06-6623-0016</t>
        </is>
      </c>
      <c r="F97" s="13" t="inlineStr">
        <is>
          <t>中</t>
        </is>
      </c>
      <c r="G97" s="5" t="inlineStr">
        <is>
          <t>普通科</t>
        </is>
      </c>
      <c r="H97" s="8" t="n"/>
      <c r="I97" s="9" t="n"/>
      <c r="J97" s="9" t="inlineStr">
        <is>
          <t>未架電</t>
        </is>
      </c>
      <c r="K97" s="8" t="n"/>
      <c r="L97" s="9" t="n"/>
      <c r="M97" s="10" t="inlineStr">
        <is>
          <t>文科省ユネスコスクールのページ等の複数サイトで一致。2024年に藍野高校と統合し共学化</t>
        </is>
      </c>
      <c r="N97" s="11" t="inlineStr">
        <is>
          <t>https://www.unesco-school.mext.go.jp/schools/list/meijo-gakuin-high-school/</t>
        </is>
      </c>
      <c r="O97" s="12" t="inlineStr">
        <is>
          <t>開く</t>
        </is>
      </c>
    </row>
    <row r="98">
      <c r="A98" s="4" t="n">
        <v>94</v>
      </c>
      <c r="B98" s="5" t="inlineStr">
        <is>
          <t>大阪府</t>
        </is>
      </c>
      <c r="C98" s="5" t="inlineStr">
        <is>
          <t>大阪市天王寺区</t>
        </is>
      </c>
      <c r="D98" s="5" t="inlineStr">
        <is>
          <t>明星高等学校（大阪府）</t>
        </is>
      </c>
      <c r="E98" s="6" t="inlineStr">
        <is>
          <t>06-6761-5606</t>
        </is>
      </c>
      <c r="F98" s="7" t="inlineStr">
        <is>
          <t>高</t>
        </is>
      </c>
      <c r="G98" s="5" t="inlineStr">
        <is>
          <t>普通科</t>
        </is>
      </c>
      <c r="H98" s="8" t="n"/>
      <c r="I98" s="9" t="n"/>
      <c r="J98" s="9" t="inlineStr">
        <is>
          <t>未架電</t>
        </is>
      </c>
      <c r="K98" s="8" t="n"/>
      <c r="L98" s="9" t="n"/>
      <c r="M98" s="10" t="n"/>
      <c r="N98" s="11" t="inlineStr">
        <is>
          <t>https://www.meisei.ed.jp/</t>
        </is>
      </c>
      <c r="O98" s="12" t="inlineStr">
        <is>
          <t>開く</t>
        </is>
      </c>
    </row>
    <row r="99">
      <c r="A99" s="4" t="n">
        <v>95</v>
      </c>
      <c r="B99" s="5" t="inlineStr">
        <is>
          <t>大阪府</t>
        </is>
      </c>
      <c r="C99" s="5" t="inlineStr">
        <is>
          <t>大阪市阿倍野区</t>
        </is>
      </c>
      <c r="D99" s="5" t="inlineStr">
        <is>
          <t>桃山学院高等学校</t>
        </is>
      </c>
      <c r="E99" s="6" t="inlineStr">
        <is>
          <t>06-6621-1181</t>
        </is>
      </c>
      <c r="F99" s="7" t="inlineStr">
        <is>
          <t>高</t>
        </is>
      </c>
      <c r="G99" s="5" t="inlineStr">
        <is>
          <t>普通科</t>
        </is>
      </c>
      <c r="H99" s="8" t="n"/>
      <c r="I99" s="9" t="n"/>
      <c r="J99" s="9" t="inlineStr">
        <is>
          <t>未架電</t>
        </is>
      </c>
      <c r="K99" s="8" t="n"/>
      <c r="L99" s="9" t="n"/>
      <c r="M99" s="10" t="inlineStr">
        <is>
          <t>代表番号</t>
        </is>
      </c>
      <c r="N99" s="11" t="inlineStr">
        <is>
          <t>https://www.momoyamagakuin-h.ed.jp/about/access/</t>
        </is>
      </c>
      <c r="O99" s="12" t="inlineStr">
        <is>
          <t>開く</t>
        </is>
      </c>
    </row>
    <row r="100">
      <c r="A100" s="4" t="n">
        <v>96</v>
      </c>
      <c r="B100" s="5" t="inlineStr">
        <is>
          <t>大阪府</t>
        </is>
      </c>
      <c r="C100" s="5" t="inlineStr">
        <is>
          <t>堺市西区</t>
        </is>
      </c>
      <c r="D100" s="5" t="inlineStr">
        <is>
          <t>八洲学園高等学校</t>
        </is>
      </c>
      <c r="E100" s="6" t="inlineStr">
        <is>
          <t>072-262-8281</t>
        </is>
      </c>
      <c r="F100" s="7" t="inlineStr">
        <is>
          <t>高</t>
        </is>
      </c>
      <c r="G100" s="5" t="inlineStr">
        <is>
          <t>普通科</t>
        </is>
      </c>
      <c r="H100" s="8" t="n"/>
      <c r="I100" s="9" t="n"/>
      <c r="J100" s="9" t="inlineStr">
        <is>
          <t>未架電</t>
        </is>
      </c>
      <c r="K100" s="8" t="n"/>
      <c r="L100" s="9" t="n"/>
      <c r="M100" s="10" t="inlineStr">
        <is>
          <t>通信制・堺本校。堺本校二号館は072-262-5849</t>
        </is>
      </c>
      <c r="N100" s="11" t="inlineStr">
        <is>
          <t>https://yashima.ac.jp/?page_id=167</t>
        </is>
      </c>
      <c r="O100" s="12" t="inlineStr">
        <is>
          <t>開く</t>
        </is>
      </c>
    </row>
    <row r="101">
      <c r="A101" s="4" t="n">
        <v>97</v>
      </c>
      <c r="B101" s="5" t="inlineStr">
        <is>
          <t>大阪府</t>
        </is>
      </c>
      <c r="C101" s="5" t="inlineStr">
        <is>
          <t>堺市東区</t>
        </is>
      </c>
      <c r="D101" s="5" t="inlineStr">
        <is>
          <t>利晶学園大阪立命館高等学校</t>
        </is>
      </c>
      <c r="E101" s="6" t="inlineStr">
        <is>
          <t>072-235-3900</t>
        </is>
      </c>
      <c r="F101" s="7" t="inlineStr">
        <is>
          <t>高</t>
        </is>
      </c>
      <c r="G101" s="5" t="inlineStr">
        <is>
          <t>普通科・専門学科</t>
        </is>
      </c>
      <c r="H101" s="8" t="n"/>
      <c r="I101" s="9" t="n"/>
      <c r="J101" s="9" t="inlineStr">
        <is>
          <t>未架電</t>
        </is>
      </c>
      <c r="K101" s="8" t="n"/>
      <c r="L101" s="9" t="n"/>
      <c r="M101" s="10" t="inlineStr">
        <is>
          <t>高校の番号。中学校は072-235-6400（旧校名は初芝立命館）</t>
        </is>
      </c>
      <c r="N101" s="11" t="inlineStr">
        <is>
          <t>https://www.rishogakuen.ed.jp/ritsumeikan/info/information.html</t>
        </is>
      </c>
      <c r="O101" s="12" t="inlineStr">
        <is>
          <t>開く</t>
        </is>
      </c>
    </row>
    <row r="102">
      <c r="A102" s="4" t="n">
        <v>98</v>
      </c>
      <c r="B102" s="5" t="inlineStr">
        <is>
          <t>大阪府</t>
        </is>
      </c>
      <c r="C102" s="5" t="inlineStr">
        <is>
          <t>豊中市</t>
        </is>
      </c>
      <c r="D102" s="5" t="inlineStr">
        <is>
          <t>履正社高等学校</t>
        </is>
      </c>
      <c r="E102" s="6" t="inlineStr">
        <is>
          <t>06-6864-0456</t>
        </is>
      </c>
      <c r="F102" s="7" t="inlineStr">
        <is>
          <t>高</t>
        </is>
      </c>
      <c r="G102" s="5" t="inlineStr">
        <is>
          <t>普通科</t>
        </is>
      </c>
      <c r="H102" s="8" t="n"/>
      <c r="I102" s="9" t="n"/>
      <c r="J102" s="9" t="inlineStr">
        <is>
          <t>未架電</t>
        </is>
      </c>
      <c r="K102" s="8" t="n"/>
      <c r="L102" s="9" t="n"/>
      <c r="M102" s="10" t="inlineStr">
        <is>
          <t>代表番号</t>
        </is>
      </c>
      <c r="N102" s="11" t="inlineStr">
        <is>
          <t>https://riseisha.ed.jp/info/access/</t>
        </is>
      </c>
      <c r="O102" s="12" t="inlineStr">
        <is>
          <t>開く</t>
        </is>
      </c>
    </row>
    <row r="103">
      <c r="A103" s="4" t="n">
        <v>99</v>
      </c>
      <c r="B103" s="5" t="inlineStr">
        <is>
          <t>大阪府</t>
        </is>
      </c>
      <c r="C103" s="5" t="inlineStr">
        <is>
          <t>大阪市天王寺区</t>
        </is>
      </c>
      <c r="D103" s="5" t="inlineStr">
        <is>
          <t>YMCA学院高等学校</t>
        </is>
      </c>
      <c r="E103" s="6" t="inlineStr">
        <is>
          <t>06-6779-5690</t>
        </is>
      </c>
      <c r="F103" s="7" t="inlineStr">
        <is>
          <t>高</t>
        </is>
      </c>
      <c r="G103" s="5" t="inlineStr">
        <is>
          <t>総合学科</t>
        </is>
      </c>
      <c r="H103" s="8" t="n"/>
      <c r="I103" s="9" t="n"/>
      <c r="J103" s="9" t="inlineStr">
        <is>
          <t>未架電</t>
        </is>
      </c>
      <c r="K103" s="8" t="n"/>
      <c r="L103" s="9" t="n"/>
      <c r="M103" s="10" t="inlineStr">
        <is>
          <t>通信制・単位制</t>
        </is>
      </c>
      <c r="N103" s="11" t="inlineStr">
        <is>
          <t>https://www.ymcagakuin.ac.jp/introduction/access.html</t>
        </is>
      </c>
      <c r="O103" s="12" t="inlineStr">
        <is>
          <t>開く</t>
        </is>
      </c>
    </row>
    <row r="104">
      <c r="A104" s="4" t="n">
        <v>100</v>
      </c>
      <c r="B104" s="5" t="inlineStr">
        <is>
          <t>大阪府</t>
        </is>
      </c>
      <c r="C104" s="5" t="inlineStr">
        <is>
          <t>茨木市</t>
        </is>
      </c>
      <c r="D104" s="5" t="inlineStr">
        <is>
          <t>早稲田大阪高等学校</t>
        </is>
      </c>
      <c r="E104" s="6" t="inlineStr">
        <is>
          <t>072-643-6363</t>
        </is>
      </c>
      <c r="F104" s="7" t="inlineStr">
        <is>
          <t>高</t>
        </is>
      </c>
      <c r="G104" s="5" t="inlineStr">
        <is>
          <t>普通科</t>
        </is>
      </c>
      <c r="H104" s="8" t="n"/>
      <c r="I104" s="9" t="n"/>
      <c r="J104" s="9" t="inlineStr">
        <is>
          <t>未架電</t>
        </is>
      </c>
      <c r="K104" s="8" t="n"/>
      <c r="L104" s="9" t="n"/>
      <c r="M104" s="10" t="inlineStr">
        <is>
          <t>代表番号。入試広報部は072-640-5570、学校法人は072-643-6361</t>
        </is>
      </c>
      <c r="N104" s="11" t="inlineStr">
        <is>
          <t>https://waseda-osaka.jp/</t>
        </is>
      </c>
      <c r="O104" s="12" t="inlineStr">
        <is>
          <t>開く</t>
        </is>
      </c>
    </row>
  </sheetData>
  <autoFilter ref="A4:O104"/>
  <conditionalFormatting sqref="A5:O104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04" showDropDown="0" showInputMessage="0" showErrorMessage="0" allowBlank="1" type="list">
      <formula1>"未架電,不在・折返し待ち,担当者不在,資料送付,アポ獲得,検討中,NG,番号不明"</formula1>
    </dataValidation>
    <dataValidation sqref="H5:H104 K5:K104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  <hyperlink xmlns:r="http://schemas.openxmlformats.org/officeDocument/2006/relationships" ref="O48" r:id="rId44"/>
    <hyperlink xmlns:r="http://schemas.openxmlformats.org/officeDocument/2006/relationships" ref="O49" r:id="rId45"/>
    <hyperlink xmlns:r="http://schemas.openxmlformats.org/officeDocument/2006/relationships" ref="O50" r:id="rId46"/>
    <hyperlink xmlns:r="http://schemas.openxmlformats.org/officeDocument/2006/relationships" ref="O51" r:id="rId47"/>
    <hyperlink xmlns:r="http://schemas.openxmlformats.org/officeDocument/2006/relationships" ref="O52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  <hyperlink xmlns:r="http://schemas.openxmlformats.org/officeDocument/2006/relationships" ref="O59" r:id="rId55"/>
    <hyperlink xmlns:r="http://schemas.openxmlformats.org/officeDocument/2006/relationships" ref="O60" r:id="rId56"/>
    <hyperlink xmlns:r="http://schemas.openxmlformats.org/officeDocument/2006/relationships" ref="O61" r:id="rId57"/>
    <hyperlink xmlns:r="http://schemas.openxmlformats.org/officeDocument/2006/relationships" ref="O62" r:id="rId58"/>
    <hyperlink xmlns:r="http://schemas.openxmlformats.org/officeDocument/2006/relationships" ref="O63" r:id="rId59"/>
    <hyperlink xmlns:r="http://schemas.openxmlformats.org/officeDocument/2006/relationships" ref="O64" r:id="rId60"/>
    <hyperlink xmlns:r="http://schemas.openxmlformats.org/officeDocument/2006/relationships" ref="O65" r:id="rId61"/>
    <hyperlink xmlns:r="http://schemas.openxmlformats.org/officeDocument/2006/relationships" ref="O66" r:id="rId62"/>
    <hyperlink xmlns:r="http://schemas.openxmlformats.org/officeDocument/2006/relationships" ref="O67" r:id="rId63"/>
    <hyperlink xmlns:r="http://schemas.openxmlformats.org/officeDocument/2006/relationships" ref="O68" r:id="rId64"/>
    <hyperlink xmlns:r="http://schemas.openxmlformats.org/officeDocument/2006/relationships" ref="O69" r:id="rId65"/>
    <hyperlink xmlns:r="http://schemas.openxmlformats.org/officeDocument/2006/relationships" ref="O70" r:id="rId66"/>
    <hyperlink xmlns:r="http://schemas.openxmlformats.org/officeDocument/2006/relationships" ref="O71" r:id="rId67"/>
    <hyperlink xmlns:r="http://schemas.openxmlformats.org/officeDocument/2006/relationships" ref="O72" r:id="rId68"/>
    <hyperlink xmlns:r="http://schemas.openxmlformats.org/officeDocument/2006/relationships" ref="O73" r:id="rId69"/>
    <hyperlink xmlns:r="http://schemas.openxmlformats.org/officeDocument/2006/relationships" ref="O74" r:id="rId70"/>
    <hyperlink xmlns:r="http://schemas.openxmlformats.org/officeDocument/2006/relationships" ref="O75" r:id="rId71"/>
    <hyperlink xmlns:r="http://schemas.openxmlformats.org/officeDocument/2006/relationships" ref="O76" r:id="rId72"/>
    <hyperlink xmlns:r="http://schemas.openxmlformats.org/officeDocument/2006/relationships" ref="O77" r:id="rId73"/>
    <hyperlink xmlns:r="http://schemas.openxmlformats.org/officeDocument/2006/relationships" ref="O78" r:id="rId74"/>
    <hyperlink xmlns:r="http://schemas.openxmlformats.org/officeDocument/2006/relationships" ref="O79" r:id="rId75"/>
    <hyperlink xmlns:r="http://schemas.openxmlformats.org/officeDocument/2006/relationships" ref="O80" r:id="rId76"/>
    <hyperlink xmlns:r="http://schemas.openxmlformats.org/officeDocument/2006/relationships" ref="O81" r:id="rId77"/>
    <hyperlink xmlns:r="http://schemas.openxmlformats.org/officeDocument/2006/relationships" ref="O82" r:id="rId78"/>
    <hyperlink xmlns:r="http://schemas.openxmlformats.org/officeDocument/2006/relationships" ref="O83" r:id="rId79"/>
    <hyperlink xmlns:r="http://schemas.openxmlformats.org/officeDocument/2006/relationships" ref="O84" r:id="rId80"/>
    <hyperlink xmlns:r="http://schemas.openxmlformats.org/officeDocument/2006/relationships" ref="O85" r:id="rId81"/>
    <hyperlink xmlns:r="http://schemas.openxmlformats.org/officeDocument/2006/relationships" ref="O86" r:id="rId82"/>
    <hyperlink xmlns:r="http://schemas.openxmlformats.org/officeDocument/2006/relationships" ref="O87" r:id="rId83"/>
    <hyperlink xmlns:r="http://schemas.openxmlformats.org/officeDocument/2006/relationships" ref="O88" r:id="rId84"/>
    <hyperlink xmlns:r="http://schemas.openxmlformats.org/officeDocument/2006/relationships" ref="O89" r:id="rId85"/>
    <hyperlink xmlns:r="http://schemas.openxmlformats.org/officeDocument/2006/relationships" ref="O90" r:id="rId86"/>
    <hyperlink xmlns:r="http://schemas.openxmlformats.org/officeDocument/2006/relationships" ref="O91" r:id="rId87"/>
    <hyperlink xmlns:r="http://schemas.openxmlformats.org/officeDocument/2006/relationships" ref="O92" r:id="rId88"/>
    <hyperlink xmlns:r="http://schemas.openxmlformats.org/officeDocument/2006/relationships" ref="O93" r:id="rId89"/>
    <hyperlink xmlns:r="http://schemas.openxmlformats.org/officeDocument/2006/relationships" ref="O94" r:id="rId90"/>
    <hyperlink xmlns:r="http://schemas.openxmlformats.org/officeDocument/2006/relationships" ref="O95" r:id="rId91"/>
    <hyperlink xmlns:r="http://schemas.openxmlformats.org/officeDocument/2006/relationships" ref="O96" r:id="rId92"/>
    <hyperlink xmlns:r="http://schemas.openxmlformats.org/officeDocument/2006/relationships" ref="O97" r:id="rId93"/>
    <hyperlink xmlns:r="http://schemas.openxmlformats.org/officeDocument/2006/relationships" ref="O98" r:id="rId94"/>
    <hyperlink xmlns:r="http://schemas.openxmlformats.org/officeDocument/2006/relationships" ref="O99" r:id="rId95"/>
    <hyperlink xmlns:r="http://schemas.openxmlformats.org/officeDocument/2006/relationships" ref="O100" r:id="rId96"/>
    <hyperlink xmlns:r="http://schemas.openxmlformats.org/officeDocument/2006/relationships" ref="O101" r:id="rId97"/>
    <hyperlink xmlns:r="http://schemas.openxmlformats.org/officeDocument/2006/relationships" ref="O102" r:id="rId98"/>
    <hyperlink xmlns:r="http://schemas.openxmlformats.org/officeDocument/2006/relationships" ref="O103" r:id="rId99"/>
    <hyperlink xmlns:r="http://schemas.openxmlformats.org/officeDocument/2006/relationships" ref="O104" r:id="rId100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大阪市天王寺区</t>
        </is>
      </c>
      <c r="B4" s="14">
        <f>COUNTIF('架電リスト'!$C$5:$C$104,A4)</f>
        <v/>
      </c>
      <c r="C4" s="14">
        <f>COUNTIFS('架電リスト'!$C$5:$C$104,A4,'架電リスト'!$E$5:$E$104,"&lt;&gt;")</f>
        <v/>
      </c>
      <c r="D4" s="14">
        <f>B4-COUNTIFS('架電リスト'!$C$5:$C$104,A4,'架電リスト'!$J$5:$J$104,"未架電")-COUNTIFS('架電リスト'!$C$5:$C$104,A4,'架電リスト'!$J$5:$J$104,"")</f>
        <v/>
      </c>
      <c r="E4" s="14">
        <f>COUNTIFS('架電リスト'!$C$5:$C$104,$A4,'架電リスト'!$J$5:$J$104,"不在・折返し待ち")</f>
        <v/>
      </c>
      <c r="F4" s="14">
        <f>COUNTIFS('架電リスト'!$C$5:$C$104,$A4,'架電リスト'!$J$5:$J$104,"担当者不在")</f>
        <v/>
      </c>
      <c r="G4" s="14">
        <f>COUNTIFS('架電リスト'!$C$5:$C$104,$A4,'架電リスト'!$J$5:$J$104,"資料送付")</f>
        <v/>
      </c>
      <c r="H4" s="14">
        <f>COUNTIFS('架電リスト'!$C$5:$C$104,$A4,'架電リスト'!$J$5:$J$104,"アポ獲得")</f>
        <v/>
      </c>
      <c r="I4" s="14">
        <f>COUNTIFS('架電リスト'!$C$5:$C$104,$A4,'架電リスト'!$J$5:$J$104,"検討中")</f>
        <v/>
      </c>
      <c r="J4" s="14">
        <f>COUNTIFS('架電リスト'!$C$5:$C$104,$A4,'架電リスト'!$J$5:$J$104,"NG")</f>
        <v/>
      </c>
      <c r="K4" s="14">
        <f>COUNTIFS('架電リスト'!$C$5:$C$104,$A4,'架電リスト'!$J$5:$J$104,"番号不明")</f>
        <v/>
      </c>
    </row>
    <row r="5">
      <c r="A5" s="14" t="inlineStr">
        <is>
          <t>東大阪市</t>
        </is>
      </c>
      <c r="B5" s="14">
        <f>COUNTIF('架電リスト'!$C$5:$C$104,A5)</f>
        <v/>
      </c>
      <c r="C5" s="14">
        <f>COUNTIFS('架電リスト'!$C$5:$C$104,A5,'架電リスト'!$E$5:$E$104,"&lt;&gt;")</f>
        <v/>
      </c>
      <c r="D5" s="14">
        <f>B5-COUNTIFS('架電リスト'!$C$5:$C$104,A5,'架電リスト'!$J$5:$J$104,"未架電")-COUNTIFS('架電リスト'!$C$5:$C$104,A5,'架電リスト'!$J$5:$J$104,"")</f>
        <v/>
      </c>
      <c r="E5" s="14">
        <f>COUNTIFS('架電リスト'!$C$5:$C$104,$A5,'架電リスト'!$J$5:$J$104,"不在・折返し待ち")</f>
        <v/>
      </c>
      <c r="F5" s="14">
        <f>COUNTIFS('架電リスト'!$C$5:$C$104,$A5,'架電リスト'!$J$5:$J$104,"担当者不在")</f>
        <v/>
      </c>
      <c r="G5" s="14">
        <f>COUNTIFS('架電リスト'!$C$5:$C$104,$A5,'架電リスト'!$J$5:$J$104,"資料送付")</f>
        <v/>
      </c>
      <c r="H5" s="14">
        <f>COUNTIFS('架電リスト'!$C$5:$C$104,$A5,'架電リスト'!$J$5:$J$104,"アポ獲得")</f>
        <v/>
      </c>
      <c r="I5" s="14">
        <f>COUNTIFS('架電リスト'!$C$5:$C$104,$A5,'架電リスト'!$J$5:$J$104,"検討中")</f>
        <v/>
      </c>
      <c r="J5" s="14">
        <f>COUNTIFS('架電リスト'!$C$5:$C$104,$A5,'架電リスト'!$J$5:$J$104,"NG")</f>
        <v/>
      </c>
      <c r="K5" s="14">
        <f>COUNTIFS('架電リスト'!$C$5:$C$104,$A5,'架電リスト'!$J$5:$J$104,"番号不明")</f>
        <v/>
      </c>
    </row>
    <row r="6">
      <c r="A6" s="14" t="inlineStr">
        <is>
          <t>大阪市住吉区</t>
        </is>
      </c>
      <c r="B6" s="14">
        <f>COUNTIF('架電リスト'!$C$5:$C$104,A6)</f>
        <v/>
      </c>
      <c r="C6" s="14">
        <f>COUNTIFS('架電リスト'!$C$5:$C$104,A6,'架電リスト'!$E$5:$E$104,"&lt;&gt;")</f>
        <v/>
      </c>
      <c r="D6" s="14">
        <f>B6-COUNTIFS('架電リスト'!$C$5:$C$104,A6,'架電リスト'!$J$5:$J$104,"未架電")-COUNTIFS('架電リスト'!$C$5:$C$104,A6,'架電リスト'!$J$5:$J$104,"")</f>
        <v/>
      </c>
      <c r="E6" s="14">
        <f>COUNTIFS('架電リスト'!$C$5:$C$104,$A6,'架電リスト'!$J$5:$J$104,"不在・折返し待ち")</f>
        <v/>
      </c>
      <c r="F6" s="14">
        <f>COUNTIFS('架電リスト'!$C$5:$C$104,$A6,'架電リスト'!$J$5:$J$104,"担当者不在")</f>
        <v/>
      </c>
      <c r="G6" s="14">
        <f>COUNTIFS('架電リスト'!$C$5:$C$104,$A6,'架電リスト'!$J$5:$J$104,"資料送付")</f>
        <v/>
      </c>
      <c r="H6" s="14">
        <f>COUNTIFS('架電リスト'!$C$5:$C$104,$A6,'架電リスト'!$J$5:$J$104,"アポ獲得")</f>
        <v/>
      </c>
      <c r="I6" s="14">
        <f>COUNTIFS('架電リスト'!$C$5:$C$104,$A6,'架電リスト'!$J$5:$J$104,"検討中")</f>
        <v/>
      </c>
      <c r="J6" s="14">
        <f>COUNTIFS('架電リスト'!$C$5:$C$104,$A6,'架電リスト'!$J$5:$J$104,"NG")</f>
        <v/>
      </c>
      <c r="K6" s="14">
        <f>COUNTIFS('架電リスト'!$C$5:$C$104,$A6,'架電リスト'!$J$5:$J$104,"番号不明")</f>
        <v/>
      </c>
    </row>
    <row r="7">
      <c r="A7" s="14" t="inlineStr">
        <is>
          <t>大阪市阿倍野区</t>
        </is>
      </c>
      <c r="B7" s="14">
        <f>COUNTIF('架電リスト'!$C$5:$C$104,A7)</f>
        <v/>
      </c>
      <c r="C7" s="14">
        <f>COUNTIFS('架電リスト'!$C$5:$C$104,A7,'架電リスト'!$E$5:$E$104,"&lt;&gt;")</f>
        <v/>
      </c>
      <c r="D7" s="14">
        <f>B7-COUNTIFS('架電リスト'!$C$5:$C$104,A7,'架電リスト'!$J$5:$J$104,"未架電")-COUNTIFS('架電リスト'!$C$5:$C$104,A7,'架電リスト'!$J$5:$J$104,"")</f>
        <v/>
      </c>
      <c r="E7" s="14">
        <f>COUNTIFS('架電リスト'!$C$5:$C$104,$A7,'架電リスト'!$J$5:$J$104,"不在・折返し待ち")</f>
        <v/>
      </c>
      <c r="F7" s="14">
        <f>COUNTIFS('架電リスト'!$C$5:$C$104,$A7,'架電リスト'!$J$5:$J$104,"担当者不在")</f>
        <v/>
      </c>
      <c r="G7" s="14">
        <f>COUNTIFS('架電リスト'!$C$5:$C$104,$A7,'架電リスト'!$J$5:$J$104,"資料送付")</f>
        <v/>
      </c>
      <c r="H7" s="14">
        <f>COUNTIFS('架電リスト'!$C$5:$C$104,$A7,'架電リスト'!$J$5:$J$104,"アポ獲得")</f>
        <v/>
      </c>
      <c r="I7" s="14">
        <f>COUNTIFS('架電リスト'!$C$5:$C$104,$A7,'架電リスト'!$J$5:$J$104,"検討中")</f>
        <v/>
      </c>
      <c r="J7" s="14">
        <f>COUNTIFS('架電リスト'!$C$5:$C$104,$A7,'架電リスト'!$J$5:$J$104,"NG")</f>
        <v/>
      </c>
      <c r="K7" s="14">
        <f>COUNTIFS('架電リスト'!$C$5:$C$104,$A7,'架電リスト'!$J$5:$J$104,"番号不明")</f>
        <v/>
      </c>
    </row>
    <row r="8">
      <c r="A8" s="14" t="inlineStr">
        <is>
          <t>大阪市中央区</t>
        </is>
      </c>
      <c r="B8" s="14">
        <f>COUNTIF('架電リスト'!$C$5:$C$104,A8)</f>
        <v/>
      </c>
      <c r="C8" s="14">
        <f>COUNTIFS('架電リスト'!$C$5:$C$104,A8,'架電リスト'!$E$5:$E$104,"&lt;&gt;")</f>
        <v/>
      </c>
      <c r="D8" s="14">
        <f>B8-COUNTIFS('架電リスト'!$C$5:$C$104,A8,'架電リスト'!$J$5:$J$104,"未架電")-COUNTIFS('架電リスト'!$C$5:$C$104,A8,'架電リスト'!$J$5:$J$104,"")</f>
        <v/>
      </c>
      <c r="E8" s="14">
        <f>COUNTIFS('架電リスト'!$C$5:$C$104,$A8,'架電リスト'!$J$5:$J$104,"不在・折返し待ち")</f>
        <v/>
      </c>
      <c r="F8" s="14">
        <f>COUNTIFS('架電リスト'!$C$5:$C$104,$A8,'架電リスト'!$J$5:$J$104,"担当者不在")</f>
        <v/>
      </c>
      <c r="G8" s="14">
        <f>COUNTIFS('架電リスト'!$C$5:$C$104,$A8,'架電リスト'!$J$5:$J$104,"資料送付")</f>
        <v/>
      </c>
      <c r="H8" s="14">
        <f>COUNTIFS('架電リスト'!$C$5:$C$104,$A8,'架電リスト'!$J$5:$J$104,"アポ獲得")</f>
        <v/>
      </c>
      <c r="I8" s="14">
        <f>COUNTIFS('架電リスト'!$C$5:$C$104,$A8,'架電リスト'!$J$5:$J$104,"検討中")</f>
        <v/>
      </c>
      <c r="J8" s="14">
        <f>COUNTIFS('架電リスト'!$C$5:$C$104,$A8,'架電リスト'!$J$5:$J$104,"NG")</f>
        <v/>
      </c>
      <c r="K8" s="14">
        <f>COUNTIFS('架電リスト'!$C$5:$C$104,$A8,'架電リスト'!$J$5:$J$104,"番号不明")</f>
        <v/>
      </c>
    </row>
    <row r="9">
      <c r="A9" s="14" t="inlineStr">
        <is>
          <t>茨木市</t>
        </is>
      </c>
      <c r="B9" s="14">
        <f>COUNTIF('架電リスト'!$C$5:$C$104,A9)</f>
        <v/>
      </c>
      <c r="C9" s="14">
        <f>COUNTIFS('架電リスト'!$C$5:$C$104,A9,'架電リスト'!$E$5:$E$104,"&lt;&gt;")</f>
        <v/>
      </c>
      <c r="D9" s="14">
        <f>B9-COUNTIFS('架電リスト'!$C$5:$C$104,A9,'架電リスト'!$J$5:$J$104,"未架電")-COUNTIFS('架電リスト'!$C$5:$C$104,A9,'架電リスト'!$J$5:$J$104,"")</f>
        <v/>
      </c>
      <c r="E9" s="14">
        <f>COUNTIFS('架電リスト'!$C$5:$C$104,$A9,'架電リスト'!$J$5:$J$104,"不在・折返し待ち")</f>
        <v/>
      </c>
      <c r="F9" s="14">
        <f>COUNTIFS('架電リスト'!$C$5:$C$104,$A9,'架電リスト'!$J$5:$J$104,"担当者不在")</f>
        <v/>
      </c>
      <c r="G9" s="14">
        <f>COUNTIFS('架電リスト'!$C$5:$C$104,$A9,'架電リスト'!$J$5:$J$104,"資料送付")</f>
        <v/>
      </c>
      <c r="H9" s="14">
        <f>COUNTIFS('架電リスト'!$C$5:$C$104,$A9,'架電リスト'!$J$5:$J$104,"アポ獲得")</f>
        <v/>
      </c>
      <c r="I9" s="14">
        <f>COUNTIFS('架電リスト'!$C$5:$C$104,$A9,'架電リスト'!$J$5:$J$104,"検討中")</f>
        <v/>
      </c>
      <c r="J9" s="14">
        <f>COUNTIFS('架電リスト'!$C$5:$C$104,$A9,'架電リスト'!$J$5:$J$104,"NG")</f>
        <v/>
      </c>
      <c r="K9" s="14">
        <f>COUNTIFS('架電リスト'!$C$5:$C$104,$A9,'架電リスト'!$J$5:$J$104,"番号不明")</f>
        <v/>
      </c>
    </row>
    <row r="10">
      <c r="A10" s="14" t="inlineStr">
        <is>
          <t>豊中市</t>
        </is>
      </c>
      <c r="B10" s="14">
        <f>COUNTIF('架電リスト'!$C$5:$C$104,A10)</f>
        <v/>
      </c>
      <c r="C10" s="14">
        <f>COUNTIFS('架電リスト'!$C$5:$C$104,A10,'架電リスト'!$E$5:$E$104,"&lt;&gt;")</f>
        <v/>
      </c>
      <c r="D10" s="14">
        <f>B10-COUNTIFS('架電リスト'!$C$5:$C$104,A10,'架電リスト'!$J$5:$J$104,"未架電")-COUNTIFS('架電リスト'!$C$5:$C$104,A10,'架電リスト'!$J$5:$J$104,"")</f>
        <v/>
      </c>
      <c r="E10" s="14">
        <f>COUNTIFS('架電リスト'!$C$5:$C$104,$A10,'架電リスト'!$J$5:$J$104,"不在・折返し待ち")</f>
        <v/>
      </c>
      <c r="F10" s="14">
        <f>COUNTIFS('架電リスト'!$C$5:$C$104,$A10,'架電リスト'!$J$5:$J$104,"担当者不在")</f>
        <v/>
      </c>
      <c r="G10" s="14">
        <f>COUNTIFS('架電リスト'!$C$5:$C$104,$A10,'架電リスト'!$J$5:$J$104,"資料送付")</f>
        <v/>
      </c>
      <c r="H10" s="14">
        <f>COUNTIFS('架電リスト'!$C$5:$C$104,$A10,'架電リスト'!$J$5:$J$104,"アポ獲得")</f>
        <v/>
      </c>
      <c r="I10" s="14">
        <f>COUNTIFS('架電リスト'!$C$5:$C$104,$A10,'架電リスト'!$J$5:$J$104,"検討中")</f>
        <v/>
      </c>
      <c r="J10" s="14">
        <f>COUNTIFS('架電リスト'!$C$5:$C$104,$A10,'架電リスト'!$J$5:$J$104,"NG")</f>
        <v/>
      </c>
      <c r="K10" s="14">
        <f>COUNTIFS('架電リスト'!$C$5:$C$104,$A10,'架電リスト'!$J$5:$J$104,"番号不明")</f>
        <v/>
      </c>
    </row>
    <row r="11">
      <c r="A11" s="14" t="inlineStr">
        <is>
          <t>箕面市</t>
        </is>
      </c>
      <c r="B11" s="14">
        <f>COUNTIF('架電リスト'!$C$5:$C$104,A11)</f>
        <v/>
      </c>
      <c r="C11" s="14">
        <f>COUNTIFS('架電リスト'!$C$5:$C$104,A11,'架電リスト'!$E$5:$E$104,"&lt;&gt;")</f>
        <v/>
      </c>
      <c r="D11" s="14">
        <f>B11-COUNTIFS('架電リスト'!$C$5:$C$104,A11,'架電リスト'!$J$5:$J$104,"未架電")-COUNTIFS('架電リスト'!$C$5:$C$104,A11,'架電リスト'!$J$5:$J$104,"")</f>
        <v/>
      </c>
      <c r="E11" s="14">
        <f>COUNTIFS('架電リスト'!$C$5:$C$104,$A11,'架電リスト'!$J$5:$J$104,"不在・折返し待ち")</f>
        <v/>
      </c>
      <c r="F11" s="14">
        <f>COUNTIFS('架電リスト'!$C$5:$C$104,$A11,'架電リスト'!$J$5:$J$104,"担当者不在")</f>
        <v/>
      </c>
      <c r="G11" s="14">
        <f>COUNTIFS('架電リスト'!$C$5:$C$104,$A11,'架電リスト'!$J$5:$J$104,"資料送付")</f>
        <v/>
      </c>
      <c r="H11" s="14">
        <f>COUNTIFS('架電リスト'!$C$5:$C$104,$A11,'架電リスト'!$J$5:$J$104,"アポ獲得")</f>
        <v/>
      </c>
      <c r="I11" s="14">
        <f>COUNTIFS('架電リスト'!$C$5:$C$104,$A11,'架電リスト'!$J$5:$J$104,"検討中")</f>
        <v/>
      </c>
      <c r="J11" s="14">
        <f>COUNTIFS('架電リスト'!$C$5:$C$104,$A11,'架電リスト'!$J$5:$J$104,"NG")</f>
        <v/>
      </c>
      <c r="K11" s="14">
        <f>COUNTIFS('架電リスト'!$C$5:$C$104,$A11,'架電リスト'!$J$5:$J$104,"番号不明")</f>
        <v/>
      </c>
    </row>
    <row r="12">
      <c r="A12" s="14" t="inlineStr">
        <is>
          <t>大阪市生野区</t>
        </is>
      </c>
      <c r="B12" s="14">
        <f>COUNTIF('架電リスト'!$C$5:$C$104,A12)</f>
        <v/>
      </c>
      <c r="C12" s="14">
        <f>COUNTIFS('架電リスト'!$C$5:$C$104,A12,'架電リスト'!$E$5:$E$104,"&lt;&gt;")</f>
        <v/>
      </c>
      <c r="D12" s="14">
        <f>B12-COUNTIFS('架電リスト'!$C$5:$C$104,A12,'架電リスト'!$J$5:$J$104,"未架電")-COUNTIFS('架電リスト'!$C$5:$C$104,A12,'架電リスト'!$J$5:$J$104,"")</f>
        <v/>
      </c>
      <c r="E12" s="14">
        <f>COUNTIFS('架電リスト'!$C$5:$C$104,$A12,'架電リスト'!$J$5:$J$104,"不在・折返し待ち")</f>
        <v/>
      </c>
      <c r="F12" s="14">
        <f>COUNTIFS('架電リスト'!$C$5:$C$104,$A12,'架電リスト'!$J$5:$J$104,"担当者不在")</f>
        <v/>
      </c>
      <c r="G12" s="14">
        <f>COUNTIFS('架電リスト'!$C$5:$C$104,$A12,'架電リスト'!$J$5:$J$104,"資料送付")</f>
        <v/>
      </c>
      <c r="H12" s="14">
        <f>COUNTIFS('架電リスト'!$C$5:$C$104,$A12,'架電リスト'!$J$5:$J$104,"アポ獲得")</f>
        <v/>
      </c>
      <c r="I12" s="14">
        <f>COUNTIFS('架電リスト'!$C$5:$C$104,$A12,'架電リスト'!$J$5:$J$104,"検討中")</f>
        <v/>
      </c>
      <c r="J12" s="14">
        <f>COUNTIFS('架電リスト'!$C$5:$C$104,$A12,'架電リスト'!$J$5:$J$104,"NG")</f>
        <v/>
      </c>
      <c r="K12" s="14">
        <f>COUNTIFS('架電リスト'!$C$5:$C$104,$A12,'架電リスト'!$J$5:$J$104,"番号不明")</f>
        <v/>
      </c>
    </row>
    <row r="13">
      <c r="A13" s="14" t="inlineStr">
        <is>
          <t>吹田市</t>
        </is>
      </c>
      <c r="B13" s="14">
        <f>COUNTIF('架電リスト'!$C$5:$C$104,A13)</f>
        <v/>
      </c>
      <c r="C13" s="14">
        <f>COUNTIFS('架電リスト'!$C$5:$C$104,A13,'架電リスト'!$E$5:$E$104,"&lt;&gt;")</f>
        <v/>
      </c>
      <c r="D13" s="14">
        <f>B13-COUNTIFS('架電リスト'!$C$5:$C$104,A13,'架電リスト'!$J$5:$J$104,"未架電")-COUNTIFS('架電リスト'!$C$5:$C$104,A13,'架電リスト'!$J$5:$J$104,"")</f>
        <v/>
      </c>
      <c r="E13" s="14">
        <f>COUNTIFS('架電リスト'!$C$5:$C$104,$A13,'架電リスト'!$J$5:$J$104,"不在・折返し待ち")</f>
        <v/>
      </c>
      <c r="F13" s="14">
        <f>COUNTIFS('架電リスト'!$C$5:$C$104,$A13,'架電リスト'!$J$5:$J$104,"担当者不在")</f>
        <v/>
      </c>
      <c r="G13" s="14">
        <f>COUNTIFS('架電リスト'!$C$5:$C$104,$A13,'架電リスト'!$J$5:$J$104,"資料送付")</f>
        <v/>
      </c>
      <c r="H13" s="14">
        <f>COUNTIFS('架電リスト'!$C$5:$C$104,$A13,'架電リスト'!$J$5:$J$104,"アポ獲得")</f>
        <v/>
      </c>
      <c r="I13" s="14">
        <f>COUNTIFS('架電リスト'!$C$5:$C$104,$A13,'架電リスト'!$J$5:$J$104,"検討中")</f>
        <v/>
      </c>
      <c r="J13" s="14">
        <f>COUNTIFS('架電リスト'!$C$5:$C$104,$A13,'架電リスト'!$J$5:$J$104,"NG")</f>
        <v/>
      </c>
      <c r="K13" s="14">
        <f>COUNTIFS('架電リスト'!$C$5:$C$104,$A13,'架電リスト'!$J$5:$J$104,"番号不明")</f>
        <v/>
      </c>
    </row>
    <row r="14">
      <c r="A14" s="14" t="inlineStr">
        <is>
          <t>大阪市東淀川区</t>
        </is>
      </c>
      <c r="B14" s="14">
        <f>COUNTIF('架電リスト'!$C$5:$C$104,A14)</f>
        <v/>
      </c>
      <c r="C14" s="14">
        <f>COUNTIFS('架電リスト'!$C$5:$C$104,A14,'架電リスト'!$E$5:$E$104,"&lt;&gt;")</f>
        <v/>
      </c>
      <c r="D14" s="14">
        <f>B14-COUNTIFS('架電リスト'!$C$5:$C$104,A14,'架電リスト'!$J$5:$J$104,"未架電")-COUNTIFS('架電リスト'!$C$5:$C$104,A14,'架電リスト'!$J$5:$J$104,"")</f>
        <v/>
      </c>
      <c r="E14" s="14">
        <f>COUNTIFS('架電リスト'!$C$5:$C$104,$A14,'架電リスト'!$J$5:$J$104,"不在・折返し待ち")</f>
        <v/>
      </c>
      <c r="F14" s="14">
        <f>COUNTIFS('架電リスト'!$C$5:$C$104,$A14,'架電リスト'!$J$5:$J$104,"担当者不在")</f>
        <v/>
      </c>
      <c r="G14" s="14">
        <f>COUNTIFS('架電リスト'!$C$5:$C$104,$A14,'架電リスト'!$J$5:$J$104,"資料送付")</f>
        <v/>
      </c>
      <c r="H14" s="14">
        <f>COUNTIFS('架電リスト'!$C$5:$C$104,$A14,'架電リスト'!$J$5:$J$104,"アポ獲得")</f>
        <v/>
      </c>
      <c r="I14" s="14">
        <f>COUNTIFS('架電リスト'!$C$5:$C$104,$A14,'架電リスト'!$J$5:$J$104,"検討中")</f>
        <v/>
      </c>
      <c r="J14" s="14">
        <f>COUNTIFS('架電リスト'!$C$5:$C$104,$A14,'架電リスト'!$J$5:$J$104,"NG")</f>
        <v/>
      </c>
      <c r="K14" s="14">
        <f>COUNTIFS('架電リスト'!$C$5:$C$104,$A14,'架電リスト'!$J$5:$J$104,"番号不明")</f>
        <v/>
      </c>
    </row>
    <row r="15">
      <c r="A15" s="14" t="inlineStr">
        <is>
          <t>大阪市城東区</t>
        </is>
      </c>
      <c r="B15" s="14">
        <f>COUNTIF('架電リスト'!$C$5:$C$104,A15)</f>
        <v/>
      </c>
      <c r="C15" s="14">
        <f>COUNTIFS('架電リスト'!$C$5:$C$104,A15,'架電リスト'!$E$5:$E$104,"&lt;&gt;")</f>
        <v/>
      </c>
      <c r="D15" s="14">
        <f>B15-COUNTIFS('架電リスト'!$C$5:$C$104,A15,'架電リスト'!$J$5:$J$104,"未架電")-COUNTIFS('架電リスト'!$C$5:$C$104,A15,'架電リスト'!$J$5:$J$104,"")</f>
        <v/>
      </c>
      <c r="E15" s="14">
        <f>COUNTIFS('架電リスト'!$C$5:$C$104,$A15,'架電リスト'!$J$5:$J$104,"不在・折返し待ち")</f>
        <v/>
      </c>
      <c r="F15" s="14">
        <f>COUNTIFS('架電リスト'!$C$5:$C$104,$A15,'架電リスト'!$J$5:$J$104,"担当者不在")</f>
        <v/>
      </c>
      <c r="G15" s="14">
        <f>COUNTIFS('架電リスト'!$C$5:$C$104,$A15,'架電リスト'!$J$5:$J$104,"資料送付")</f>
        <v/>
      </c>
      <c r="H15" s="14">
        <f>COUNTIFS('架電リスト'!$C$5:$C$104,$A15,'架電リスト'!$J$5:$J$104,"アポ獲得")</f>
        <v/>
      </c>
      <c r="I15" s="14">
        <f>COUNTIFS('架電リスト'!$C$5:$C$104,$A15,'架電リスト'!$J$5:$J$104,"検討中")</f>
        <v/>
      </c>
      <c r="J15" s="14">
        <f>COUNTIFS('架電リスト'!$C$5:$C$104,$A15,'架電リスト'!$J$5:$J$104,"NG")</f>
        <v/>
      </c>
      <c r="K15" s="14">
        <f>COUNTIFS('架電リスト'!$C$5:$C$104,$A15,'架電リスト'!$J$5:$J$104,"番号不明")</f>
        <v/>
      </c>
    </row>
    <row r="16">
      <c r="A16" s="14" t="inlineStr">
        <is>
          <t>大東市</t>
        </is>
      </c>
      <c r="B16" s="14">
        <f>COUNTIF('架電リスト'!$C$5:$C$104,A16)</f>
        <v/>
      </c>
      <c r="C16" s="14">
        <f>COUNTIFS('架電リスト'!$C$5:$C$104,A16,'架電リスト'!$E$5:$E$104,"&lt;&gt;")</f>
        <v/>
      </c>
      <c r="D16" s="14">
        <f>B16-COUNTIFS('架電リスト'!$C$5:$C$104,A16,'架電リスト'!$J$5:$J$104,"未架電")-COUNTIFS('架電リスト'!$C$5:$C$104,A16,'架電リスト'!$J$5:$J$104,"")</f>
        <v/>
      </c>
      <c r="E16" s="14">
        <f>COUNTIFS('架電リスト'!$C$5:$C$104,$A16,'架電リスト'!$J$5:$J$104,"不在・折返し待ち")</f>
        <v/>
      </c>
      <c r="F16" s="14">
        <f>COUNTIFS('架電リスト'!$C$5:$C$104,$A16,'架電リスト'!$J$5:$J$104,"担当者不在")</f>
        <v/>
      </c>
      <c r="G16" s="14">
        <f>COUNTIFS('架電リスト'!$C$5:$C$104,$A16,'架電リスト'!$J$5:$J$104,"資料送付")</f>
        <v/>
      </c>
      <c r="H16" s="14">
        <f>COUNTIFS('架電リスト'!$C$5:$C$104,$A16,'架電リスト'!$J$5:$J$104,"アポ獲得")</f>
        <v/>
      </c>
      <c r="I16" s="14">
        <f>COUNTIFS('架電リスト'!$C$5:$C$104,$A16,'架電リスト'!$J$5:$J$104,"検討中")</f>
        <v/>
      </c>
      <c r="J16" s="14">
        <f>COUNTIFS('架電リスト'!$C$5:$C$104,$A16,'架電リスト'!$J$5:$J$104,"NG")</f>
        <v/>
      </c>
      <c r="K16" s="14">
        <f>COUNTIFS('架電リスト'!$C$5:$C$104,$A16,'架電リスト'!$J$5:$J$104,"番号不明")</f>
        <v/>
      </c>
    </row>
    <row r="17">
      <c r="A17" s="14" t="inlineStr">
        <is>
          <t>堺市堺区</t>
        </is>
      </c>
      <c r="B17" s="14">
        <f>COUNTIF('架電リスト'!$C$5:$C$104,A17)</f>
        <v/>
      </c>
      <c r="C17" s="14">
        <f>COUNTIFS('架電リスト'!$C$5:$C$104,A17,'架電リスト'!$E$5:$E$104,"&lt;&gt;")</f>
        <v/>
      </c>
      <c r="D17" s="14">
        <f>B17-COUNTIFS('架電リスト'!$C$5:$C$104,A17,'架電リスト'!$J$5:$J$104,"未架電")-COUNTIFS('架電リスト'!$C$5:$C$104,A17,'架電リスト'!$J$5:$J$104,"")</f>
        <v/>
      </c>
      <c r="E17" s="14">
        <f>COUNTIFS('架電リスト'!$C$5:$C$104,$A17,'架電リスト'!$J$5:$J$104,"不在・折返し待ち")</f>
        <v/>
      </c>
      <c r="F17" s="14">
        <f>COUNTIFS('架電リスト'!$C$5:$C$104,$A17,'架電リスト'!$J$5:$J$104,"担当者不在")</f>
        <v/>
      </c>
      <c r="G17" s="14">
        <f>COUNTIFS('架電リスト'!$C$5:$C$104,$A17,'架電リスト'!$J$5:$J$104,"資料送付")</f>
        <v/>
      </c>
      <c r="H17" s="14">
        <f>COUNTIFS('架電リスト'!$C$5:$C$104,$A17,'架電リスト'!$J$5:$J$104,"アポ獲得")</f>
        <v/>
      </c>
      <c r="I17" s="14">
        <f>COUNTIFS('架電リスト'!$C$5:$C$104,$A17,'架電リスト'!$J$5:$J$104,"検討中")</f>
        <v/>
      </c>
      <c r="J17" s="14">
        <f>COUNTIFS('架電リスト'!$C$5:$C$104,$A17,'架電リスト'!$J$5:$J$104,"NG")</f>
        <v/>
      </c>
      <c r="K17" s="14">
        <f>COUNTIFS('架電リスト'!$C$5:$C$104,$A17,'架電リスト'!$J$5:$J$104,"番号不明")</f>
        <v/>
      </c>
    </row>
    <row r="18">
      <c r="A18" s="14" t="inlineStr">
        <is>
          <t>高槻市</t>
        </is>
      </c>
      <c r="B18" s="14">
        <f>COUNTIF('架電リスト'!$C$5:$C$104,A18)</f>
        <v/>
      </c>
      <c r="C18" s="14">
        <f>COUNTIFS('架電リスト'!$C$5:$C$104,A18,'架電リスト'!$E$5:$E$104,"&lt;&gt;")</f>
        <v/>
      </c>
      <c r="D18" s="14">
        <f>B18-COUNTIFS('架電リスト'!$C$5:$C$104,A18,'架電リスト'!$J$5:$J$104,"未架電")-COUNTIFS('架電リスト'!$C$5:$C$104,A18,'架電リスト'!$J$5:$J$104,"")</f>
        <v/>
      </c>
      <c r="E18" s="14">
        <f>COUNTIFS('架電リスト'!$C$5:$C$104,$A18,'架電リスト'!$J$5:$J$104,"不在・折返し待ち")</f>
        <v/>
      </c>
      <c r="F18" s="14">
        <f>COUNTIFS('架電リスト'!$C$5:$C$104,$A18,'架電リスト'!$J$5:$J$104,"担当者不在")</f>
        <v/>
      </c>
      <c r="G18" s="14">
        <f>COUNTIFS('架電リスト'!$C$5:$C$104,$A18,'架電リスト'!$J$5:$J$104,"資料送付")</f>
        <v/>
      </c>
      <c r="H18" s="14">
        <f>COUNTIFS('架電リスト'!$C$5:$C$104,$A18,'架電リスト'!$J$5:$J$104,"アポ獲得")</f>
        <v/>
      </c>
      <c r="I18" s="14">
        <f>COUNTIFS('架電リスト'!$C$5:$C$104,$A18,'架電リスト'!$J$5:$J$104,"検討中")</f>
        <v/>
      </c>
      <c r="J18" s="14">
        <f>COUNTIFS('架電リスト'!$C$5:$C$104,$A18,'架電リスト'!$J$5:$J$104,"NG")</f>
        <v/>
      </c>
      <c r="K18" s="14">
        <f>COUNTIFS('架電リスト'!$C$5:$C$104,$A18,'架電リスト'!$J$5:$J$104,"番号不明")</f>
        <v/>
      </c>
    </row>
    <row r="19">
      <c r="A19" s="14" t="inlineStr">
        <is>
          <t>枚方市</t>
        </is>
      </c>
      <c r="B19" s="14">
        <f>COUNTIF('架電リスト'!$C$5:$C$104,A19)</f>
        <v/>
      </c>
      <c r="C19" s="14">
        <f>COUNTIFS('架電リスト'!$C$5:$C$104,A19,'架電リスト'!$E$5:$E$104,"&lt;&gt;")</f>
        <v/>
      </c>
      <c r="D19" s="14">
        <f>B19-COUNTIFS('架電リスト'!$C$5:$C$104,A19,'架電リスト'!$J$5:$J$104,"未架電")-COUNTIFS('架電リスト'!$C$5:$C$104,A19,'架電リスト'!$J$5:$J$104,"")</f>
        <v/>
      </c>
      <c r="E19" s="14">
        <f>COUNTIFS('架電リスト'!$C$5:$C$104,$A19,'架電リスト'!$J$5:$J$104,"不在・折返し待ち")</f>
        <v/>
      </c>
      <c r="F19" s="14">
        <f>COUNTIFS('架電リスト'!$C$5:$C$104,$A19,'架電リスト'!$J$5:$J$104,"担当者不在")</f>
        <v/>
      </c>
      <c r="G19" s="14">
        <f>COUNTIFS('架電リスト'!$C$5:$C$104,$A19,'架電リスト'!$J$5:$J$104,"資料送付")</f>
        <v/>
      </c>
      <c r="H19" s="14">
        <f>COUNTIFS('架電リスト'!$C$5:$C$104,$A19,'架電リスト'!$J$5:$J$104,"アポ獲得")</f>
        <v/>
      </c>
      <c r="I19" s="14">
        <f>COUNTIFS('架電リスト'!$C$5:$C$104,$A19,'架電リスト'!$J$5:$J$104,"検討中")</f>
        <v/>
      </c>
      <c r="J19" s="14">
        <f>COUNTIFS('架電リスト'!$C$5:$C$104,$A19,'架電リスト'!$J$5:$J$104,"NG")</f>
        <v/>
      </c>
      <c r="K19" s="14">
        <f>COUNTIFS('架電リスト'!$C$5:$C$104,$A19,'架電リスト'!$J$5:$J$104,"番号不明")</f>
        <v/>
      </c>
    </row>
    <row r="20">
      <c r="A20" s="14" t="inlineStr">
        <is>
          <t>河内長野市</t>
        </is>
      </c>
      <c r="B20" s="14">
        <f>COUNTIF('架電リスト'!$C$5:$C$104,A20)</f>
        <v/>
      </c>
      <c r="C20" s="14">
        <f>COUNTIFS('架電リスト'!$C$5:$C$104,A20,'架電リスト'!$E$5:$E$104,"&lt;&gt;")</f>
        <v/>
      </c>
      <c r="D20" s="14">
        <f>B20-COUNTIFS('架電リスト'!$C$5:$C$104,A20,'架電リスト'!$J$5:$J$104,"未架電")-COUNTIFS('架電リスト'!$C$5:$C$104,A20,'架電リスト'!$J$5:$J$104,"")</f>
        <v/>
      </c>
      <c r="E20" s="14">
        <f>COUNTIFS('架電リスト'!$C$5:$C$104,$A20,'架電リスト'!$J$5:$J$104,"不在・折返し待ち")</f>
        <v/>
      </c>
      <c r="F20" s="14">
        <f>COUNTIFS('架電リスト'!$C$5:$C$104,$A20,'架電リスト'!$J$5:$J$104,"担当者不在")</f>
        <v/>
      </c>
      <c r="G20" s="14">
        <f>COUNTIFS('架電リスト'!$C$5:$C$104,$A20,'架電リスト'!$J$5:$J$104,"資料送付")</f>
        <v/>
      </c>
      <c r="H20" s="14">
        <f>COUNTIFS('架電リスト'!$C$5:$C$104,$A20,'架電リスト'!$J$5:$J$104,"アポ獲得")</f>
        <v/>
      </c>
      <c r="I20" s="14">
        <f>COUNTIFS('架電リスト'!$C$5:$C$104,$A20,'架電リスト'!$J$5:$J$104,"検討中")</f>
        <v/>
      </c>
      <c r="J20" s="14">
        <f>COUNTIFS('架電リスト'!$C$5:$C$104,$A20,'架電リスト'!$J$5:$J$104,"NG")</f>
        <v/>
      </c>
      <c r="K20" s="14">
        <f>COUNTIFS('架電リスト'!$C$5:$C$104,$A20,'架電リスト'!$J$5:$J$104,"番号不明")</f>
        <v/>
      </c>
    </row>
    <row r="21">
      <c r="A21" s="14" t="inlineStr">
        <is>
          <t>摂津市</t>
        </is>
      </c>
      <c r="B21" s="14">
        <f>COUNTIF('架電リスト'!$C$5:$C$104,A21)</f>
        <v/>
      </c>
      <c r="C21" s="14">
        <f>COUNTIFS('架電リスト'!$C$5:$C$104,A21,'架電リスト'!$E$5:$E$104,"&lt;&gt;")</f>
        <v/>
      </c>
      <c r="D21" s="14">
        <f>B21-COUNTIFS('架電リスト'!$C$5:$C$104,A21,'架電リスト'!$J$5:$J$104,"未架電")-COUNTIFS('架電リスト'!$C$5:$C$104,A21,'架電リスト'!$J$5:$J$104,"")</f>
        <v/>
      </c>
      <c r="E21" s="14">
        <f>COUNTIFS('架電リスト'!$C$5:$C$104,$A21,'架電リスト'!$J$5:$J$104,"不在・折返し待ち")</f>
        <v/>
      </c>
      <c r="F21" s="14">
        <f>COUNTIFS('架電リスト'!$C$5:$C$104,$A21,'架電リスト'!$J$5:$J$104,"担当者不在")</f>
        <v/>
      </c>
      <c r="G21" s="14">
        <f>COUNTIFS('架電リスト'!$C$5:$C$104,$A21,'架電リスト'!$J$5:$J$104,"資料送付")</f>
        <v/>
      </c>
      <c r="H21" s="14">
        <f>COUNTIFS('架電リスト'!$C$5:$C$104,$A21,'架電リスト'!$J$5:$J$104,"アポ獲得")</f>
        <v/>
      </c>
      <c r="I21" s="14">
        <f>COUNTIFS('架電リスト'!$C$5:$C$104,$A21,'架電リスト'!$J$5:$J$104,"検討中")</f>
        <v/>
      </c>
      <c r="J21" s="14">
        <f>COUNTIFS('架電リスト'!$C$5:$C$104,$A21,'架電リスト'!$J$5:$J$104,"NG")</f>
        <v/>
      </c>
      <c r="K21" s="14">
        <f>COUNTIFS('架電リスト'!$C$5:$C$104,$A21,'架電リスト'!$J$5:$J$104,"番号不明")</f>
        <v/>
      </c>
    </row>
    <row r="22">
      <c r="A22" s="14" t="inlineStr">
        <is>
          <t>守口市</t>
        </is>
      </c>
      <c r="B22" s="14">
        <f>COUNTIF('架電リスト'!$C$5:$C$104,A22)</f>
        <v/>
      </c>
      <c r="C22" s="14">
        <f>COUNTIFS('架電リスト'!$C$5:$C$104,A22,'架電リスト'!$E$5:$E$104,"&lt;&gt;")</f>
        <v/>
      </c>
      <c r="D22" s="14">
        <f>B22-COUNTIFS('架電リスト'!$C$5:$C$104,A22,'架電リスト'!$J$5:$J$104,"未架電")-COUNTIFS('架電リスト'!$C$5:$C$104,A22,'架電リスト'!$J$5:$J$104,"")</f>
        <v/>
      </c>
      <c r="E22" s="14">
        <f>COUNTIFS('架電リスト'!$C$5:$C$104,$A22,'架電リスト'!$J$5:$J$104,"不在・折返し待ち")</f>
        <v/>
      </c>
      <c r="F22" s="14">
        <f>COUNTIFS('架電リスト'!$C$5:$C$104,$A22,'架電リスト'!$J$5:$J$104,"担当者不在")</f>
        <v/>
      </c>
      <c r="G22" s="14">
        <f>COUNTIFS('架電リスト'!$C$5:$C$104,$A22,'架電リスト'!$J$5:$J$104,"資料送付")</f>
        <v/>
      </c>
      <c r="H22" s="14">
        <f>COUNTIFS('架電リスト'!$C$5:$C$104,$A22,'架電リスト'!$J$5:$J$104,"アポ獲得")</f>
        <v/>
      </c>
      <c r="I22" s="14">
        <f>COUNTIFS('架電リスト'!$C$5:$C$104,$A22,'架電リスト'!$J$5:$J$104,"検討中")</f>
        <v/>
      </c>
      <c r="J22" s="14">
        <f>COUNTIFS('架電リスト'!$C$5:$C$104,$A22,'架電リスト'!$J$5:$J$104,"NG")</f>
        <v/>
      </c>
      <c r="K22" s="14">
        <f>COUNTIFS('架電リスト'!$C$5:$C$104,$A22,'架電リスト'!$J$5:$J$104,"番号不明")</f>
        <v/>
      </c>
    </row>
    <row r="23">
      <c r="A23" s="14" t="inlineStr">
        <is>
          <t>堺市中区</t>
        </is>
      </c>
      <c r="B23" s="14">
        <f>COUNTIF('架電リスト'!$C$5:$C$104,A23)</f>
        <v/>
      </c>
      <c r="C23" s="14">
        <f>COUNTIFS('架電リスト'!$C$5:$C$104,A23,'架電リスト'!$E$5:$E$104,"&lt;&gt;")</f>
        <v/>
      </c>
      <c r="D23" s="14">
        <f>B23-COUNTIFS('架電リスト'!$C$5:$C$104,A23,'架電リスト'!$J$5:$J$104,"未架電")-COUNTIFS('架電リスト'!$C$5:$C$104,A23,'架電リスト'!$J$5:$J$104,"")</f>
        <v/>
      </c>
      <c r="E23" s="14">
        <f>COUNTIFS('架電リスト'!$C$5:$C$104,$A23,'架電リスト'!$J$5:$J$104,"不在・折返し待ち")</f>
        <v/>
      </c>
      <c r="F23" s="14">
        <f>COUNTIFS('架電リスト'!$C$5:$C$104,$A23,'架電リスト'!$J$5:$J$104,"担当者不在")</f>
        <v/>
      </c>
      <c r="G23" s="14">
        <f>COUNTIFS('架電リスト'!$C$5:$C$104,$A23,'架電リスト'!$J$5:$J$104,"資料送付")</f>
        <v/>
      </c>
      <c r="H23" s="14">
        <f>COUNTIFS('架電リスト'!$C$5:$C$104,$A23,'架電リスト'!$J$5:$J$104,"アポ獲得")</f>
        <v/>
      </c>
      <c r="I23" s="14">
        <f>COUNTIFS('架電リスト'!$C$5:$C$104,$A23,'架電リスト'!$J$5:$J$104,"検討中")</f>
        <v/>
      </c>
      <c r="J23" s="14">
        <f>COUNTIFS('架電リスト'!$C$5:$C$104,$A23,'架電リスト'!$J$5:$J$104,"NG")</f>
        <v/>
      </c>
      <c r="K23" s="14">
        <f>COUNTIFS('架電リスト'!$C$5:$C$104,$A23,'架電リスト'!$J$5:$J$104,"番号不明")</f>
        <v/>
      </c>
    </row>
    <row r="24">
      <c r="A24" s="14" t="inlineStr">
        <is>
          <t>柏原市</t>
        </is>
      </c>
      <c r="B24" s="14">
        <f>COUNTIF('架電リスト'!$C$5:$C$104,A24)</f>
        <v/>
      </c>
      <c r="C24" s="14">
        <f>COUNTIFS('架電リスト'!$C$5:$C$104,A24,'架電リスト'!$E$5:$E$104,"&lt;&gt;")</f>
        <v/>
      </c>
      <c r="D24" s="14">
        <f>B24-COUNTIFS('架電リスト'!$C$5:$C$104,A24,'架電リスト'!$J$5:$J$104,"未架電")-COUNTIFS('架電リスト'!$C$5:$C$104,A24,'架電リスト'!$J$5:$J$104,"")</f>
        <v/>
      </c>
      <c r="E24" s="14">
        <f>COUNTIFS('架電リスト'!$C$5:$C$104,$A24,'架電リスト'!$J$5:$J$104,"不在・折返し待ち")</f>
        <v/>
      </c>
      <c r="F24" s="14">
        <f>COUNTIFS('架電リスト'!$C$5:$C$104,$A24,'架電リスト'!$J$5:$J$104,"担当者不在")</f>
        <v/>
      </c>
      <c r="G24" s="14">
        <f>COUNTIFS('架電リスト'!$C$5:$C$104,$A24,'架電リスト'!$J$5:$J$104,"資料送付")</f>
        <v/>
      </c>
      <c r="H24" s="14">
        <f>COUNTIFS('架電リスト'!$C$5:$C$104,$A24,'架電リスト'!$J$5:$J$104,"アポ獲得")</f>
        <v/>
      </c>
      <c r="I24" s="14">
        <f>COUNTIFS('架電リスト'!$C$5:$C$104,$A24,'架電リスト'!$J$5:$J$104,"検討中")</f>
        <v/>
      </c>
      <c r="J24" s="14">
        <f>COUNTIFS('架電リスト'!$C$5:$C$104,$A24,'架電リスト'!$J$5:$J$104,"NG")</f>
        <v/>
      </c>
      <c r="K24" s="14">
        <f>COUNTIFS('架電リスト'!$C$5:$C$104,$A24,'架電リスト'!$J$5:$J$104,"番号不明")</f>
        <v/>
      </c>
    </row>
    <row r="25">
      <c r="A25" s="14" t="inlineStr">
        <is>
          <t>寝屋川市</t>
        </is>
      </c>
      <c r="B25" s="14">
        <f>COUNTIF('架電リスト'!$C$5:$C$104,A25)</f>
        <v/>
      </c>
      <c r="C25" s="14">
        <f>COUNTIFS('架電リスト'!$C$5:$C$104,A25,'架電リスト'!$E$5:$E$104,"&lt;&gt;")</f>
        <v/>
      </c>
      <c r="D25" s="14">
        <f>B25-COUNTIFS('架電リスト'!$C$5:$C$104,A25,'架電リスト'!$J$5:$J$104,"未架電")-COUNTIFS('架電リスト'!$C$5:$C$104,A25,'架電リスト'!$J$5:$J$104,"")</f>
        <v/>
      </c>
      <c r="E25" s="14">
        <f>COUNTIFS('架電リスト'!$C$5:$C$104,$A25,'架電リスト'!$J$5:$J$104,"不在・折返し待ち")</f>
        <v/>
      </c>
      <c r="F25" s="14">
        <f>COUNTIFS('架電リスト'!$C$5:$C$104,$A25,'架電リスト'!$J$5:$J$104,"担当者不在")</f>
        <v/>
      </c>
      <c r="G25" s="14">
        <f>COUNTIFS('架電リスト'!$C$5:$C$104,$A25,'架電リスト'!$J$5:$J$104,"資料送付")</f>
        <v/>
      </c>
      <c r="H25" s="14">
        <f>COUNTIFS('架電リスト'!$C$5:$C$104,$A25,'架電リスト'!$J$5:$J$104,"アポ獲得")</f>
        <v/>
      </c>
      <c r="I25" s="14">
        <f>COUNTIFS('架電リスト'!$C$5:$C$104,$A25,'架電リスト'!$J$5:$J$104,"検討中")</f>
        <v/>
      </c>
      <c r="J25" s="14">
        <f>COUNTIFS('架電リスト'!$C$5:$C$104,$A25,'架電リスト'!$J$5:$J$104,"NG")</f>
        <v/>
      </c>
      <c r="K25" s="14">
        <f>COUNTIFS('架電リスト'!$C$5:$C$104,$A25,'架電リスト'!$J$5:$J$104,"番号不明")</f>
        <v/>
      </c>
    </row>
    <row r="26">
      <c r="A26" s="14" t="inlineStr">
        <is>
          <t>高石市</t>
        </is>
      </c>
      <c r="B26" s="14">
        <f>COUNTIF('架電リスト'!$C$5:$C$104,A26)</f>
        <v/>
      </c>
      <c r="C26" s="14">
        <f>COUNTIFS('架電リスト'!$C$5:$C$104,A26,'架電リスト'!$E$5:$E$104,"&lt;&gt;")</f>
        <v/>
      </c>
      <c r="D26" s="14">
        <f>B26-COUNTIFS('架電リスト'!$C$5:$C$104,A26,'架電リスト'!$J$5:$J$104,"未架電")-COUNTIFS('架電リスト'!$C$5:$C$104,A26,'架電リスト'!$J$5:$J$104,"")</f>
        <v/>
      </c>
      <c r="E26" s="14">
        <f>COUNTIFS('架電リスト'!$C$5:$C$104,$A26,'架電リスト'!$J$5:$J$104,"不在・折返し待ち")</f>
        <v/>
      </c>
      <c r="F26" s="14">
        <f>COUNTIFS('架電リスト'!$C$5:$C$104,$A26,'架電リスト'!$J$5:$J$104,"担当者不在")</f>
        <v/>
      </c>
      <c r="G26" s="14">
        <f>COUNTIFS('架電リスト'!$C$5:$C$104,$A26,'架電リスト'!$J$5:$J$104,"資料送付")</f>
        <v/>
      </c>
      <c r="H26" s="14">
        <f>COUNTIFS('架電リスト'!$C$5:$C$104,$A26,'架電リスト'!$J$5:$J$104,"アポ獲得")</f>
        <v/>
      </c>
      <c r="I26" s="14">
        <f>COUNTIFS('架電リスト'!$C$5:$C$104,$A26,'架電リスト'!$J$5:$J$104,"検討中")</f>
        <v/>
      </c>
      <c r="J26" s="14">
        <f>COUNTIFS('架電リスト'!$C$5:$C$104,$A26,'架電リスト'!$J$5:$J$104,"NG")</f>
        <v/>
      </c>
      <c r="K26" s="14">
        <f>COUNTIFS('架電リスト'!$C$5:$C$104,$A26,'架電リスト'!$J$5:$J$104,"番号不明")</f>
        <v/>
      </c>
    </row>
    <row r="27">
      <c r="A27" s="14" t="inlineStr">
        <is>
          <t>堺市南区</t>
        </is>
      </c>
      <c r="B27" s="14">
        <f>COUNTIF('架電リスト'!$C$5:$C$104,A27)</f>
        <v/>
      </c>
      <c r="C27" s="14">
        <f>COUNTIFS('架電リスト'!$C$5:$C$104,A27,'架電リスト'!$E$5:$E$104,"&lt;&gt;")</f>
        <v/>
      </c>
      <c r="D27" s="14">
        <f>B27-COUNTIFS('架電リスト'!$C$5:$C$104,A27,'架電リスト'!$J$5:$J$104,"未架電")-COUNTIFS('架電リスト'!$C$5:$C$104,A27,'架電リスト'!$J$5:$J$104,"")</f>
        <v/>
      </c>
      <c r="E27" s="14">
        <f>COUNTIFS('架電リスト'!$C$5:$C$104,$A27,'架電リスト'!$J$5:$J$104,"不在・折返し待ち")</f>
        <v/>
      </c>
      <c r="F27" s="14">
        <f>COUNTIFS('架電リスト'!$C$5:$C$104,$A27,'架電リスト'!$J$5:$J$104,"担当者不在")</f>
        <v/>
      </c>
      <c r="G27" s="14">
        <f>COUNTIFS('架電リスト'!$C$5:$C$104,$A27,'架電リスト'!$J$5:$J$104,"資料送付")</f>
        <v/>
      </c>
      <c r="H27" s="14">
        <f>COUNTIFS('架電リスト'!$C$5:$C$104,$A27,'架電リスト'!$J$5:$J$104,"アポ獲得")</f>
        <v/>
      </c>
      <c r="I27" s="14">
        <f>COUNTIFS('架電リスト'!$C$5:$C$104,$A27,'架電リスト'!$J$5:$J$104,"検討中")</f>
        <v/>
      </c>
      <c r="J27" s="14">
        <f>COUNTIFS('架電リスト'!$C$5:$C$104,$A27,'架電リスト'!$J$5:$J$104,"NG")</f>
        <v/>
      </c>
      <c r="K27" s="14">
        <f>COUNTIFS('架電リスト'!$C$5:$C$104,$A27,'架電リスト'!$J$5:$J$104,"番号不明")</f>
        <v/>
      </c>
    </row>
    <row r="28">
      <c r="A28" s="14" t="inlineStr">
        <is>
          <t>富田林市</t>
        </is>
      </c>
      <c r="B28" s="14">
        <f>COUNTIF('架電リスト'!$C$5:$C$104,A28)</f>
        <v/>
      </c>
      <c r="C28" s="14">
        <f>COUNTIFS('架電リスト'!$C$5:$C$104,A28,'架電リスト'!$E$5:$E$104,"&lt;&gt;")</f>
        <v/>
      </c>
      <c r="D28" s="14">
        <f>B28-COUNTIFS('架電リスト'!$C$5:$C$104,A28,'架電リスト'!$J$5:$J$104,"未架電")-COUNTIFS('架電リスト'!$C$5:$C$104,A28,'架電リスト'!$J$5:$J$104,"")</f>
        <v/>
      </c>
      <c r="E28" s="14">
        <f>COUNTIFS('架電リスト'!$C$5:$C$104,$A28,'架電リスト'!$J$5:$J$104,"不在・折返し待ち")</f>
        <v/>
      </c>
      <c r="F28" s="14">
        <f>COUNTIFS('架電リスト'!$C$5:$C$104,$A28,'架電リスト'!$J$5:$J$104,"担当者不在")</f>
        <v/>
      </c>
      <c r="G28" s="14">
        <f>COUNTIFS('架電リスト'!$C$5:$C$104,$A28,'架電リスト'!$J$5:$J$104,"資料送付")</f>
        <v/>
      </c>
      <c r="H28" s="14">
        <f>COUNTIFS('架電リスト'!$C$5:$C$104,$A28,'架電リスト'!$J$5:$J$104,"アポ獲得")</f>
        <v/>
      </c>
      <c r="I28" s="14">
        <f>COUNTIFS('架電リスト'!$C$5:$C$104,$A28,'架電リスト'!$J$5:$J$104,"検討中")</f>
        <v/>
      </c>
      <c r="J28" s="14">
        <f>COUNTIFS('架電リスト'!$C$5:$C$104,$A28,'架電リスト'!$J$5:$J$104,"NG")</f>
        <v/>
      </c>
      <c r="K28" s="14">
        <f>COUNTIFS('架電リスト'!$C$5:$C$104,$A28,'架電リスト'!$J$5:$J$104,"番号不明")</f>
        <v/>
      </c>
    </row>
    <row r="29">
      <c r="A29" s="14" t="inlineStr">
        <is>
          <t>太子町</t>
        </is>
      </c>
      <c r="B29" s="14">
        <f>COUNTIF('架電リスト'!$C$5:$C$104,A29)</f>
        <v/>
      </c>
      <c r="C29" s="14">
        <f>COUNTIFS('架電リスト'!$C$5:$C$104,A29,'架電リスト'!$E$5:$E$104,"&lt;&gt;")</f>
        <v/>
      </c>
      <c r="D29" s="14">
        <f>B29-COUNTIFS('架電リスト'!$C$5:$C$104,A29,'架電リスト'!$J$5:$J$104,"未架電")-COUNTIFS('架電リスト'!$C$5:$C$104,A29,'架電リスト'!$J$5:$J$104,"")</f>
        <v/>
      </c>
      <c r="E29" s="14">
        <f>COUNTIFS('架電リスト'!$C$5:$C$104,$A29,'架電リスト'!$J$5:$J$104,"不在・折返し待ち")</f>
        <v/>
      </c>
      <c r="F29" s="14">
        <f>COUNTIFS('架電リスト'!$C$5:$C$104,$A29,'架電リスト'!$J$5:$J$104,"担当者不在")</f>
        <v/>
      </c>
      <c r="G29" s="14">
        <f>COUNTIFS('架電リスト'!$C$5:$C$104,$A29,'架電リスト'!$J$5:$J$104,"資料送付")</f>
        <v/>
      </c>
      <c r="H29" s="14">
        <f>COUNTIFS('架電リスト'!$C$5:$C$104,$A29,'架電リスト'!$J$5:$J$104,"アポ獲得")</f>
        <v/>
      </c>
      <c r="I29" s="14">
        <f>COUNTIFS('架電リスト'!$C$5:$C$104,$A29,'架電リスト'!$J$5:$J$104,"検討中")</f>
        <v/>
      </c>
      <c r="J29" s="14">
        <f>COUNTIFS('架電リスト'!$C$5:$C$104,$A29,'架電リスト'!$J$5:$J$104,"NG")</f>
        <v/>
      </c>
      <c r="K29" s="14">
        <f>COUNTIFS('架電リスト'!$C$5:$C$104,$A29,'架電リスト'!$J$5:$J$104,"番号不明")</f>
        <v/>
      </c>
    </row>
    <row r="30">
      <c r="A30" s="14" t="inlineStr">
        <is>
          <t>大阪市淀川区</t>
        </is>
      </c>
      <c r="B30" s="14">
        <f>COUNTIF('架電リスト'!$C$5:$C$104,A30)</f>
        <v/>
      </c>
      <c r="C30" s="14">
        <f>COUNTIFS('架電リスト'!$C$5:$C$104,A30,'架電リスト'!$E$5:$E$104,"&lt;&gt;")</f>
        <v/>
      </c>
      <c r="D30" s="14">
        <f>B30-COUNTIFS('架電リスト'!$C$5:$C$104,A30,'架電リスト'!$J$5:$J$104,"未架電")-COUNTIFS('架電リスト'!$C$5:$C$104,A30,'架電リスト'!$J$5:$J$104,"")</f>
        <v/>
      </c>
      <c r="E30" s="14">
        <f>COUNTIFS('架電リスト'!$C$5:$C$104,$A30,'架電リスト'!$J$5:$J$104,"不在・折返し待ち")</f>
        <v/>
      </c>
      <c r="F30" s="14">
        <f>COUNTIFS('架電リスト'!$C$5:$C$104,$A30,'架電リスト'!$J$5:$J$104,"担当者不在")</f>
        <v/>
      </c>
      <c r="G30" s="14">
        <f>COUNTIFS('架電リスト'!$C$5:$C$104,$A30,'架電リスト'!$J$5:$J$104,"資料送付")</f>
        <v/>
      </c>
      <c r="H30" s="14">
        <f>COUNTIFS('架電リスト'!$C$5:$C$104,$A30,'架電リスト'!$J$5:$J$104,"アポ獲得")</f>
        <v/>
      </c>
      <c r="I30" s="14">
        <f>COUNTIFS('架電リスト'!$C$5:$C$104,$A30,'架電リスト'!$J$5:$J$104,"検討中")</f>
        <v/>
      </c>
      <c r="J30" s="14">
        <f>COUNTIFS('架電リスト'!$C$5:$C$104,$A30,'架電リスト'!$J$5:$J$104,"NG")</f>
        <v/>
      </c>
      <c r="K30" s="14">
        <f>COUNTIFS('架電リスト'!$C$5:$C$104,$A30,'架電リスト'!$J$5:$J$104,"番号不明")</f>
        <v/>
      </c>
    </row>
    <row r="31">
      <c r="A31" s="14" t="inlineStr">
        <is>
          <t>大阪市福島区</t>
        </is>
      </c>
      <c r="B31" s="14">
        <f>COUNTIF('架電リスト'!$C$5:$C$104,A31)</f>
        <v/>
      </c>
      <c r="C31" s="14">
        <f>COUNTIFS('架電リスト'!$C$5:$C$104,A31,'架電リスト'!$E$5:$E$104,"&lt;&gt;")</f>
        <v/>
      </c>
      <c r="D31" s="14">
        <f>B31-COUNTIFS('架電リスト'!$C$5:$C$104,A31,'架電リスト'!$J$5:$J$104,"未架電")-COUNTIFS('架電リスト'!$C$5:$C$104,A31,'架電リスト'!$J$5:$J$104,"")</f>
        <v/>
      </c>
      <c r="E31" s="14">
        <f>COUNTIFS('架電リスト'!$C$5:$C$104,$A31,'架電リスト'!$J$5:$J$104,"不在・折返し待ち")</f>
        <v/>
      </c>
      <c r="F31" s="14">
        <f>COUNTIFS('架電リスト'!$C$5:$C$104,$A31,'架電リスト'!$J$5:$J$104,"担当者不在")</f>
        <v/>
      </c>
      <c r="G31" s="14">
        <f>COUNTIFS('架電リスト'!$C$5:$C$104,$A31,'架電リスト'!$J$5:$J$104,"資料送付")</f>
        <v/>
      </c>
      <c r="H31" s="14">
        <f>COUNTIFS('架電リスト'!$C$5:$C$104,$A31,'架電リスト'!$J$5:$J$104,"アポ獲得")</f>
        <v/>
      </c>
      <c r="I31" s="14">
        <f>COUNTIFS('架電リスト'!$C$5:$C$104,$A31,'架電リスト'!$J$5:$J$104,"検討中")</f>
        <v/>
      </c>
      <c r="J31" s="14">
        <f>COUNTIFS('架電リスト'!$C$5:$C$104,$A31,'架電リスト'!$J$5:$J$104,"NG")</f>
        <v/>
      </c>
      <c r="K31" s="14">
        <f>COUNTIFS('架電リスト'!$C$5:$C$104,$A31,'架電リスト'!$J$5:$J$104,"番号不明")</f>
        <v/>
      </c>
    </row>
    <row r="32">
      <c r="A32" s="14" t="inlineStr">
        <is>
          <t>大阪市住之江区</t>
        </is>
      </c>
      <c r="B32" s="14">
        <f>COUNTIF('架電リスト'!$C$5:$C$104,A32)</f>
        <v/>
      </c>
      <c r="C32" s="14">
        <f>COUNTIFS('架電リスト'!$C$5:$C$104,A32,'架電リスト'!$E$5:$E$104,"&lt;&gt;")</f>
        <v/>
      </c>
      <c r="D32" s="14">
        <f>B32-COUNTIFS('架電リスト'!$C$5:$C$104,A32,'架電リスト'!$J$5:$J$104,"未架電")-COUNTIFS('架電リスト'!$C$5:$C$104,A32,'架電リスト'!$J$5:$J$104,"")</f>
        <v/>
      </c>
      <c r="E32" s="14">
        <f>COUNTIFS('架電リスト'!$C$5:$C$104,$A32,'架電リスト'!$J$5:$J$104,"不在・折返し待ち")</f>
        <v/>
      </c>
      <c r="F32" s="14">
        <f>COUNTIFS('架電リスト'!$C$5:$C$104,$A32,'架電リスト'!$J$5:$J$104,"担当者不在")</f>
        <v/>
      </c>
      <c r="G32" s="14">
        <f>COUNTIFS('架電リスト'!$C$5:$C$104,$A32,'架電リスト'!$J$5:$J$104,"資料送付")</f>
        <v/>
      </c>
      <c r="H32" s="14">
        <f>COUNTIFS('架電リスト'!$C$5:$C$104,$A32,'架電リスト'!$J$5:$J$104,"アポ獲得")</f>
        <v/>
      </c>
      <c r="I32" s="14">
        <f>COUNTIFS('架電リスト'!$C$5:$C$104,$A32,'架電リスト'!$J$5:$J$104,"検討中")</f>
        <v/>
      </c>
      <c r="J32" s="14">
        <f>COUNTIFS('架電リスト'!$C$5:$C$104,$A32,'架電リスト'!$J$5:$J$104,"NG")</f>
        <v/>
      </c>
      <c r="K32" s="14">
        <f>COUNTIFS('架電リスト'!$C$5:$C$104,$A32,'架電リスト'!$J$5:$J$104,"番号不明")</f>
        <v/>
      </c>
    </row>
    <row r="33">
      <c r="A33" s="14" t="inlineStr">
        <is>
          <t>島本町</t>
        </is>
      </c>
      <c r="B33" s="14">
        <f>COUNTIF('架電リスト'!$C$5:$C$104,A33)</f>
        <v/>
      </c>
      <c r="C33" s="14">
        <f>COUNTIFS('架電リスト'!$C$5:$C$104,A33,'架電リスト'!$E$5:$E$104,"&lt;&gt;")</f>
        <v/>
      </c>
      <c r="D33" s="14">
        <f>B33-COUNTIFS('架電リスト'!$C$5:$C$104,A33,'架電リスト'!$J$5:$J$104,"未架電")-COUNTIFS('架電リスト'!$C$5:$C$104,A33,'架電リスト'!$J$5:$J$104,"")</f>
        <v/>
      </c>
      <c r="E33" s="14">
        <f>COUNTIFS('架電リスト'!$C$5:$C$104,$A33,'架電リスト'!$J$5:$J$104,"不在・折返し待ち")</f>
        <v/>
      </c>
      <c r="F33" s="14">
        <f>COUNTIFS('架電リスト'!$C$5:$C$104,$A33,'架電リスト'!$J$5:$J$104,"担当者不在")</f>
        <v/>
      </c>
      <c r="G33" s="14">
        <f>COUNTIFS('架電リスト'!$C$5:$C$104,$A33,'架電リスト'!$J$5:$J$104,"資料送付")</f>
        <v/>
      </c>
      <c r="H33" s="14">
        <f>COUNTIFS('架電リスト'!$C$5:$C$104,$A33,'架電リスト'!$J$5:$J$104,"アポ獲得")</f>
        <v/>
      </c>
      <c r="I33" s="14">
        <f>COUNTIFS('架電リスト'!$C$5:$C$104,$A33,'架電リスト'!$J$5:$J$104,"検討中")</f>
        <v/>
      </c>
      <c r="J33" s="14">
        <f>COUNTIFS('架電リスト'!$C$5:$C$104,$A33,'架電リスト'!$J$5:$J$104,"NG")</f>
        <v/>
      </c>
      <c r="K33" s="14">
        <f>COUNTIFS('架電リスト'!$C$5:$C$104,$A33,'架電リスト'!$J$5:$J$104,"番号不明")</f>
        <v/>
      </c>
    </row>
    <row r="34">
      <c r="A34" s="14" t="inlineStr">
        <is>
          <t>熊取町</t>
        </is>
      </c>
      <c r="B34" s="14">
        <f>COUNTIF('架電リスト'!$C$5:$C$104,A34)</f>
        <v/>
      </c>
      <c r="C34" s="14">
        <f>COUNTIFS('架電リスト'!$C$5:$C$104,A34,'架電リスト'!$E$5:$E$104,"&lt;&gt;")</f>
        <v/>
      </c>
      <c r="D34" s="14">
        <f>B34-COUNTIFS('架電リスト'!$C$5:$C$104,A34,'架電リスト'!$J$5:$J$104,"未架電")-COUNTIFS('架電リスト'!$C$5:$C$104,A34,'架電リスト'!$J$5:$J$104,"")</f>
        <v/>
      </c>
      <c r="E34" s="14">
        <f>COUNTIFS('架電リスト'!$C$5:$C$104,$A34,'架電リスト'!$J$5:$J$104,"不在・折返し待ち")</f>
        <v/>
      </c>
      <c r="F34" s="14">
        <f>COUNTIFS('架電リスト'!$C$5:$C$104,$A34,'架電リスト'!$J$5:$J$104,"担当者不在")</f>
        <v/>
      </c>
      <c r="G34" s="14">
        <f>COUNTIFS('架電リスト'!$C$5:$C$104,$A34,'架電リスト'!$J$5:$J$104,"資料送付")</f>
        <v/>
      </c>
      <c r="H34" s="14">
        <f>COUNTIFS('架電リスト'!$C$5:$C$104,$A34,'架電リスト'!$J$5:$J$104,"アポ獲得")</f>
        <v/>
      </c>
      <c r="I34" s="14">
        <f>COUNTIFS('架電リスト'!$C$5:$C$104,$A34,'架電リスト'!$J$5:$J$104,"検討中")</f>
        <v/>
      </c>
      <c r="J34" s="14">
        <f>COUNTIFS('架電リスト'!$C$5:$C$104,$A34,'架電リスト'!$J$5:$J$104,"NG")</f>
        <v/>
      </c>
      <c r="K34" s="14">
        <f>COUNTIFS('架電リスト'!$C$5:$C$104,$A34,'架電リスト'!$J$5:$J$104,"番号不明")</f>
        <v/>
      </c>
    </row>
    <row r="35">
      <c r="A35" s="14" t="inlineStr">
        <is>
          <t>藤井寺市</t>
        </is>
      </c>
      <c r="B35" s="14">
        <f>COUNTIF('架電リスト'!$C$5:$C$104,A35)</f>
        <v/>
      </c>
      <c r="C35" s="14">
        <f>COUNTIFS('架電リスト'!$C$5:$C$104,A35,'架電リスト'!$E$5:$E$104,"&lt;&gt;")</f>
        <v/>
      </c>
      <c r="D35" s="14">
        <f>B35-COUNTIFS('架電リスト'!$C$5:$C$104,A35,'架電リスト'!$J$5:$J$104,"未架電")-COUNTIFS('架電リスト'!$C$5:$C$104,A35,'架電リスト'!$J$5:$J$104,"")</f>
        <v/>
      </c>
      <c r="E35" s="14">
        <f>COUNTIFS('架電リスト'!$C$5:$C$104,$A35,'架電リスト'!$J$5:$J$104,"不在・折返し待ち")</f>
        <v/>
      </c>
      <c r="F35" s="14">
        <f>COUNTIFS('架電リスト'!$C$5:$C$104,$A35,'架電リスト'!$J$5:$J$104,"担当者不在")</f>
        <v/>
      </c>
      <c r="G35" s="14">
        <f>COUNTIFS('架電リスト'!$C$5:$C$104,$A35,'架電リスト'!$J$5:$J$104,"資料送付")</f>
        <v/>
      </c>
      <c r="H35" s="14">
        <f>COUNTIFS('架電リスト'!$C$5:$C$104,$A35,'架電リスト'!$J$5:$J$104,"アポ獲得")</f>
        <v/>
      </c>
      <c r="I35" s="14">
        <f>COUNTIFS('架電リスト'!$C$5:$C$104,$A35,'架電リスト'!$J$5:$J$104,"検討中")</f>
        <v/>
      </c>
      <c r="J35" s="14">
        <f>COUNTIFS('架電リスト'!$C$5:$C$104,$A35,'架電リスト'!$J$5:$J$104,"NG")</f>
        <v/>
      </c>
      <c r="K35" s="14">
        <f>COUNTIFS('架電リスト'!$C$5:$C$104,$A35,'架電リスト'!$J$5:$J$104,"番号不明")</f>
        <v/>
      </c>
    </row>
    <row r="36">
      <c r="A36" s="14" t="inlineStr">
        <is>
          <t>交野市</t>
        </is>
      </c>
      <c r="B36" s="14">
        <f>COUNTIF('架電リスト'!$C$5:$C$104,A36)</f>
        <v/>
      </c>
      <c r="C36" s="14">
        <f>COUNTIFS('架電リスト'!$C$5:$C$104,A36,'架電リスト'!$E$5:$E$104,"&lt;&gt;")</f>
        <v/>
      </c>
      <c r="D36" s="14">
        <f>B36-COUNTIFS('架電リスト'!$C$5:$C$104,A36,'架電リスト'!$J$5:$J$104,"未架電")-COUNTIFS('架電リスト'!$C$5:$C$104,A36,'架電リスト'!$J$5:$J$104,"")</f>
        <v/>
      </c>
      <c r="E36" s="14">
        <f>COUNTIFS('架電リスト'!$C$5:$C$104,$A36,'架電リスト'!$J$5:$J$104,"不在・折返し待ち")</f>
        <v/>
      </c>
      <c r="F36" s="14">
        <f>COUNTIFS('架電リスト'!$C$5:$C$104,$A36,'架電リスト'!$J$5:$J$104,"担当者不在")</f>
        <v/>
      </c>
      <c r="G36" s="14">
        <f>COUNTIFS('架電リスト'!$C$5:$C$104,$A36,'架電リスト'!$J$5:$J$104,"資料送付")</f>
        <v/>
      </c>
      <c r="H36" s="14">
        <f>COUNTIFS('架電リスト'!$C$5:$C$104,$A36,'架電リスト'!$J$5:$J$104,"アポ獲得")</f>
        <v/>
      </c>
      <c r="I36" s="14">
        <f>COUNTIFS('架電リスト'!$C$5:$C$104,$A36,'架電リスト'!$J$5:$J$104,"検討中")</f>
        <v/>
      </c>
      <c r="J36" s="14">
        <f>COUNTIFS('架電リスト'!$C$5:$C$104,$A36,'架電リスト'!$J$5:$J$104,"NG")</f>
        <v/>
      </c>
      <c r="K36" s="14">
        <f>COUNTIFS('架電リスト'!$C$5:$C$104,$A36,'架電リスト'!$J$5:$J$104,"番号不明")</f>
        <v/>
      </c>
    </row>
    <row r="37">
      <c r="A37" s="14" t="inlineStr">
        <is>
          <t>岸和田市</t>
        </is>
      </c>
      <c r="B37" s="14">
        <f>COUNTIF('架電リスト'!$C$5:$C$104,A37)</f>
        <v/>
      </c>
      <c r="C37" s="14">
        <f>COUNTIFS('架電リスト'!$C$5:$C$104,A37,'架電リスト'!$E$5:$E$104,"&lt;&gt;")</f>
        <v/>
      </c>
      <c r="D37" s="14">
        <f>B37-COUNTIFS('架電リスト'!$C$5:$C$104,A37,'架電リスト'!$J$5:$J$104,"未架電")-COUNTIFS('架電リスト'!$C$5:$C$104,A37,'架電リスト'!$J$5:$J$104,"")</f>
        <v/>
      </c>
      <c r="E37" s="14">
        <f>COUNTIFS('架電リスト'!$C$5:$C$104,$A37,'架電リスト'!$J$5:$J$104,"不在・折返し待ち")</f>
        <v/>
      </c>
      <c r="F37" s="14">
        <f>COUNTIFS('架電リスト'!$C$5:$C$104,$A37,'架電リスト'!$J$5:$J$104,"担当者不在")</f>
        <v/>
      </c>
      <c r="G37" s="14">
        <f>COUNTIFS('架電リスト'!$C$5:$C$104,$A37,'架電リスト'!$J$5:$J$104,"資料送付")</f>
        <v/>
      </c>
      <c r="H37" s="14">
        <f>COUNTIFS('架電リスト'!$C$5:$C$104,$A37,'架電リスト'!$J$5:$J$104,"アポ獲得")</f>
        <v/>
      </c>
      <c r="I37" s="14">
        <f>COUNTIFS('架電リスト'!$C$5:$C$104,$A37,'架電リスト'!$J$5:$J$104,"検討中")</f>
        <v/>
      </c>
      <c r="J37" s="14">
        <f>COUNTIFS('架電リスト'!$C$5:$C$104,$A37,'架電リスト'!$J$5:$J$104,"NG")</f>
        <v/>
      </c>
      <c r="K37" s="14">
        <f>COUNTIFS('架電リスト'!$C$5:$C$104,$A37,'架電リスト'!$J$5:$J$104,"番号不明")</f>
        <v/>
      </c>
    </row>
    <row r="38">
      <c r="A38" s="14" t="inlineStr">
        <is>
          <t>大阪市北区</t>
        </is>
      </c>
      <c r="B38" s="14">
        <f>COUNTIF('架電リスト'!$C$5:$C$104,A38)</f>
        <v/>
      </c>
      <c r="C38" s="14">
        <f>COUNTIFS('架電リスト'!$C$5:$C$104,A38,'架電リスト'!$E$5:$E$104,"&lt;&gt;")</f>
        <v/>
      </c>
      <c r="D38" s="14">
        <f>B38-COUNTIFS('架電リスト'!$C$5:$C$104,A38,'架電リスト'!$J$5:$J$104,"未架電")-COUNTIFS('架電リスト'!$C$5:$C$104,A38,'架電リスト'!$J$5:$J$104,"")</f>
        <v/>
      </c>
      <c r="E38" s="14">
        <f>COUNTIFS('架電リスト'!$C$5:$C$104,$A38,'架電リスト'!$J$5:$J$104,"不在・折返し待ち")</f>
        <v/>
      </c>
      <c r="F38" s="14">
        <f>COUNTIFS('架電リスト'!$C$5:$C$104,$A38,'架電リスト'!$J$5:$J$104,"担当者不在")</f>
        <v/>
      </c>
      <c r="G38" s="14">
        <f>COUNTIFS('架電リスト'!$C$5:$C$104,$A38,'架電リスト'!$J$5:$J$104,"資料送付")</f>
        <v/>
      </c>
      <c r="H38" s="14">
        <f>COUNTIFS('架電リスト'!$C$5:$C$104,$A38,'架電リスト'!$J$5:$J$104,"アポ獲得")</f>
        <v/>
      </c>
      <c r="I38" s="14">
        <f>COUNTIFS('架電リスト'!$C$5:$C$104,$A38,'架電リスト'!$J$5:$J$104,"検討中")</f>
        <v/>
      </c>
      <c r="J38" s="14">
        <f>COUNTIFS('架電リスト'!$C$5:$C$104,$A38,'架電リスト'!$J$5:$J$104,"NG")</f>
        <v/>
      </c>
      <c r="K38" s="14">
        <f>COUNTIFS('架電リスト'!$C$5:$C$104,$A38,'架電リスト'!$J$5:$J$104,"番号不明")</f>
        <v/>
      </c>
    </row>
    <row r="39">
      <c r="A39" s="14" t="inlineStr">
        <is>
          <t>大阪市西淀川区</t>
        </is>
      </c>
      <c r="B39" s="14">
        <f>COUNTIF('架電リスト'!$C$5:$C$104,A39)</f>
        <v/>
      </c>
      <c r="C39" s="14">
        <f>COUNTIFS('架電リスト'!$C$5:$C$104,A39,'架電リスト'!$E$5:$E$104,"&lt;&gt;")</f>
        <v/>
      </c>
      <c r="D39" s="14">
        <f>B39-COUNTIFS('架電リスト'!$C$5:$C$104,A39,'架電リスト'!$J$5:$J$104,"未架電")-COUNTIFS('架電リスト'!$C$5:$C$104,A39,'架電リスト'!$J$5:$J$104,"")</f>
        <v/>
      </c>
      <c r="E39" s="14">
        <f>COUNTIFS('架電リスト'!$C$5:$C$104,$A39,'架電リスト'!$J$5:$J$104,"不在・折返し待ち")</f>
        <v/>
      </c>
      <c r="F39" s="14">
        <f>COUNTIFS('架電リスト'!$C$5:$C$104,$A39,'架電リスト'!$J$5:$J$104,"担当者不在")</f>
        <v/>
      </c>
      <c r="G39" s="14">
        <f>COUNTIFS('架電リスト'!$C$5:$C$104,$A39,'架電リスト'!$J$5:$J$104,"資料送付")</f>
        <v/>
      </c>
      <c r="H39" s="14">
        <f>COUNTIFS('架電リスト'!$C$5:$C$104,$A39,'架電リスト'!$J$5:$J$104,"アポ獲得")</f>
        <v/>
      </c>
      <c r="I39" s="14">
        <f>COUNTIFS('架電リスト'!$C$5:$C$104,$A39,'架電リスト'!$J$5:$J$104,"検討中")</f>
        <v/>
      </c>
      <c r="J39" s="14">
        <f>COUNTIFS('架電リスト'!$C$5:$C$104,$A39,'架電リスト'!$J$5:$J$104,"NG")</f>
        <v/>
      </c>
      <c r="K39" s="14">
        <f>COUNTIFS('架電リスト'!$C$5:$C$104,$A39,'架電リスト'!$J$5:$J$104,"番号不明")</f>
        <v/>
      </c>
    </row>
    <row r="40">
      <c r="A40" s="14" t="inlineStr">
        <is>
          <t>八尾市</t>
        </is>
      </c>
      <c r="B40" s="14">
        <f>COUNTIF('架電リスト'!$C$5:$C$104,A40)</f>
        <v/>
      </c>
      <c r="C40" s="14">
        <f>COUNTIFS('架電リスト'!$C$5:$C$104,A40,'架電リスト'!$E$5:$E$104,"&lt;&gt;")</f>
        <v/>
      </c>
      <c r="D40" s="14">
        <f>B40-COUNTIFS('架電リスト'!$C$5:$C$104,A40,'架電リスト'!$J$5:$J$104,"未架電")-COUNTIFS('架電リスト'!$C$5:$C$104,A40,'架電リスト'!$J$5:$J$104,"")</f>
        <v/>
      </c>
      <c r="E40" s="14">
        <f>COUNTIFS('架電リスト'!$C$5:$C$104,$A40,'架電リスト'!$J$5:$J$104,"不在・折返し待ち")</f>
        <v/>
      </c>
      <c r="F40" s="14">
        <f>COUNTIFS('架電リスト'!$C$5:$C$104,$A40,'架電リスト'!$J$5:$J$104,"担当者不在")</f>
        <v/>
      </c>
      <c r="G40" s="14">
        <f>COUNTIFS('架電リスト'!$C$5:$C$104,$A40,'架電リスト'!$J$5:$J$104,"資料送付")</f>
        <v/>
      </c>
      <c r="H40" s="14">
        <f>COUNTIFS('架電リスト'!$C$5:$C$104,$A40,'架電リスト'!$J$5:$J$104,"アポ獲得")</f>
        <v/>
      </c>
      <c r="I40" s="14">
        <f>COUNTIFS('架電リスト'!$C$5:$C$104,$A40,'架電リスト'!$J$5:$J$104,"検討中")</f>
        <v/>
      </c>
      <c r="J40" s="14">
        <f>COUNTIFS('架電リスト'!$C$5:$C$104,$A40,'架電リスト'!$J$5:$J$104,"NG")</f>
        <v/>
      </c>
      <c r="K40" s="14">
        <f>COUNTIFS('架電リスト'!$C$5:$C$104,$A40,'架電リスト'!$J$5:$J$104,"番号不明")</f>
        <v/>
      </c>
    </row>
    <row r="41">
      <c r="A41" s="14" t="inlineStr">
        <is>
          <t>貝塚市</t>
        </is>
      </c>
      <c r="B41" s="14">
        <f>COUNTIF('架電リスト'!$C$5:$C$104,A41)</f>
        <v/>
      </c>
      <c r="C41" s="14">
        <f>COUNTIFS('架電リスト'!$C$5:$C$104,A41,'架電リスト'!$E$5:$E$104,"&lt;&gt;")</f>
        <v/>
      </c>
      <c r="D41" s="14">
        <f>B41-COUNTIFS('架電リスト'!$C$5:$C$104,A41,'架電リスト'!$J$5:$J$104,"未架電")-COUNTIFS('架電リスト'!$C$5:$C$104,A41,'架電リスト'!$J$5:$J$104,"")</f>
        <v/>
      </c>
      <c r="E41" s="14">
        <f>COUNTIFS('架電リスト'!$C$5:$C$104,$A41,'架電リスト'!$J$5:$J$104,"不在・折返し待ち")</f>
        <v/>
      </c>
      <c r="F41" s="14">
        <f>COUNTIFS('架電リスト'!$C$5:$C$104,$A41,'架電リスト'!$J$5:$J$104,"担当者不在")</f>
        <v/>
      </c>
      <c r="G41" s="14">
        <f>COUNTIFS('架電リスト'!$C$5:$C$104,$A41,'架電リスト'!$J$5:$J$104,"資料送付")</f>
        <v/>
      </c>
      <c r="H41" s="14">
        <f>COUNTIFS('架電リスト'!$C$5:$C$104,$A41,'架電リスト'!$J$5:$J$104,"アポ獲得")</f>
        <v/>
      </c>
      <c r="I41" s="14">
        <f>COUNTIFS('架電リスト'!$C$5:$C$104,$A41,'架電リスト'!$J$5:$J$104,"検討中")</f>
        <v/>
      </c>
      <c r="J41" s="14">
        <f>COUNTIFS('架電リスト'!$C$5:$C$104,$A41,'架電リスト'!$J$5:$J$104,"NG")</f>
        <v/>
      </c>
      <c r="K41" s="14">
        <f>COUNTIFS('架電リスト'!$C$5:$C$104,$A41,'架電リスト'!$J$5:$J$104,"番号不明")</f>
        <v/>
      </c>
    </row>
    <row r="42">
      <c r="A42" s="14" t="inlineStr">
        <is>
          <t>大阪市東住吉区</t>
        </is>
      </c>
      <c r="B42" s="14">
        <f>COUNTIF('架電リスト'!$C$5:$C$104,A42)</f>
        <v/>
      </c>
      <c r="C42" s="14">
        <f>COUNTIFS('架電リスト'!$C$5:$C$104,A42,'架電リスト'!$E$5:$E$104,"&lt;&gt;")</f>
        <v/>
      </c>
      <c r="D42" s="14">
        <f>B42-COUNTIFS('架電リスト'!$C$5:$C$104,A42,'架電リスト'!$J$5:$J$104,"未架電")-COUNTIFS('架電リスト'!$C$5:$C$104,A42,'架電リスト'!$J$5:$J$104,"")</f>
        <v/>
      </c>
      <c r="E42" s="14">
        <f>COUNTIFS('架電リスト'!$C$5:$C$104,$A42,'架電リスト'!$J$5:$J$104,"不在・折返し待ち")</f>
        <v/>
      </c>
      <c r="F42" s="14">
        <f>COUNTIFS('架電リスト'!$C$5:$C$104,$A42,'架電リスト'!$J$5:$J$104,"担当者不在")</f>
        <v/>
      </c>
      <c r="G42" s="14">
        <f>COUNTIFS('架電リスト'!$C$5:$C$104,$A42,'架電リスト'!$J$5:$J$104,"資料送付")</f>
        <v/>
      </c>
      <c r="H42" s="14">
        <f>COUNTIFS('架電リスト'!$C$5:$C$104,$A42,'架電リスト'!$J$5:$J$104,"アポ獲得")</f>
        <v/>
      </c>
      <c r="I42" s="14">
        <f>COUNTIFS('架電リスト'!$C$5:$C$104,$A42,'架電リスト'!$J$5:$J$104,"検討中")</f>
        <v/>
      </c>
      <c r="J42" s="14">
        <f>COUNTIFS('架電リスト'!$C$5:$C$104,$A42,'架電リスト'!$J$5:$J$104,"NG")</f>
        <v/>
      </c>
      <c r="K42" s="14">
        <f>COUNTIFS('架電リスト'!$C$5:$C$104,$A42,'架電リスト'!$J$5:$J$104,"番号不明")</f>
        <v/>
      </c>
    </row>
    <row r="43">
      <c r="A43" s="14" t="inlineStr">
        <is>
          <t>大阪市此花区</t>
        </is>
      </c>
      <c r="B43" s="14">
        <f>COUNTIF('架電リスト'!$C$5:$C$104,A43)</f>
        <v/>
      </c>
      <c r="C43" s="14">
        <f>COUNTIFS('架電リスト'!$C$5:$C$104,A43,'架電リスト'!$E$5:$E$104,"&lt;&gt;")</f>
        <v/>
      </c>
      <c r="D43" s="14">
        <f>B43-COUNTIFS('架電リスト'!$C$5:$C$104,A43,'架電リスト'!$J$5:$J$104,"未架電")-COUNTIFS('架電リスト'!$C$5:$C$104,A43,'架電リスト'!$J$5:$J$104,"")</f>
        <v/>
      </c>
      <c r="E43" s="14">
        <f>COUNTIFS('架電リスト'!$C$5:$C$104,$A43,'架電リスト'!$J$5:$J$104,"不在・折返し待ち")</f>
        <v/>
      </c>
      <c r="F43" s="14">
        <f>COUNTIFS('架電リスト'!$C$5:$C$104,$A43,'架電リスト'!$J$5:$J$104,"担当者不在")</f>
        <v/>
      </c>
      <c r="G43" s="14">
        <f>COUNTIFS('架電リスト'!$C$5:$C$104,$A43,'架電リスト'!$J$5:$J$104,"資料送付")</f>
        <v/>
      </c>
      <c r="H43" s="14">
        <f>COUNTIFS('架電リスト'!$C$5:$C$104,$A43,'架電リスト'!$J$5:$J$104,"アポ獲得")</f>
        <v/>
      </c>
      <c r="I43" s="14">
        <f>COUNTIFS('架電リスト'!$C$5:$C$104,$A43,'架電リスト'!$J$5:$J$104,"検討中")</f>
        <v/>
      </c>
      <c r="J43" s="14">
        <f>COUNTIFS('架電リスト'!$C$5:$C$104,$A43,'架電リスト'!$J$5:$J$104,"NG")</f>
        <v/>
      </c>
      <c r="K43" s="14">
        <f>COUNTIFS('架電リスト'!$C$5:$C$104,$A43,'架電リスト'!$J$5:$J$104,"番号不明")</f>
        <v/>
      </c>
    </row>
    <row r="44">
      <c r="A44" s="14" t="inlineStr">
        <is>
          <t>大阪市旭区</t>
        </is>
      </c>
      <c r="B44" s="14">
        <f>COUNTIF('架電リスト'!$C$5:$C$104,A44)</f>
        <v/>
      </c>
      <c r="C44" s="14">
        <f>COUNTIFS('架電リスト'!$C$5:$C$104,A44,'架電リスト'!$E$5:$E$104,"&lt;&gt;")</f>
        <v/>
      </c>
      <c r="D44" s="14">
        <f>B44-COUNTIFS('架電リスト'!$C$5:$C$104,A44,'架電リスト'!$J$5:$J$104,"未架電")-COUNTIFS('架電リスト'!$C$5:$C$104,A44,'架電リスト'!$J$5:$J$104,"")</f>
        <v/>
      </c>
      <c r="E44" s="14">
        <f>COUNTIFS('架電リスト'!$C$5:$C$104,$A44,'架電リスト'!$J$5:$J$104,"不在・折返し待ち")</f>
        <v/>
      </c>
      <c r="F44" s="14">
        <f>COUNTIFS('架電リスト'!$C$5:$C$104,$A44,'架電リスト'!$J$5:$J$104,"担当者不在")</f>
        <v/>
      </c>
      <c r="G44" s="14">
        <f>COUNTIFS('架電リスト'!$C$5:$C$104,$A44,'架電リスト'!$J$5:$J$104,"資料送付")</f>
        <v/>
      </c>
      <c r="H44" s="14">
        <f>COUNTIFS('架電リスト'!$C$5:$C$104,$A44,'架電リスト'!$J$5:$J$104,"アポ獲得")</f>
        <v/>
      </c>
      <c r="I44" s="14">
        <f>COUNTIFS('架電リスト'!$C$5:$C$104,$A44,'架電リスト'!$J$5:$J$104,"検討中")</f>
        <v/>
      </c>
      <c r="J44" s="14">
        <f>COUNTIFS('架電リスト'!$C$5:$C$104,$A44,'架電リスト'!$J$5:$J$104,"NG")</f>
        <v/>
      </c>
      <c r="K44" s="14">
        <f>COUNTIFS('架電リスト'!$C$5:$C$104,$A44,'架電リスト'!$J$5:$J$104,"番号不明")</f>
        <v/>
      </c>
    </row>
    <row r="45">
      <c r="A45" s="14" t="inlineStr">
        <is>
          <t>池田市</t>
        </is>
      </c>
      <c r="B45" s="14">
        <f>COUNTIF('架電リスト'!$C$5:$C$104,A45)</f>
        <v/>
      </c>
      <c r="C45" s="14">
        <f>COUNTIFS('架電リスト'!$C$5:$C$104,A45,'架電リスト'!$E$5:$E$104,"&lt;&gt;")</f>
        <v/>
      </c>
      <c r="D45" s="14">
        <f>B45-COUNTIFS('架電リスト'!$C$5:$C$104,A45,'架電リスト'!$J$5:$J$104,"未架電")-COUNTIFS('架電リスト'!$C$5:$C$104,A45,'架電リスト'!$J$5:$J$104,"")</f>
        <v/>
      </c>
      <c r="E45" s="14">
        <f>COUNTIFS('架電リスト'!$C$5:$C$104,$A45,'架電リスト'!$J$5:$J$104,"不在・折返し待ち")</f>
        <v/>
      </c>
      <c r="F45" s="14">
        <f>COUNTIFS('架電リスト'!$C$5:$C$104,$A45,'架電リスト'!$J$5:$J$104,"担当者不在")</f>
        <v/>
      </c>
      <c r="G45" s="14">
        <f>COUNTIFS('架電リスト'!$C$5:$C$104,$A45,'架電リスト'!$J$5:$J$104,"資料送付")</f>
        <v/>
      </c>
      <c r="H45" s="14">
        <f>COUNTIFS('架電リスト'!$C$5:$C$104,$A45,'架電リスト'!$J$5:$J$104,"アポ獲得")</f>
        <v/>
      </c>
      <c r="I45" s="14">
        <f>COUNTIFS('架電リスト'!$C$5:$C$104,$A45,'架電リスト'!$J$5:$J$104,"検討中")</f>
        <v/>
      </c>
      <c r="J45" s="14">
        <f>COUNTIFS('架電リスト'!$C$5:$C$104,$A45,'架電リスト'!$J$5:$J$104,"NG")</f>
        <v/>
      </c>
      <c r="K45" s="14">
        <f>COUNTIFS('架電リスト'!$C$5:$C$104,$A45,'架電リスト'!$J$5:$J$104,"番号不明")</f>
        <v/>
      </c>
    </row>
    <row r="46">
      <c r="A46" s="14" t="inlineStr">
        <is>
          <t>大阪市平野区</t>
        </is>
      </c>
      <c r="B46" s="14">
        <f>COUNTIF('架電リスト'!$C$5:$C$104,A46)</f>
        <v/>
      </c>
      <c r="C46" s="14">
        <f>COUNTIFS('架電リスト'!$C$5:$C$104,A46,'架電リスト'!$E$5:$E$104,"&lt;&gt;")</f>
        <v/>
      </c>
      <c r="D46" s="14">
        <f>B46-COUNTIFS('架電リスト'!$C$5:$C$104,A46,'架電リスト'!$J$5:$J$104,"未架電")-COUNTIFS('架電リスト'!$C$5:$C$104,A46,'架電リスト'!$J$5:$J$104,"")</f>
        <v/>
      </c>
      <c r="E46" s="14">
        <f>COUNTIFS('架電リスト'!$C$5:$C$104,$A46,'架電リスト'!$J$5:$J$104,"不在・折返し待ち")</f>
        <v/>
      </c>
      <c r="F46" s="14">
        <f>COUNTIFS('架電リスト'!$C$5:$C$104,$A46,'架電リスト'!$J$5:$J$104,"担当者不在")</f>
        <v/>
      </c>
      <c r="G46" s="14">
        <f>COUNTIFS('架電リスト'!$C$5:$C$104,$A46,'架電リスト'!$J$5:$J$104,"資料送付")</f>
        <v/>
      </c>
      <c r="H46" s="14">
        <f>COUNTIFS('架電リスト'!$C$5:$C$104,$A46,'架電リスト'!$J$5:$J$104,"アポ獲得")</f>
        <v/>
      </c>
      <c r="I46" s="14">
        <f>COUNTIFS('架電リスト'!$C$5:$C$104,$A46,'架電リスト'!$J$5:$J$104,"検討中")</f>
        <v/>
      </c>
      <c r="J46" s="14">
        <f>COUNTIFS('架電リスト'!$C$5:$C$104,$A46,'架電リスト'!$J$5:$J$104,"NG")</f>
        <v/>
      </c>
      <c r="K46" s="14">
        <f>COUNTIFS('架電リスト'!$C$5:$C$104,$A46,'架電リスト'!$J$5:$J$104,"番号不明")</f>
        <v/>
      </c>
    </row>
    <row r="47">
      <c r="A47" s="14" t="inlineStr">
        <is>
          <t>松原市</t>
        </is>
      </c>
      <c r="B47" s="14">
        <f>COUNTIF('架電リスト'!$C$5:$C$104,A47)</f>
        <v/>
      </c>
      <c r="C47" s="14">
        <f>COUNTIFS('架電リスト'!$C$5:$C$104,A47,'架電リスト'!$E$5:$E$104,"&lt;&gt;")</f>
        <v/>
      </c>
      <c r="D47" s="14">
        <f>B47-COUNTIFS('架電リスト'!$C$5:$C$104,A47,'架電リスト'!$J$5:$J$104,"未架電")-COUNTIFS('架電リスト'!$C$5:$C$104,A47,'架電リスト'!$J$5:$J$104,"")</f>
        <v/>
      </c>
      <c r="E47" s="14">
        <f>COUNTIFS('架電リスト'!$C$5:$C$104,$A47,'架電リスト'!$J$5:$J$104,"不在・折返し待ち")</f>
        <v/>
      </c>
      <c r="F47" s="14">
        <f>COUNTIFS('架電リスト'!$C$5:$C$104,$A47,'架電リスト'!$J$5:$J$104,"担当者不在")</f>
        <v/>
      </c>
      <c r="G47" s="14">
        <f>COUNTIFS('架電リスト'!$C$5:$C$104,$A47,'架電リスト'!$J$5:$J$104,"資料送付")</f>
        <v/>
      </c>
      <c r="H47" s="14">
        <f>COUNTIFS('架電リスト'!$C$5:$C$104,$A47,'架電リスト'!$J$5:$J$104,"アポ獲得")</f>
        <v/>
      </c>
      <c r="I47" s="14">
        <f>COUNTIFS('架電リスト'!$C$5:$C$104,$A47,'架電リスト'!$J$5:$J$104,"検討中")</f>
        <v/>
      </c>
      <c r="J47" s="14">
        <f>COUNTIFS('架電リスト'!$C$5:$C$104,$A47,'架電リスト'!$J$5:$J$104,"NG")</f>
        <v/>
      </c>
      <c r="K47" s="14">
        <f>COUNTIFS('架電リスト'!$C$5:$C$104,$A47,'架電リスト'!$J$5:$J$104,"番号不明")</f>
        <v/>
      </c>
    </row>
    <row r="48">
      <c r="A48" s="14" t="inlineStr">
        <is>
          <t>堺市西区</t>
        </is>
      </c>
      <c r="B48" s="14">
        <f>COUNTIF('架電リスト'!$C$5:$C$104,A48)</f>
        <v/>
      </c>
      <c r="C48" s="14">
        <f>COUNTIFS('架電リスト'!$C$5:$C$104,A48,'架電リスト'!$E$5:$E$104,"&lt;&gt;")</f>
        <v/>
      </c>
      <c r="D48" s="14">
        <f>B48-COUNTIFS('架電リスト'!$C$5:$C$104,A48,'架電リスト'!$J$5:$J$104,"未架電")-COUNTIFS('架電リスト'!$C$5:$C$104,A48,'架電リスト'!$J$5:$J$104,"")</f>
        <v/>
      </c>
      <c r="E48" s="14">
        <f>COUNTIFS('架電リスト'!$C$5:$C$104,$A48,'架電リスト'!$J$5:$J$104,"不在・折返し待ち")</f>
        <v/>
      </c>
      <c r="F48" s="14">
        <f>COUNTIFS('架電リスト'!$C$5:$C$104,$A48,'架電リスト'!$J$5:$J$104,"担当者不在")</f>
        <v/>
      </c>
      <c r="G48" s="14">
        <f>COUNTIFS('架電リスト'!$C$5:$C$104,$A48,'架電リスト'!$J$5:$J$104,"資料送付")</f>
        <v/>
      </c>
      <c r="H48" s="14">
        <f>COUNTIFS('架電リスト'!$C$5:$C$104,$A48,'架電リスト'!$J$5:$J$104,"アポ獲得")</f>
        <v/>
      </c>
      <c r="I48" s="14">
        <f>COUNTIFS('架電リスト'!$C$5:$C$104,$A48,'架電リスト'!$J$5:$J$104,"検討中")</f>
        <v/>
      </c>
      <c r="J48" s="14">
        <f>COUNTIFS('架電リスト'!$C$5:$C$104,$A48,'架電リスト'!$J$5:$J$104,"NG")</f>
        <v/>
      </c>
      <c r="K48" s="14">
        <f>COUNTIFS('架電リスト'!$C$5:$C$104,$A48,'架電リスト'!$J$5:$J$104,"番号不明")</f>
        <v/>
      </c>
    </row>
    <row r="49">
      <c r="A49" s="14" t="inlineStr">
        <is>
          <t>堺市東区</t>
        </is>
      </c>
      <c r="B49" s="14">
        <f>COUNTIF('架電リスト'!$C$5:$C$104,A49)</f>
        <v/>
      </c>
      <c r="C49" s="14">
        <f>COUNTIFS('架電リスト'!$C$5:$C$104,A49,'架電リスト'!$E$5:$E$104,"&lt;&gt;")</f>
        <v/>
      </c>
      <c r="D49" s="14">
        <f>B49-COUNTIFS('架電リスト'!$C$5:$C$104,A49,'架電リスト'!$J$5:$J$104,"未架電")-COUNTIFS('架電リスト'!$C$5:$C$104,A49,'架電リスト'!$J$5:$J$104,"")</f>
        <v/>
      </c>
      <c r="E49" s="14">
        <f>COUNTIFS('架電リスト'!$C$5:$C$104,$A49,'架電リスト'!$J$5:$J$104,"不在・折返し待ち")</f>
        <v/>
      </c>
      <c r="F49" s="14">
        <f>COUNTIFS('架電リスト'!$C$5:$C$104,$A49,'架電リスト'!$J$5:$J$104,"担当者不在")</f>
        <v/>
      </c>
      <c r="G49" s="14">
        <f>COUNTIFS('架電リスト'!$C$5:$C$104,$A49,'架電リスト'!$J$5:$J$104,"資料送付")</f>
        <v/>
      </c>
      <c r="H49" s="14">
        <f>COUNTIFS('架電リスト'!$C$5:$C$104,$A49,'架電リスト'!$J$5:$J$104,"アポ獲得")</f>
        <v/>
      </c>
      <c r="I49" s="14">
        <f>COUNTIFS('架電リスト'!$C$5:$C$104,$A49,'架電リスト'!$J$5:$J$104,"検討中")</f>
        <v/>
      </c>
      <c r="J49" s="14">
        <f>COUNTIFS('架電リスト'!$C$5:$C$104,$A49,'架電リスト'!$J$5:$J$104,"NG")</f>
        <v/>
      </c>
      <c r="K49" s="14">
        <f>COUNTIFS('架電リスト'!$C$5:$C$104,$A49,'架電リスト'!$J$5:$J$104,"番号不明")</f>
        <v/>
      </c>
    </row>
    <row r="50">
      <c r="A50" s="15" t="inlineStr">
        <is>
          <t>合計</t>
        </is>
      </c>
      <c r="B50" s="15">
        <f>SUM(B4:B49)</f>
        <v/>
      </c>
      <c r="C50" s="15">
        <f>SUM(C4:C49)</f>
        <v/>
      </c>
      <c r="D50" s="15">
        <f>SUM(D4:D49)</f>
        <v/>
      </c>
      <c r="E50" s="15">
        <f>SUM(E4:E49)</f>
        <v/>
      </c>
      <c r="F50" s="15">
        <f>SUM(F4:F49)</f>
        <v/>
      </c>
      <c r="G50" s="15">
        <f>SUM(G4:G49)</f>
        <v/>
      </c>
      <c r="H50" s="15">
        <f>SUM(H4:H49)</f>
        <v/>
      </c>
      <c r="I50" s="15">
        <f>SUM(I4:I49)</f>
        <v/>
      </c>
      <c r="J50" s="15">
        <f>SUM(J4:J49)</f>
        <v/>
      </c>
      <c r="K50" s="15">
        <f>SUM(K4:K49)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・出典：ご提供いただいた学校ネットの検索結果（私立高校・大阪府、100校）の貼り付けデータ。並び順は都道府県ごとに元データの掲載順です。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2026-10-14T01:23:42Z</dcterms:created>
  <dcterms:modified xsi:type="dcterms:W3CDTF">2026-10-14T01:23:42Z</dcterms:modified>
</cp:coreProperties>
</file>