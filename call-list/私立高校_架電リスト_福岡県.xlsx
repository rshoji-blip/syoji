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'架電リスト'!$A$4:$O$64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631.html" TargetMode="External" Id="rId1" /><Relationship Type="http://schemas.openxmlformats.org/officeDocument/2006/relationships/hyperlink" Target="https://www.gakkou.net/kou/view/index_305697.html" TargetMode="External" Id="rId2" /><Relationship Type="http://schemas.openxmlformats.org/officeDocument/2006/relationships/hyperlink" Target="https://www.gakkou.net/kou/view/index_305601.html" TargetMode="External" Id="rId3" /><Relationship Type="http://schemas.openxmlformats.org/officeDocument/2006/relationships/hyperlink" Target="https://www.gakkou.net/kou/view/index_305534.html" TargetMode="External" Id="rId4" /><Relationship Type="http://schemas.openxmlformats.org/officeDocument/2006/relationships/hyperlink" Target="https://www.gakkou.net/kou/view/index_305547.html" TargetMode="External" Id="rId5" /><Relationship Type="http://schemas.openxmlformats.org/officeDocument/2006/relationships/hyperlink" Target="https://www.gakkou.net/kou/view/index_305525.html" TargetMode="External" Id="rId6" /><Relationship Type="http://schemas.openxmlformats.org/officeDocument/2006/relationships/hyperlink" Target="https://www.gakkou.net/kou/view/index_305583.html" TargetMode="External" Id="rId7" /><Relationship Type="http://schemas.openxmlformats.org/officeDocument/2006/relationships/hyperlink" Target="https://www.gakkou.net/kou/view/index_305608.html" TargetMode="External" Id="rId8" /><Relationship Type="http://schemas.openxmlformats.org/officeDocument/2006/relationships/hyperlink" Target="https://www.gakkou.net/kou/view/index_305625.html" TargetMode="External" Id="rId9" /><Relationship Type="http://schemas.openxmlformats.org/officeDocument/2006/relationships/hyperlink" Target="https://www.gakkou.net/kou/view/index_306563.html" TargetMode="External" Id="rId10" /><Relationship Type="http://schemas.openxmlformats.org/officeDocument/2006/relationships/hyperlink" Target="https://www.gakkou.net/kou/view/index_305664.html" TargetMode="External" Id="rId11" /><Relationship Type="http://schemas.openxmlformats.org/officeDocument/2006/relationships/hyperlink" Target="https://www.gakkou.net/kou/view/index_305707.html" TargetMode="External" Id="rId12" /><Relationship Type="http://schemas.openxmlformats.org/officeDocument/2006/relationships/hyperlink" Target="https://www.gakkou.net/kou/view/index_305709.html" TargetMode="External" Id="rId13" /><Relationship Type="http://schemas.openxmlformats.org/officeDocument/2006/relationships/hyperlink" Target="https://www.gakkou.net/kou/view/index_305496.html" TargetMode="External" Id="rId14" /><Relationship Type="http://schemas.openxmlformats.org/officeDocument/2006/relationships/hyperlink" Target="https://www.gakkou.net/kou/view/index_305517.html" TargetMode="External" Id="rId15" /><Relationship Type="http://schemas.openxmlformats.org/officeDocument/2006/relationships/hyperlink" Target="https://www.gakkou.net/kou/view/index_305544.html" TargetMode="External" Id="rId16" /><Relationship Type="http://schemas.openxmlformats.org/officeDocument/2006/relationships/hyperlink" Target="https://www.gakkou.net/kou/view/index_305512.html" TargetMode="External" Id="rId17" /><Relationship Type="http://schemas.openxmlformats.org/officeDocument/2006/relationships/hyperlink" Target="https://www.gakkou.net/kou/view/index_305595.html" TargetMode="External" Id="rId18" /><Relationship Type="http://schemas.openxmlformats.org/officeDocument/2006/relationships/hyperlink" Target="https://www.gakkou.net/kou/view/index_305537.html" TargetMode="External" Id="rId19" /><Relationship Type="http://schemas.openxmlformats.org/officeDocument/2006/relationships/hyperlink" Target="https://www.gakkou.net/kou/view/index_305551.html" TargetMode="External" Id="rId20" /><Relationship Type="http://schemas.openxmlformats.org/officeDocument/2006/relationships/hyperlink" Target="https://www.gakkou.net/kou/view/index_305575.html" TargetMode="External" Id="rId21" /><Relationship Type="http://schemas.openxmlformats.org/officeDocument/2006/relationships/hyperlink" Target="https://www.gakkou.net/kou/view/index_305695.html" TargetMode="External" Id="rId22" /><Relationship Type="http://schemas.openxmlformats.org/officeDocument/2006/relationships/hyperlink" Target="https://www.gakkou.net/kou/view/index_305588.html" TargetMode="External" Id="rId23" /><Relationship Type="http://schemas.openxmlformats.org/officeDocument/2006/relationships/hyperlink" Target="https://www.gakkou.net/kou/view/index_305514.html" TargetMode="External" Id="rId24" /><Relationship Type="http://schemas.openxmlformats.org/officeDocument/2006/relationships/hyperlink" Target="https://www.gakkou.net/kou/view/index_305529.html" TargetMode="External" Id="rId25" /><Relationship Type="http://schemas.openxmlformats.org/officeDocument/2006/relationships/hyperlink" Target="https://www.gakkou.net/kou/view/index_305598.html" TargetMode="External" Id="rId26" /><Relationship Type="http://schemas.openxmlformats.org/officeDocument/2006/relationships/hyperlink" Target="https://www.gakkou.net/kou/view/index_305555.html" TargetMode="External" Id="rId27" /><Relationship Type="http://schemas.openxmlformats.org/officeDocument/2006/relationships/hyperlink" Target="https://www.gakkou.net/kou/view/index_305549.html" TargetMode="External" Id="rId28" /><Relationship Type="http://schemas.openxmlformats.org/officeDocument/2006/relationships/hyperlink" Target="https://www.gakkou.net/kou/view/index_305610.html" TargetMode="External" Id="rId29" /><Relationship Type="http://schemas.openxmlformats.org/officeDocument/2006/relationships/hyperlink" Target="https://www.gakkou.net/kou/view/index_305609.html" TargetMode="External" Id="rId30" /><Relationship Type="http://schemas.openxmlformats.org/officeDocument/2006/relationships/hyperlink" Target="https://www.gakkou.net/kou/view/index_305572.html" TargetMode="External" Id="rId31" /><Relationship Type="http://schemas.openxmlformats.org/officeDocument/2006/relationships/hyperlink" Target="https://www.gakkou.net/kou/view/index_305518.html" TargetMode="External" Id="rId32" /><Relationship Type="http://schemas.openxmlformats.org/officeDocument/2006/relationships/hyperlink" Target="https://www.gakkou.net/kou/view/index_305592.html" TargetMode="External" Id="rId33" /><Relationship Type="http://schemas.openxmlformats.org/officeDocument/2006/relationships/hyperlink" Target="https://www.gakkou.net/kou/view/index_305619.html" TargetMode="External" Id="rId34" /><Relationship Type="http://schemas.openxmlformats.org/officeDocument/2006/relationships/hyperlink" Target="https://www.gakkou.net/kou/view/index_305683.html" TargetMode="External" Id="rId35" /><Relationship Type="http://schemas.openxmlformats.org/officeDocument/2006/relationships/hyperlink" Target="https://www.gakkou.net/kou/view/index_305584.html" TargetMode="External" Id="rId36" /><Relationship Type="http://schemas.openxmlformats.org/officeDocument/2006/relationships/hyperlink" Target="https://www.gakkou.net/kou/view/index_305579.html" TargetMode="External" Id="rId37" /><Relationship Type="http://schemas.openxmlformats.org/officeDocument/2006/relationships/hyperlink" Target="https://www.gakkou.net/kou/view/index_305513.html" TargetMode="External" Id="rId38" /><Relationship Type="http://schemas.openxmlformats.org/officeDocument/2006/relationships/hyperlink" Target="https://www.gakkou.net/kou/view/index_305574.html" TargetMode="External" Id="rId39" /><Relationship Type="http://schemas.openxmlformats.org/officeDocument/2006/relationships/hyperlink" Target="https://www.gakkou.net/kou/view/index_305559.html" TargetMode="External" Id="rId40" /><Relationship Type="http://schemas.openxmlformats.org/officeDocument/2006/relationships/hyperlink" Target="https://www.gakkou.net/kou/view/index_305675.html" TargetMode="External" Id="rId41" /><Relationship Type="http://schemas.openxmlformats.org/officeDocument/2006/relationships/hyperlink" Target="https://www.gakkou.net/kou/view/index_305556.html" TargetMode="External" Id="rId42" /><Relationship Type="http://schemas.openxmlformats.org/officeDocument/2006/relationships/hyperlink" Target="https://www.gakkou.net/kou/view/index_305607.html" TargetMode="External" Id="rId43" /><Relationship Type="http://schemas.openxmlformats.org/officeDocument/2006/relationships/hyperlink" Target="https://www.gakkou.net/kou/view/index_305594.html" TargetMode="External" Id="rId44" /><Relationship Type="http://schemas.openxmlformats.org/officeDocument/2006/relationships/hyperlink" Target="https://www.gakkou.net/kou/view/index_305558.html" TargetMode="External" Id="rId45" /><Relationship Type="http://schemas.openxmlformats.org/officeDocument/2006/relationships/hyperlink" Target="https://www.gakkou.net/kou/view/index_305597.html" TargetMode="External" Id="rId46" /><Relationship Type="http://schemas.openxmlformats.org/officeDocument/2006/relationships/hyperlink" Target="https://www.gakkou.net/kou/view/index_305552.html" TargetMode="External" Id="rId47" /><Relationship Type="http://schemas.openxmlformats.org/officeDocument/2006/relationships/hyperlink" Target="https://www.gakkou.net/kou/view/index_305553.html" TargetMode="External" Id="rId48" /><Relationship Type="http://schemas.openxmlformats.org/officeDocument/2006/relationships/hyperlink" Target="https://www.gakkou.net/kou/view/index_305550.html" TargetMode="External" Id="rId49" /><Relationship Type="http://schemas.openxmlformats.org/officeDocument/2006/relationships/hyperlink" Target="https://www.gakkou.net/kou/view/index_305617.html" TargetMode="External" Id="rId50" /><Relationship Type="http://schemas.openxmlformats.org/officeDocument/2006/relationships/hyperlink" Target="https://www.gakkou.net/kou/view/index_305654.html" TargetMode="External" Id="rId51" /><Relationship Type="http://schemas.openxmlformats.org/officeDocument/2006/relationships/hyperlink" Target="https://www.gakkou.net/kou/view/index_305495.html" TargetMode="External" Id="rId52" /><Relationship Type="http://schemas.openxmlformats.org/officeDocument/2006/relationships/hyperlink" Target="https://www.gakkou.net/kou/view/index_305504.html" TargetMode="External" Id="rId53" /><Relationship Type="http://schemas.openxmlformats.org/officeDocument/2006/relationships/hyperlink" Target="https://www.gakkou.net/kou/view/index_305694.html" TargetMode="External" Id="rId54" /><Relationship Type="http://schemas.openxmlformats.org/officeDocument/2006/relationships/hyperlink" Target="https://www.gakkou.net/kou/view/index_305519.html" TargetMode="External" Id="rId55" /><Relationship Type="http://schemas.openxmlformats.org/officeDocument/2006/relationships/hyperlink" Target="https://www.gakkou.net/kou/view/index_306717.html" TargetMode="External" Id="rId56" /><Relationship Type="http://schemas.openxmlformats.org/officeDocument/2006/relationships/hyperlink" Target="https://www.gakkou.net/kou/view/index_305677.html" TargetMode="External" Id="rId57" /><Relationship Type="http://schemas.openxmlformats.org/officeDocument/2006/relationships/hyperlink" Target="https://www.gakkou.net/kou/view/index_305638.html" TargetMode="External" Id="rId58" /><Relationship Type="http://schemas.openxmlformats.org/officeDocument/2006/relationships/hyperlink" Target="https://www.gakkou.net/kou/view/index_305684.html" TargetMode="External" Id="rId59" /><Relationship Type="http://schemas.openxmlformats.org/officeDocument/2006/relationships/hyperlink" Target="https://www.gakkou.net/kou/view/index_305667.html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架電リスト（福岡県／60校）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福岡県</t>
        </is>
      </c>
      <c r="C5" s="5" t="inlineStr">
        <is>
          <t>飯塚市</t>
        </is>
      </c>
      <c r="D5" s="5" t="inlineStr">
        <is>
          <t>飯塚高等学校</t>
        </is>
      </c>
      <c r="E5" s="6" t="inlineStr">
        <is>
          <t>0948-22-6571</t>
        </is>
      </c>
      <c r="F5" s="7" t="inlineStr">
        <is>
          <t>高</t>
        </is>
      </c>
      <c r="G5" s="5" t="inlineStr">
        <is>
          <t>普通科・専門学科・総合学科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n"/>
      <c r="N5" s="11" t="inlineStr">
        <is>
          <t>https://iizuka.ed.jp/contact/</t>
        </is>
      </c>
      <c r="O5" s="12" t="inlineStr">
        <is>
          <t>開く</t>
        </is>
      </c>
    </row>
    <row r="6">
      <c r="A6" s="4" t="n">
        <v>2</v>
      </c>
      <c r="B6" s="5" t="inlineStr">
        <is>
          <t>福岡県</t>
        </is>
      </c>
      <c r="C6" s="5" t="inlineStr">
        <is>
          <t>大牟田市</t>
        </is>
      </c>
      <c r="D6" s="5" t="inlineStr">
        <is>
          <t>大牟田高等学校</t>
        </is>
      </c>
      <c r="E6" s="6" t="inlineStr">
        <is>
          <t>0944-53-5011</t>
        </is>
      </c>
      <c r="F6" s="7" t="inlineStr">
        <is>
          <t>高</t>
        </is>
      </c>
      <c r="G6" s="5" t="inlineStr">
        <is>
          <t>普通科・専門学科・総合学科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併設の大牟田中は0944-53-5335</t>
        </is>
      </c>
      <c r="N6" s="11" t="inlineStr">
        <is>
          <t>https://www.ohmuta.ac.jp/hs</t>
        </is>
      </c>
      <c r="O6" s="12" t="inlineStr">
        <is>
          <t>開く</t>
        </is>
      </c>
    </row>
    <row r="7">
      <c r="A7" s="4" t="n">
        <v>3</v>
      </c>
      <c r="B7" s="5" t="inlineStr">
        <is>
          <t>福岡県</t>
        </is>
      </c>
      <c r="C7" s="5" t="inlineStr">
        <is>
          <t>福岡市博多区</t>
        </is>
      </c>
      <c r="D7" s="5" t="inlineStr">
        <is>
          <t>沖学園高等学校</t>
        </is>
      </c>
      <c r="E7" s="6" t="inlineStr">
        <is>
          <t>092-431-1868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n"/>
      <c r="N7" s="11" t="inlineStr">
        <is>
          <t>https://oki.ed.jp/about/access.html</t>
        </is>
      </c>
      <c r="O7" s="12" t="inlineStr">
        <is>
          <t>開く</t>
        </is>
      </c>
    </row>
    <row r="8">
      <c r="A8" s="4" t="n">
        <v>4</v>
      </c>
      <c r="B8" s="5" t="inlineStr">
        <is>
          <t>福岡県</t>
        </is>
      </c>
      <c r="C8" s="5" t="inlineStr">
        <is>
          <t>北九州市八幡西区</t>
        </is>
      </c>
      <c r="D8" s="5" t="inlineStr">
        <is>
          <t>折尾愛真高等学校</t>
        </is>
      </c>
      <c r="E8" s="6" t="inlineStr">
        <is>
          <t>093-602-2100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n"/>
      <c r="N8" s="11" t="inlineStr">
        <is>
          <t>https://www.orioaishin.ac.jp/hs/access</t>
        </is>
      </c>
      <c r="O8" s="12" t="inlineStr">
        <is>
          <t>開く</t>
        </is>
      </c>
    </row>
    <row r="9">
      <c r="A9" s="4" t="n">
        <v>5</v>
      </c>
      <c r="B9" s="5" t="inlineStr">
        <is>
          <t>福岡県</t>
        </is>
      </c>
      <c r="C9" s="5" t="inlineStr">
        <is>
          <t>中間市</t>
        </is>
      </c>
      <c r="D9" s="5" t="inlineStr">
        <is>
          <t>希望が丘高等学校</t>
        </is>
      </c>
      <c r="E9" s="6" t="inlineStr">
        <is>
          <t>093-245-0481</t>
        </is>
      </c>
      <c r="F9" s="7" t="inlineStr">
        <is>
          <t>高</t>
        </is>
      </c>
      <c r="G9" s="5" t="inlineStr">
        <is>
          <t>専門学科・総合学科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n"/>
      <c r="N9" s="11" t="inlineStr">
        <is>
          <t>http://www.kibou.ed.jp/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福岡県</t>
        </is>
      </c>
      <c r="C10" s="5" t="inlineStr">
        <is>
          <t>北九州市八幡東区</t>
        </is>
      </c>
      <c r="D10" s="5" t="inlineStr">
        <is>
          <t>九州国際大学付属高等学校</t>
        </is>
      </c>
      <c r="E10" s="6" t="inlineStr">
        <is>
          <t>093-671-8443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第三者サイトに0120-411-945の記載あり（未確認）</t>
        </is>
      </c>
      <c r="N10" s="11" t="inlineStr">
        <is>
          <t>https://www.959h.kif.ed.jp/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福岡県</t>
        </is>
      </c>
      <c r="C11" s="5" t="inlineStr">
        <is>
          <t>福岡市東区</t>
        </is>
      </c>
      <c r="D11" s="5" t="inlineStr">
        <is>
          <t>九州産業大学付属九州高等学校</t>
        </is>
      </c>
      <c r="E11" s="6" t="inlineStr">
        <is>
          <t>092-681-0461</t>
        </is>
      </c>
      <c r="F11" s="7" t="inlineStr">
        <is>
          <t>高</t>
        </is>
      </c>
      <c r="G11" s="5" t="inlineStr">
        <is>
          <t>普通科・専門学科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n"/>
      <c r="N11" s="11" t="inlineStr">
        <is>
          <t>https://www.kyushu-h.jp/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福岡県</t>
        </is>
      </c>
      <c r="C12" s="5" t="inlineStr">
        <is>
          <t>筑紫野市</t>
        </is>
      </c>
      <c r="D12" s="5" t="inlineStr">
        <is>
          <t>九州産業大学付属九州産業高等学校</t>
        </is>
      </c>
      <c r="E12" s="6" t="inlineStr">
        <is>
          <t>092-923-3030</t>
        </is>
      </c>
      <c r="F12" s="7" t="inlineStr">
        <is>
          <t>高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事務室092-923-3031の記載あり</t>
        </is>
      </c>
      <c r="N12" s="11" t="inlineStr">
        <is>
          <t>https://www.kyusanfukyusan-h.ed.jp/contact/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福岡県</t>
        </is>
      </c>
      <c r="C13" s="5" t="inlineStr">
        <is>
          <t>飯塚市</t>
        </is>
      </c>
      <c r="D13" s="5" t="inlineStr">
        <is>
          <t>近畿大学附属福岡高等学校</t>
        </is>
      </c>
      <c r="E13" s="6" t="inlineStr">
        <is>
          <t>0948-22-2597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全日制の番号。通信制は0948-22-5655</t>
        </is>
      </c>
      <c r="N13" s="11" t="inlineStr">
        <is>
          <t>https://www.fhs.kindai.ac.jp/contact/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福岡県</t>
        </is>
      </c>
      <c r="C14" s="5" t="inlineStr">
        <is>
          <t>北九州市八幡西区</t>
        </is>
      </c>
      <c r="D14" s="5" t="inlineStr">
        <is>
          <t>仰星学園高等学校</t>
        </is>
      </c>
      <c r="E14" s="6" t="inlineStr">
        <is>
          <t>093-663-6037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入試広報は093-661-8001</t>
        </is>
      </c>
      <c r="N14" s="11" t="inlineStr">
        <is>
          <t>https://www.gyoseigakuen.ne.jp/contact.html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福岡県</t>
        </is>
      </c>
      <c r="C15" s="5" t="inlineStr">
        <is>
          <t>久留米市</t>
        </is>
      </c>
      <c r="D15" s="5" t="inlineStr">
        <is>
          <t>久留米学園高等学校</t>
        </is>
      </c>
      <c r="E15" s="6" t="inlineStr">
        <is>
          <t>0942-34-4535</t>
        </is>
      </c>
      <c r="F15" s="7" t="inlineStr">
        <is>
          <t>高</t>
        </is>
      </c>
      <c r="G15" s="5" t="inlineStr">
        <is>
          <t>普通科・総合学科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n"/>
      <c r="N15" s="11" t="inlineStr">
        <is>
          <t>https://gakuen.ac.jp/contact/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福岡県</t>
        </is>
      </c>
      <c r="C16" s="5" t="inlineStr">
        <is>
          <t>久留米市</t>
        </is>
      </c>
      <c r="D16" s="5" t="inlineStr">
        <is>
          <t>久留米信愛高等学校</t>
        </is>
      </c>
      <c r="E16" s="6" t="inlineStr">
        <is>
          <t>0942-43-4533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中高（全日制）の番号。学院代表0942-43-4531、通信制0942-43-4532</t>
        </is>
      </c>
      <c r="N16" s="11" t="inlineStr">
        <is>
          <t>https://www.kurume-shinai.ac.jp/contact/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福岡県</t>
        </is>
      </c>
      <c r="C17" s="5" t="inlineStr">
        <is>
          <t>久留米市</t>
        </is>
      </c>
      <c r="D17" s="5" t="inlineStr">
        <is>
          <t>久留米大学附設高等学校</t>
        </is>
      </c>
      <c r="E17" s="6" t="inlineStr">
        <is>
          <t>0942-44-2222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中高共通の事務室代表</t>
        </is>
      </c>
      <c r="N17" s="11" t="inlineStr">
        <is>
          <t>https://fusetsu.kurume-u.ac.jp/contact/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福岡県</t>
        </is>
      </c>
      <c r="C18" s="5" t="inlineStr">
        <is>
          <t>北九州市門司区</t>
        </is>
      </c>
      <c r="D18" s="5" t="inlineStr">
        <is>
          <t>敬愛高等学校</t>
        </is>
      </c>
      <c r="E18" s="6" t="inlineStr">
        <is>
          <t>093-381-3537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n"/>
      <c r="N18" s="11" t="inlineStr">
        <is>
          <t>https://www.keiai.net/high/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福岡県</t>
        </is>
      </c>
      <c r="C19" s="5" t="inlineStr">
        <is>
          <t>北九州市小倉北区</t>
        </is>
      </c>
      <c r="D19" s="5" t="inlineStr">
        <is>
          <t>慶成高等学校</t>
        </is>
      </c>
      <c r="E19" s="6" t="inlineStr">
        <is>
          <t>093-561-1331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n"/>
      <c r="N19" s="11" t="inlineStr">
        <is>
          <t>https://keisei-h.jp/inquiry/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福岡県</t>
        </is>
      </c>
      <c r="C20" s="5" t="inlineStr">
        <is>
          <t>北九州市若松区</t>
        </is>
      </c>
      <c r="D20" s="5" t="inlineStr">
        <is>
          <t>高稜高等学校</t>
        </is>
      </c>
      <c r="E20" s="6" t="inlineStr">
        <is>
          <t>093-791-3911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n"/>
      <c r="N20" s="11" t="inlineStr">
        <is>
          <t>http://www.kouryou.ed.jp/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福岡県</t>
        </is>
      </c>
      <c r="C21" s="5" t="inlineStr">
        <is>
          <t>北九州市小倉北区</t>
        </is>
      </c>
      <c r="D21" s="5" t="inlineStr">
        <is>
          <t>真颯館高等学校</t>
        </is>
      </c>
      <c r="E21" s="6" t="inlineStr">
        <is>
          <t>093-561-1231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n"/>
      <c r="N21" s="11" t="inlineStr">
        <is>
          <t>http://www.shinsokan-h.ed.jp/contact/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福岡県</t>
        </is>
      </c>
      <c r="C22" s="5" t="inlineStr">
        <is>
          <t>福岡市南区</t>
        </is>
      </c>
      <c r="D22" s="5" t="inlineStr">
        <is>
          <t>純真高等学校</t>
        </is>
      </c>
      <c r="E22" s="6" t="inlineStr">
        <is>
          <t>092-541-9710</t>
        </is>
      </c>
      <c r="F22" s="7" t="inlineStr">
        <is>
          <t>高</t>
        </is>
      </c>
      <c r="G22" s="5" t="inlineStr">
        <is>
          <t>普通科・専門学科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法人は092-541-1511</t>
        </is>
      </c>
      <c r="N22" s="11" t="inlineStr">
        <is>
          <t>https://junshin-hs.ed.jp/contact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福岡県</t>
        </is>
      </c>
      <c r="C23" s="5" t="inlineStr">
        <is>
          <t>北九州市八幡西区</t>
        </is>
      </c>
      <c r="D23" s="5" t="inlineStr">
        <is>
          <t>自由ケ丘高等学校</t>
        </is>
      </c>
      <c r="E23" s="6" t="inlineStr">
        <is>
          <t>093-693-3090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事務室093-693-3030の記載あり</t>
        </is>
      </c>
      <c r="N23" s="11" t="inlineStr">
        <is>
          <t>https://www.jiyugaoka-hs.ed.jp/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福岡県</t>
        </is>
      </c>
      <c r="C24" s="5" t="inlineStr">
        <is>
          <t>福岡市中央区</t>
        </is>
      </c>
      <c r="D24" s="5" t="inlineStr">
        <is>
          <t>上智福岡高等学校</t>
        </is>
      </c>
      <c r="E24" s="6" t="inlineStr">
        <is>
          <t>092-712-7181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中高共通番号</t>
        </is>
      </c>
      <c r="N24" s="11" t="inlineStr">
        <is>
          <t>https://www.sophia-fukuoka.ed.jp/contact_info/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福岡県</t>
        </is>
      </c>
      <c r="C25" s="5" t="inlineStr">
        <is>
          <t>福岡市博多区</t>
        </is>
      </c>
      <c r="D25" s="5" t="inlineStr">
        <is>
          <t>精華女子高等学校</t>
        </is>
      </c>
      <c r="E25" s="6" t="inlineStr">
        <is>
          <t>092-431-1434</t>
        </is>
      </c>
      <c r="F25" s="7" t="inlineStr">
        <is>
          <t>高</t>
        </is>
      </c>
      <c r="G25" s="5" t="inlineStr">
        <is>
          <t>普通科・専門学科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n"/>
      <c r="N25" s="11" t="inlineStr">
        <is>
          <t>https://www.seika-ghs.ed.jp/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福岡県</t>
        </is>
      </c>
      <c r="C26" s="5" t="inlineStr">
        <is>
          <t>大牟田市</t>
        </is>
      </c>
      <c r="D26" s="5" t="inlineStr">
        <is>
          <t>誠修高等学校</t>
        </is>
      </c>
      <c r="E26" s="6" t="inlineStr">
        <is>
          <t>0944-55-2344</t>
        </is>
      </c>
      <c r="F26" s="7" t="inlineStr">
        <is>
          <t>高</t>
        </is>
      </c>
      <c r="G26" s="5" t="inlineStr">
        <is>
          <t>普通科・専門学科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n"/>
      <c r="N26" s="11" t="inlineStr">
        <is>
          <t>http://seishu.ed.jp/school/access/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福岡県</t>
        </is>
      </c>
      <c r="C27" s="5" t="inlineStr">
        <is>
          <t>福岡市早良区</t>
        </is>
      </c>
      <c r="D27" s="5" t="inlineStr">
        <is>
          <t>西南学院高等学校</t>
        </is>
      </c>
      <c r="E27" s="6" t="inlineStr">
        <is>
          <t>092-841-1317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中高共通番号</t>
        </is>
      </c>
      <c r="N27" s="11" t="inlineStr">
        <is>
          <t>https://hs.seinan.ed.jp/access/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福岡県</t>
        </is>
      </c>
      <c r="C28" s="5" t="inlineStr">
        <is>
          <t>北九州市小倉北区</t>
        </is>
      </c>
      <c r="D28" s="5" t="inlineStr">
        <is>
          <t>西南女学院高等学校</t>
        </is>
      </c>
      <c r="E28" s="6" t="inlineStr">
        <is>
          <t>093-583-5800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中高共通番号。gakkou.netは093-583-5848と記載</t>
        </is>
      </c>
      <c r="N28" s="11" t="inlineStr">
        <is>
          <t>https://www.seinan-jo.ac.jp/houjin/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福岡県</t>
        </is>
      </c>
      <c r="C29" s="5" t="inlineStr">
        <is>
          <t>北九州市八幡西区</t>
        </is>
      </c>
      <c r="D29" s="5" t="inlineStr">
        <is>
          <t>星琳高等学校</t>
        </is>
      </c>
      <c r="E29" s="6" t="inlineStr">
        <is>
          <t>093-631-5350</t>
        </is>
      </c>
      <c r="F29" s="7" t="inlineStr">
        <is>
          <t>高</t>
        </is>
      </c>
      <c r="G29" s="5" t="inlineStr">
        <is>
          <t>普通科・専門学科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n"/>
      <c r="N29" s="11" t="inlineStr">
        <is>
          <t>https://www.seirin.ac.jp/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福岡県</t>
        </is>
      </c>
      <c r="C30" s="5" t="inlineStr">
        <is>
          <t>福岡市南区</t>
        </is>
      </c>
      <c r="D30" s="5" t="inlineStr">
        <is>
          <t>第一薬科大学付属高等学校</t>
        </is>
      </c>
      <c r="E30" s="6" t="inlineStr">
        <is>
          <t>092-541-0167</t>
        </is>
      </c>
      <c r="F30" s="13" t="inlineStr">
        <is>
          <t>中</t>
        </is>
      </c>
      <c r="G30" s="5" t="inlineStr">
        <is>
          <t>普通科・専門学科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公式未確認、複数サイトで一致。通信制福岡キャンパスは092-562-4749</t>
        </is>
      </c>
      <c r="N30" s="11" t="inlineStr">
        <is>
          <t>https://www.mapion.co.jp/phonebook/M11004/40134/ILSP0000041841_ipclm/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福岡県</t>
        </is>
      </c>
      <c r="C31" s="5" t="inlineStr">
        <is>
          <t>福岡市東区</t>
        </is>
      </c>
      <c r="D31" s="5" t="inlineStr">
        <is>
          <t>立花高等学校</t>
        </is>
      </c>
      <c r="E31" s="6" t="inlineStr">
        <is>
          <t>092-606-2792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n"/>
      <c r="N31" s="11" t="inlineStr">
        <is>
          <t>https://www.tachibanahs.net/blank-18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福岡県</t>
        </is>
      </c>
      <c r="C32" s="5" t="inlineStr">
        <is>
          <t>福岡市中央区</t>
        </is>
      </c>
      <c r="D32" s="5" t="inlineStr">
        <is>
          <t>筑紫女学園高等学校</t>
        </is>
      </c>
      <c r="E32" s="6" t="inlineStr">
        <is>
          <t>092-771-3066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n"/>
      <c r="N32" s="11" t="inlineStr">
        <is>
          <t>https://chikujo.ed.jp/schoolinfo/access/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福岡県</t>
        </is>
      </c>
      <c r="C33" s="5" t="inlineStr">
        <is>
          <t>太宰府市</t>
        </is>
      </c>
      <c r="D33" s="5" t="inlineStr">
        <is>
          <t>筑紫台高等学校</t>
        </is>
      </c>
      <c r="E33" s="6" t="inlineStr">
        <is>
          <t>092-923-0010</t>
        </is>
      </c>
      <c r="F33" s="7" t="inlineStr">
        <is>
          <t>高</t>
        </is>
      </c>
      <c r="G33" s="5" t="inlineStr">
        <is>
          <t>普通科・専門学科・総合学科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n"/>
      <c r="N33" s="11" t="inlineStr">
        <is>
          <t>https://chikushidai.ed.jp/schoollife/access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福岡県</t>
        </is>
      </c>
      <c r="C34" s="5" t="inlineStr">
        <is>
          <t>太宰府市</t>
        </is>
      </c>
      <c r="D34" s="5" t="inlineStr">
        <is>
          <t>筑陽学園高等学校</t>
        </is>
      </c>
      <c r="E34" s="6" t="inlineStr">
        <is>
          <t>092-922-7361</t>
        </is>
      </c>
      <c r="F34" s="7" t="inlineStr">
        <is>
          <t>高</t>
        </is>
      </c>
      <c r="G34" s="5" t="inlineStr">
        <is>
          <t>普通科・専門学科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n"/>
      <c r="N34" s="11" t="inlineStr">
        <is>
          <t>http://www.chikuyogakuen.ed.jp/accessmap.html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福岡県</t>
        </is>
      </c>
      <c r="C35" s="5" t="inlineStr">
        <is>
          <t>宗像市</t>
        </is>
      </c>
      <c r="D35" s="5" t="inlineStr">
        <is>
          <t>東海大学付属福岡高等学校</t>
        </is>
      </c>
      <c r="E35" s="6" t="inlineStr">
        <is>
          <t>0940-32-3311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n"/>
      <c r="N35" s="11" t="inlineStr">
        <is>
          <t>https://www.fukuoka.tokai.ed.jp/contact/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福岡県</t>
        </is>
      </c>
      <c r="C36" s="5" t="inlineStr">
        <is>
          <t>北九州市小倉南区</t>
        </is>
      </c>
      <c r="D36" s="5" t="inlineStr">
        <is>
          <t>常磐高等学校（福岡県）</t>
        </is>
      </c>
      <c r="E36" s="6" t="inlineStr">
        <is>
          <t>093-961-2334</t>
        </is>
      </c>
      <c r="F36" s="7" t="inlineStr">
        <is>
          <t>高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n"/>
      <c r="N36" s="11" t="inlineStr">
        <is>
          <t>https://www.tokiwa-hs.ed.jp/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福岡県</t>
        </is>
      </c>
      <c r="C37" s="5" t="inlineStr">
        <is>
          <t>福岡市城南区</t>
        </is>
      </c>
      <c r="D37" s="5" t="inlineStr">
        <is>
          <t>中村学園高等学校</t>
        </is>
      </c>
      <c r="E37" s="6" t="inlineStr">
        <is>
          <t>092-831-0981</t>
        </is>
      </c>
      <c r="F37" s="7" t="inlineStr">
        <is>
          <t>高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旧・中村学園女子。2026年4月に共学化・改称</t>
        </is>
      </c>
      <c r="N37" s="11" t="inlineStr">
        <is>
          <t>https://www.nakamura-njh.ed.jp/access/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福岡県</t>
        </is>
      </c>
      <c r="C38" s="5" t="inlineStr">
        <is>
          <t>福岡市西区</t>
        </is>
      </c>
      <c r="D38" s="5" t="inlineStr">
        <is>
          <t>中村学園三陽高等学校</t>
        </is>
      </c>
      <c r="E38" s="6" t="inlineStr">
        <is>
          <t>092-882-6611</t>
        </is>
      </c>
      <c r="F38" s="7" t="inlineStr">
        <is>
          <t>高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【募集停止】2026年度から生徒募集停止、2028年3月末閉校予定</t>
        </is>
      </c>
      <c r="N38" s="11" t="inlineStr">
        <is>
          <t>https://www.nakamura-sanyo.ed.jp/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福岡県</t>
        </is>
      </c>
      <c r="C39" s="5" t="inlineStr">
        <is>
          <t>八女市</t>
        </is>
      </c>
      <c r="D39" s="5" t="inlineStr">
        <is>
          <t>西日本短期大学附属高等学校</t>
        </is>
      </c>
      <c r="E39" s="6" t="inlineStr">
        <is>
          <t>0943-23-5662</t>
        </is>
      </c>
      <c r="F39" s="7" t="inlineStr">
        <is>
          <t>高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立志館（特進）は0943-23-5913</t>
        </is>
      </c>
      <c r="N39" s="11" t="inlineStr">
        <is>
          <t>https://www.nishitan.ed.jp/contact/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福岡県</t>
        </is>
      </c>
      <c r="C40" s="5" t="inlineStr">
        <is>
          <t>福岡市東区</t>
        </is>
      </c>
      <c r="D40" s="5" t="inlineStr">
        <is>
          <t>博多高等学校</t>
        </is>
      </c>
      <c r="E40" s="6" t="inlineStr">
        <is>
          <t>092-681-0331</t>
        </is>
      </c>
      <c r="F40" s="7" t="inlineStr">
        <is>
          <t>高</t>
        </is>
      </c>
      <c r="G40" s="5" t="inlineStr">
        <is>
          <t>普通科・専門学科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n"/>
      <c r="N40" s="11" t="inlineStr">
        <is>
          <t>http://www2.hakata.ed.jp/highschool/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福岡県</t>
        </is>
      </c>
      <c r="C41" s="5" t="inlineStr">
        <is>
          <t>福岡市東区</t>
        </is>
      </c>
      <c r="D41" s="5" t="inlineStr">
        <is>
          <t>博多女子高等学校</t>
        </is>
      </c>
      <c r="E41" s="6" t="inlineStr">
        <is>
          <t>092-651-1465</t>
        </is>
      </c>
      <c r="F41" s="7" t="inlineStr">
        <is>
          <t>高</t>
        </is>
      </c>
      <c r="G41" s="5" t="inlineStr">
        <is>
          <t>普通科・専門学科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n"/>
      <c r="N41" s="11" t="inlineStr">
        <is>
          <t>https://www.ghakata.ac.jp/sh/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福岡県</t>
        </is>
      </c>
      <c r="C42" s="5" t="inlineStr">
        <is>
          <t>北九州市小倉北区</t>
        </is>
      </c>
      <c r="D42" s="5" t="inlineStr">
        <is>
          <t>東筑紫学園高等学校</t>
        </is>
      </c>
      <c r="E42" s="6" t="inlineStr">
        <is>
          <t>093-571-0488</t>
        </is>
      </c>
      <c r="F42" s="7" t="inlineStr">
        <is>
          <t>高</t>
        </is>
      </c>
      <c r="G42" s="5" t="inlineStr">
        <is>
          <t>普通科・専門学科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n"/>
      <c r="N42" s="11" t="inlineStr">
        <is>
          <t>https://www.hcg.ed.jp/inquiry/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福岡県</t>
        </is>
      </c>
      <c r="C43" s="5" t="inlineStr">
        <is>
          <t>福岡市博多区</t>
        </is>
      </c>
      <c r="D43" s="5" t="inlineStr">
        <is>
          <t>東福岡高等学校</t>
        </is>
      </c>
      <c r="E43" s="6" t="inlineStr">
        <is>
          <t>092-411-3702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2025年度から男女共学</t>
        </is>
      </c>
      <c r="N43" s="11" t="inlineStr">
        <is>
          <t>https://www.higashifukuoka.ed.jp/higashifukuoka-info/hscontact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福岡県</t>
        </is>
      </c>
      <c r="C44" s="5" t="inlineStr">
        <is>
          <t>福岡市南区</t>
        </is>
      </c>
      <c r="D44" s="5" t="inlineStr">
        <is>
          <t>福岡海星女子学院高等学校</t>
        </is>
      </c>
      <c r="E44" s="6" t="inlineStr">
        <is>
          <t>092-565-4950</t>
        </is>
      </c>
      <c r="F44" s="7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n"/>
      <c r="N44" s="11" t="inlineStr">
        <is>
          <t>https://www.f-kaisei.ed.jp/access.html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福岡県</t>
        </is>
      </c>
      <c r="C45" s="5" t="inlineStr">
        <is>
          <t>柳川市</t>
        </is>
      </c>
      <c r="D45" s="5" t="inlineStr">
        <is>
          <t>福岡キャリア i 高等学校</t>
        </is>
      </c>
      <c r="E45" s="6" t="inlineStr">
        <is>
          <t>0944-72-5216</t>
        </is>
      </c>
      <c r="F45" s="7" t="inlineStr">
        <is>
          <t>高</t>
        </is>
      </c>
      <c r="G45" s="5" t="inlineStr">
        <is>
          <t>専門学科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2026年4月に杉森高等学校から校名変更（番号は同じ）</t>
        </is>
      </c>
      <c r="N45" s="11" t="inlineStr">
        <is>
          <t>https://fci-hs.ed.jp/school.php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福岡県</t>
        </is>
      </c>
      <c r="C46" s="5" t="inlineStr">
        <is>
          <t>福岡市東区</t>
        </is>
      </c>
      <c r="D46" s="5" t="inlineStr">
        <is>
          <t>福岡工業大学附属城東高等学校</t>
        </is>
      </c>
      <c r="E46" s="6" t="inlineStr">
        <is>
          <t>092-606-0724</t>
        </is>
      </c>
      <c r="F46" s="7" t="inlineStr">
        <is>
          <t>高</t>
        </is>
      </c>
      <c r="G46" s="5" t="inlineStr">
        <is>
          <t>普通科・専門学科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事務室番号。職員室は092-606-0797</t>
        </is>
      </c>
      <c r="N46" s="11" t="inlineStr">
        <is>
          <t>https://jyoto.fit.jp/zaikousei/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福岡県</t>
        </is>
      </c>
      <c r="C47" s="5" t="inlineStr">
        <is>
          <t>筑紫野市</t>
        </is>
      </c>
      <c r="D47" s="5" t="inlineStr">
        <is>
          <t>福岡常葉高等学校</t>
        </is>
      </c>
      <c r="E47" s="6" t="inlineStr">
        <is>
          <t>092-926-0731</t>
        </is>
      </c>
      <c r="F47" s="7" t="inlineStr">
        <is>
          <t>高</t>
        </is>
      </c>
      <c r="G47" s="5" t="inlineStr">
        <is>
          <t>普通科・専門学科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n"/>
      <c r="N47" s="11" t="inlineStr">
        <is>
          <t>https://ssl.f-joyo.ed.jp/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福岡県</t>
        </is>
      </c>
      <c r="C48" s="5" t="inlineStr">
        <is>
          <t>福岡市南区</t>
        </is>
      </c>
      <c r="D48" s="5" t="inlineStr">
        <is>
          <t>福岡女学院高等学校</t>
        </is>
      </c>
      <c r="E48" s="6" t="inlineStr">
        <is>
          <t>092-575-2470</t>
        </is>
      </c>
      <c r="F48" s="7" t="inlineStr">
        <is>
          <t>高</t>
        </is>
      </c>
      <c r="G48" s="5" t="inlineStr">
        <is>
          <t>普通科・専門学科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中高事務室番号。法人本部代表は092-581-1492</t>
        </is>
      </c>
      <c r="N48" s="11" t="inlineStr">
        <is>
          <t>http://www2.fukujo.ac.jp/js_new/access/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福岡県</t>
        </is>
      </c>
      <c r="C49" s="5" t="inlineStr">
        <is>
          <t>那珂川市</t>
        </is>
      </c>
      <c r="D49" s="5" t="inlineStr">
        <is>
          <t>福岡女子商業高等学校</t>
        </is>
      </c>
      <c r="E49" s="6" t="inlineStr">
        <is>
          <t>092-952-2231</t>
        </is>
      </c>
      <c r="F49" s="7" t="inlineStr">
        <is>
          <t>高</t>
        </is>
      </c>
      <c r="G49" s="5" t="inlineStr">
        <is>
          <t>専門学科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n"/>
      <c r="N49" s="11" t="inlineStr">
        <is>
          <t>https://yashima.ac.jp/fgchs/?page_id=4804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福岡県</t>
        </is>
      </c>
      <c r="C50" s="5" t="inlineStr">
        <is>
          <t>福岡市南区</t>
        </is>
      </c>
      <c r="D50" s="5" t="inlineStr">
        <is>
          <t>福岡第一高等学校</t>
        </is>
      </c>
      <c r="E50" s="6" t="inlineStr">
        <is>
          <t>092-541-0165</t>
        </is>
      </c>
      <c r="F50" s="7" t="inlineStr">
        <is>
          <t>高</t>
        </is>
      </c>
      <c r="G50" s="5" t="inlineStr">
        <is>
          <t>普通科・専門学科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非通知発信はつながらない設定</t>
        </is>
      </c>
      <c r="N50" s="11" t="inlineStr">
        <is>
          <t>https://f.f-parama.ed.jp/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福岡県</t>
        </is>
      </c>
      <c r="C51" s="5" t="inlineStr">
        <is>
          <t>福岡市中央区</t>
        </is>
      </c>
      <c r="D51" s="5" t="inlineStr">
        <is>
          <t>福岡大学附属大濠高等学校</t>
        </is>
      </c>
      <c r="E51" s="6" t="inlineStr">
        <is>
          <t>092-771-0731</t>
        </is>
      </c>
      <c r="F51" s="7" t="inlineStr">
        <is>
          <t>高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高校の番号。中学は092-712-5828</t>
        </is>
      </c>
      <c r="N51" s="11" t="inlineStr">
        <is>
          <t>https://www.ohori.ed.jp/office/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福岡県</t>
        </is>
      </c>
      <c r="C52" s="5" t="inlineStr">
        <is>
          <t>福岡市中央区</t>
        </is>
      </c>
      <c r="D52" s="5" t="inlineStr">
        <is>
          <t>福岡大学附属若葉高等学校</t>
        </is>
      </c>
      <c r="E52" s="6" t="inlineStr">
        <is>
          <t>092-771-1981</t>
        </is>
      </c>
      <c r="F52" s="7" t="inlineStr">
        <is>
          <t>高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事務室番号</t>
        </is>
      </c>
      <c r="N52" s="11" t="inlineStr">
        <is>
          <t>https://www.f-wakaba.ed.jp/school/information.html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福岡県</t>
        </is>
      </c>
      <c r="C53" s="5" t="inlineStr">
        <is>
          <t>福岡市中央区</t>
        </is>
      </c>
      <c r="D53" s="5" t="inlineStr">
        <is>
          <t>福岡雙葉高等学校</t>
        </is>
      </c>
      <c r="E53" s="6" t="inlineStr">
        <is>
          <t>092-531-0438</t>
        </is>
      </c>
      <c r="F53" s="7" t="inlineStr">
        <is>
          <t>高</t>
        </is>
      </c>
      <c r="G53" s="5" t="inlineStr">
        <is>
          <t>普通科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中高共通番号</t>
        </is>
      </c>
      <c r="N53" s="11" t="inlineStr">
        <is>
          <t>https://www.fukuokafutaba.ed.jp/highschool/about/access.html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福岡県</t>
        </is>
      </c>
      <c r="C54" s="5" t="inlineStr">
        <is>
          <t>福岡市西区</t>
        </is>
      </c>
      <c r="D54" s="5" t="inlineStr">
        <is>
          <t>福岡舞鶴高等学校</t>
        </is>
      </c>
      <c r="E54" s="6" t="inlineStr">
        <is>
          <t>092-806-3334</t>
        </is>
      </c>
      <c r="F54" s="7" t="inlineStr">
        <is>
          <t>高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n"/>
      <c r="N54" s="11" t="inlineStr">
        <is>
          <t>http://fmaizuru.ed.jp/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福岡県</t>
        </is>
      </c>
      <c r="C55" s="5" t="inlineStr">
        <is>
          <t>田川市</t>
        </is>
      </c>
      <c r="D55" s="5" t="inlineStr">
        <is>
          <t>福智高等学校</t>
        </is>
      </c>
      <c r="E55" s="6" t="inlineStr">
        <is>
          <t>0947-42-4711</t>
        </is>
      </c>
      <c r="F55" s="7" t="inlineStr">
        <is>
          <t>高</t>
        </is>
      </c>
      <c r="G55" s="5" t="inlineStr">
        <is>
          <t>普通科・専門学科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n"/>
      <c r="N55" s="11" t="inlineStr">
        <is>
          <t>https://www.fukuchi-h.ed.jp/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福岡県</t>
        </is>
      </c>
      <c r="C56" s="5" t="inlineStr">
        <is>
          <t>北九州市門司区</t>
        </is>
      </c>
      <c r="D56" s="5" t="inlineStr">
        <is>
          <t>豊国学園高等学校</t>
        </is>
      </c>
      <c r="E56" s="6" t="inlineStr">
        <is>
          <t>093-371-3037</t>
        </is>
      </c>
      <c r="F56" s="7" t="inlineStr">
        <is>
          <t>高</t>
        </is>
      </c>
      <c r="G56" s="5" t="inlineStr">
        <is>
          <t>普通科・専門学科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n"/>
      <c r="N56" s="11" t="inlineStr">
        <is>
          <t>https://www.houkoku.ac.jp/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福岡県</t>
        </is>
      </c>
      <c r="C57" s="5" t="inlineStr">
        <is>
          <t>北九州市小倉北区</t>
        </is>
      </c>
      <c r="D57" s="5" t="inlineStr">
        <is>
          <t>美萩野女子高等学校</t>
        </is>
      </c>
      <c r="E57" s="6" t="inlineStr">
        <is>
          <t>093-921-1331</t>
        </is>
      </c>
      <c r="F57" s="7" t="inlineStr">
        <is>
          <t>高</t>
        </is>
      </c>
      <c r="G57" s="5" t="inlineStr">
        <is>
          <t>普通科・専門学科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n"/>
      <c r="N57" s="11" t="inlineStr">
        <is>
          <t>https://mihagino.ac.jp/about/access/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福岡県</t>
        </is>
      </c>
      <c r="C58" s="5" t="inlineStr">
        <is>
          <t>大牟田市</t>
        </is>
      </c>
      <c r="D58" s="5" t="inlineStr">
        <is>
          <t>明光学園高等学校</t>
        </is>
      </c>
      <c r="E58" s="6" t="inlineStr">
        <is>
          <t>0944-58-0907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n"/>
      <c r="N58" s="11" t="inlineStr">
        <is>
          <t>https://welcome.meiko.ed.jp/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福岡県</t>
        </is>
      </c>
      <c r="C59" s="5" t="inlineStr">
        <is>
          <t>北九州市戸畑区</t>
        </is>
      </c>
      <c r="D59" s="5" t="inlineStr">
        <is>
          <t>明治学園高等学校</t>
        </is>
      </c>
      <c r="E59" s="6" t="inlineStr">
        <is>
          <t>093-881-2861</t>
        </is>
      </c>
      <c r="F59" s="7" t="inlineStr">
        <is>
          <t>高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中高共通番号</t>
        </is>
      </c>
      <c r="N59" s="11" t="inlineStr">
        <is>
          <t>https://meijigakuen.ed.jp/jsh/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福岡県</t>
        </is>
      </c>
      <c r="C60" s="5" t="inlineStr">
        <is>
          <t>川崎町</t>
        </is>
      </c>
      <c r="D60" s="5" t="inlineStr">
        <is>
          <t>明蓬館高等学校</t>
        </is>
      </c>
      <c r="E60" s="6" t="inlineStr">
        <is>
          <t>0947-49-5111</t>
        </is>
      </c>
      <c r="F60" s="7" t="inlineStr">
        <is>
          <t>高</t>
        </is>
      </c>
      <c r="G60" s="5" t="inlineStr">
        <is>
          <t>普通科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通信制・川崎町の本校。入学相談はフリーダイヤル別途</t>
        </is>
      </c>
      <c r="N60" s="11" t="inlineStr">
        <is>
          <t>https://at-mhk.com/center/ataka/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福岡県</t>
        </is>
      </c>
      <c r="C61" s="5" t="inlineStr">
        <is>
          <t>柳川市</t>
        </is>
      </c>
      <c r="D61" s="5" t="inlineStr">
        <is>
          <t>柳川高等学校</t>
        </is>
      </c>
      <c r="E61" s="6" t="inlineStr">
        <is>
          <t>0944-73-3333</t>
        </is>
      </c>
      <c r="F61" s="7" t="inlineStr">
        <is>
          <t>高</t>
        </is>
      </c>
      <c r="G61" s="5" t="inlineStr">
        <is>
          <t>普通科・専門学科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n"/>
      <c r="N61" s="11" t="inlineStr">
        <is>
          <t>https://yanagawa.ed.jp/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福岡県</t>
        </is>
      </c>
      <c r="C62" s="5" t="inlineStr">
        <is>
          <t>直方市</t>
        </is>
      </c>
      <c r="D62" s="5" t="inlineStr">
        <is>
          <t>大和青藍高等学校</t>
        </is>
      </c>
      <c r="E62" s="6" t="inlineStr">
        <is>
          <t>0949-22-0533</t>
        </is>
      </c>
      <c r="F62" s="7" t="inlineStr">
        <is>
          <t>高</t>
        </is>
      </c>
      <c r="G62" s="5" t="inlineStr">
        <is>
          <t>普通科・専門学科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n"/>
      <c r="N62" s="11" t="inlineStr">
        <is>
          <t>http://www.yamato-gakuen.ac.jp/about/access.html</t>
        </is>
      </c>
      <c r="O62" s="12" t="inlineStr">
        <is>
          <t>開く</t>
        </is>
      </c>
    </row>
    <row r="63">
      <c r="A63" s="4" t="n">
        <v>59</v>
      </c>
      <c r="B63" s="5" t="inlineStr">
        <is>
          <t>福岡県</t>
        </is>
      </c>
      <c r="C63" s="5" t="inlineStr">
        <is>
          <t>八女市</t>
        </is>
      </c>
      <c r="D63" s="5" t="inlineStr">
        <is>
          <t>八女学院高等学校</t>
        </is>
      </c>
      <c r="E63" s="6" t="inlineStr">
        <is>
          <t>0943-23-5111</t>
        </is>
      </c>
      <c r="F63" s="7" t="inlineStr">
        <is>
          <t>高</t>
        </is>
      </c>
      <c r="G63" s="5" t="inlineStr">
        <is>
          <t>普通科</t>
        </is>
      </c>
      <c r="H63" s="8" t="n"/>
      <c r="I63" s="9" t="n"/>
      <c r="J63" s="9" t="inlineStr">
        <is>
          <t>未架電</t>
        </is>
      </c>
      <c r="K63" s="8" t="n"/>
      <c r="L63" s="9" t="n"/>
      <c r="M63" s="10" t="n"/>
      <c r="N63" s="11" t="inlineStr">
        <is>
          <t>https://www.yamegakuin.ac.jp/</t>
        </is>
      </c>
      <c r="O63" s="12" t="inlineStr">
        <is>
          <t>開く</t>
        </is>
      </c>
    </row>
    <row r="64">
      <c r="A64" s="4" t="n">
        <v>60</v>
      </c>
      <c r="B64" s="5" t="inlineStr">
        <is>
          <t>福岡県</t>
        </is>
      </c>
      <c r="C64" s="5" t="inlineStr">
        <is>
          <t>久留米市</t>
        </is>
      </c>
      <c r="D64" s="5" t="inlineStr">
        <is>
          <t>祐誠高等学校</t>
        </is>
      </c>
      <c r="E64" s="6" t="inlineStr">
        <is>
          <t>0942-22-1238</t>
        </is>
      </c>
      <c r="F64" s="7" t="inlineStr">
        <is>
          <t>高</t>
        </is>
      </c>
      <c r="G64" s="5" t="inlineStr">
        <is>
          <t>普通科・専門学科</t>
        </is>
      </c>
      <c r="H64" s="8" t="n"/>
      <c r="I64" s="9" t="n"/>
      <c r="J64" s="9" t="inlineStr">
        <is>
          <t>未架電</t>
        </is>
      </c>
      <c r="K64" s="8" t="n"/>
      <c r="L64" s="9" t="n"/>
      <c r="M64" s="10" t="n"/>
      <c r="N64" s="11" t="inlineStr">
        <is>
          <t>https://yusei.ed.jp/information/outline/</t>
        </is>
      </c>
      <c r="O64" s="12" t="inlineStr">
        <is>
          <t>開く</t>
        </is>
      </c>
    </row>
  </sheetData>
  <autoFilter ref="A4:O64"/>
  <conditionalFormatting sqref="A5:O6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64" showDropDown="0" showInputMessage="0" showErrorMessage="0" allowBlank="1" type="list">
      <formula1>"未架電,不在・折返し待ち,担当者不在,資料送付,アポ獲得,検討中,NG,番号不明"</formula1>
    </dataValidation>
    <dataValidation sqref="H5:H64 K5:K6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福岡市東区</t>
        </is>
      </c>
      <c r="B4" s="14">
        <f>COUNTIF('架電リスト'!$C$5:$C$64,A4)</f>
        <v/>
      </c>
      <c r="C4" s="14">
        <f>COUNTIFS('架電リスト'!$C$5:$C$64,A4,'架電リスト'!$E$5:$E$64,"&lt;&gt;")</f>
        <v/>
      </c>
      <c r="D4" s="14">
        <f>B4-COUNTIFS('架電リスト'!$C$5:$C$64,A4,'架電リスト'!$J$5:$J$64,"未架電")-COUNTIFS('架電リスト'!$C$5:$C$64,A4,'架電リスト'!$J$5:$J$64,"")</f>
        <v/>
      </c>
      <c r="E4" s="14">
        <f>COUNTIFS('架電リスト'!$C$5:$C$64,$A4,'架電リスト'!$J$5:$J$64,"不在・折返し待ち")</f>
        <v/>
      </c>
      <c r="F4" s="14">
        <f>COUNTIFS('架電リスト'!$C$5:$C$64,$A4,'架電リスト'!$J$5:$J$64,"担当者不在")</f>
        <v/>
      </c>
      <c r="G4" s="14">
        <f>COUNTIFS('架電リスト'!$C$5:$C$64,$A4,'架電リスト'!$J$5:$J$64,"資料送付")</f>
        <v/>
      </c>
      <c r="H4" s="14">
        <f>COUNTIFS('架電リスト'!$C$5:$C$64,$A4,'架電リスト'!$J$5:$J$64,"アポ獲得")</f>
        <v/>
      </c>
      <c r="I4" s="14">
        <f>COUNTIFS('架電リスト'!$C$5:$C$64,$A4,'架電リスト'!$J$5:$J$64,"検討中")</f>
        <v/>
      </c>
      <c r="J4" s="14">
        <f>COUNTIFS('架電リスト'!$C$5:$C$64,$A4,'架電リスト'!$J$5:$J$64,"NG")</f>
        <v/>
      </c>
      <c r="K4" s="14">
        <f>COUNTIFS('架電リスト'!$C$5:$C$64,$A4,'架電リスト'!$J$5:$J$64,"番号不明")</f>
        <v/>
      </c>
    </row>
    <row r="5">
      <c r="A5" s="14" t="inlineStr">
        <is>
          <t>北九州市小倉北区</t>
        </is>
      </c>
      <c r="B5" s="14">
        <f>COUNTIF('架電リスト'!$C$5:$C$64,A5)</f>
        <v/>
      </c>
      <c r="C5" s="14">
        <f>COUNTIFS('架電リスト'!$C$5:$C$64,A5,'架電リスト'!$E$5:$E$64,"&lt;&gt;")</f>
        <v/>
      </c>
      <c r="D5" s="14">
        <f>B5-COUNTIFS('架電リスト'!$C$5:$C$64,A5,'架電リスト'!$J$5:$J$64,"未架電")-COUNTIFS('架電リスト'!$C$5:$C$64,A5,'架電リスト'!$J$5:$J$64,"")</f>
        <v/>
      </c>
      <c r="E5" s="14">
        <f>COUNTIFS('架電リスト'!$C$5:$C$64,$A5,'架電リスト'!$J$5:$J$64,"不在・折返し待ち")</f>
        <v/>
      </c>
      <c r="F5" s="14">
        <f>COUNTIFS('架電リスト'!$C$5:$C$64,$A5,'架電リスト'!$J$5:$J$64,"担当者不在")</f>
        <v/>
      </c>
      <c r="G5" s="14">
        <f>COUNTIFS('架電リスト'!$C$5:$C$64,$A5,'架電リスト'!$J$5:$J$64,"資料送付")</f>
        <v/>
      </c>
      <c r="H5" s="14">
        <f>COUNTIFS('架電リスト'!$C$5:$C$64,$A5,'架電リスト'!$J$5:$J$64,"アポ獲得")</f>
        <v/>
      </c>
      <c r="I5" s="14">
        <f>COUNTIFS('架電リスト'!$C$5:$C$64,$A5,'架電リスト'!$J$5:$J$64,"検討中")</f>
        <v/>
      </c>
      <c r="J5" s="14">
        <f>COUNTIFS('架電リスト'!$C$5:$C$64,$A5,'架電リスト'!$J$5:$J$64,"NG")</f>
        <v/>
      </c>
      <c r="K5" s="14">
        <f>COUNTIFS('架電リスト'!$C$5:$C$64,$A5,'架電リスト'!$J$5:$J$64,"番号不明")</f>
        <v/>
      </c>
    </row>
    <row r="6">
      <c r="A6" s="14" t="inlineStr">
        <is>
          <t>福岡市南区</t>
        </is>
      </c>
      <c r="B6" s="14">
        <f>COUNTIF('架電リスト'!$C$5:$C$64,A6)</f>
        <v/>
      </c>
      <c r="C6" s="14">
        <f>COUNTIFS('架電リスト'!$C$5:$C$64,A6,'架電リスト'!$E$5:$E$64,"&lt;&gt;")</f>
        <v/>
      </c>
      <c r="D6" s="14">
        <f>B6-COUNTIFS('架電リスト'!$C$5:$C$64,A6,'架電リスト'!$J$5:$J$64,"未架電")-COUNTIFS('架電リスト'!$C$5:$C$64,A6,'架電リスト'!$J$5:$J$64,"")</f>
        <v/>
      </c>
      <c r="E6" s="14">
        <f>COUNTIFS('架電リスト'!$C$5:$C$64,$A6,'架電リスト'!$J$5:$J$64,"不在・折返し待ち")</f>
        <v/>
      </c>
      <c r="F6" s="14">
        <f>COUNTIFS('架電リスト'!$C$5:$C$64,$A6,'架電リスト'!$J$5:$J$64,"担当者不在")</f>
        <v/>
      </c>
      <c r="G6" s="14">
        <f>COUNTIFS('架電リスト'!$C$5:$C$64,$A6,'架電リスト'!$J$5:$J$64,"資料送付")</f>
        <v/>
      </c>
      <c r="H6" s="14">
        <f>COUNTIFS('架電リスト'!$C$5:$C$64,$A6,'架電リスト'!$J$5:$J$64,"アポ獲得")</f>
        <v/>
      </c>
      <c r="I6" s="14">
        <f>COUNTIFS('架電リスト'!$C$5:$C$64,$A6,'架電リスト'!$J$5:$J$64,"検討中")</f>
        <v/>
      </c>
      <c r="J6" s="14">
        <f>COUNTIFS('架電リスト'!$C$5:$C$64,$A6,'架電リスト'!$J$5:$J$64,"NG")</f>
        <v/>
      </c>
      <c r="K6" s="14">
        <f>COUNTIFS('架電リスト'!$C$5:$C$64,$A6,'架電リスト'!$J$5:$J$64,"番号不明")</f>
        <v/>
      </c>
    </row>
    <row r="7">
      <c r="A7" s="14" t="inlineStr">
        <is>
          <t>福岡市中央区</t>
        </is>
      </c>
      <c r="B7" s="14">
        <f>COUNTIF('架電リスト'!$C$5:$C$64,A7)</f>
        <v/>
      </c>
      <c r="C7" s="14">
        <f>COUNTIFS('架電リスト'!$C$5:$C$64,A7,'架電リスト'!$E$5:$E$64,"&lt;&gt;")</f>
        <v/>
      </c>
      <c r="D7" s="14">
        <f>B7-COUNTIFS('架電リスト'!$C$5:$C$64,A7,'架電リスト'!$J$5:$J$64,"未架電")-COUNTIFS('架電リスト'!$C$5:$C$64,A7,'架電リスト'!$J$5:$J$64,"")</f>
        <v/>
      </c>
      <c r="E7" s="14">
        <f>COUNTIFS('架電リスト'!$C$5:$C$64,$A7,'架電リスト'!$J$5:$J$64,"不在・折返し待ち")</f>
        <v/>
      </c>
      <c r="F7" s="14">
        <f>COUNTIFS('架電リスト'!$C$5:$C$64,$A7,'架電リスト'!$J$5:$J$64,"担当者不在")</f>
        <v/>
      </c>
      <c r="G7" s="14">
        <f>COUNTIFS('架電リスト'!$C$5:$C$64,$A7,'架電リスト'!$J$5:$J$64,"資料送付")</f>
        <v/>
      </c>
      <c r="H7" s="14">
        <f>COUNTIFS('架電リスト'!$C$5:$C$64,$A7,'架電リスト'!$J$5:$J$64,"アポ獲得")</f>
        <v/>
      </c>
      <c r="I7" s="14">
        <f>COUNTIFS('架電リスト'!$C$5:$C$64,$A7,'架電リスト'!$J$5:$J$64,"検討中")</f>
        <v/>
      </c>
      <c r="J7" s="14">
        <f>COUNTIFS('架電リスト'!$C$5:$C$64,$A7,'架電リスト'!$J$5:$J$64,"NG")</f>
        <v/>
      </c>
      <c r="K7" s="14">
        <f>COUNTIFS('架電リスト'!$C$5:$C$64,$A7,'架電リスト'!$J$5:$J$64,"番号不明")</f>
        <v/>
      </c>
    </row>
    <row r="8">
      <c r="A8" s="14" t="inlineStr">
        <is>
          <t>北九州市八幡西区</t>
        </is>
      </c>
      <c r="B8" s="14">
        <f>COUNTIF('架電リスト'!$C$5:$C$64,A8)</f>
        <v/>
      </c>
      <c r="C8" s="14">
        <f>COUNTIFS('架電リスト'!$C$5:$C$64,A8,'架電リスト'!$E$5:$E$64,"&lt;&gt;")</f>
        <v/>
      </c>
      <c r="D8" s="14">
        <f>B8-COUNTIFS('架電リスト'!$C$5:$C$64,A8,'架電リスト'!$J$5:$J$64,"未架電")-COUNTIFS('架電リスト'!$C$5:$C$64,A8,'架電リスト'!$J$5:$J$64,"")</f>
        <v/>
      </c>
      <c r="E8" s="14">
        <f>COUNTIFS('架電リスト'!$C$5:$C$64,$A8,'架電リスト'!$J$5:$J$64,"不在・折返し待ち")</f>
        <v/>
      </c>
      <c r="F8" s="14">
        <f>COUNTIFS('架電リスト'!$C$5:$C$64,$A8,'架電リスト'!$J$5:$J$64,"担当者不在")</f>
        <v/>
      </c>
      <c r="G8" s="14">
        <f>COUNTIFS('架電リスト'!$C$5:$C$64,$A8,'架電リスト'!$J$5:$J$64,"資料送付")</f>
        <v/>
      </c>
      <c r="H8" s="14">
        <f>COUNTIFS('架電リスト'!$C$5:$C$64,$A8,'架電リスト'!$J$5:$J$64,"アポ獲得")</f>
        <v/>
      </c>
      <c r="I8" s="14">
        <f>COUNTIFS('架電リスト'!$C$5:$C$64,$A8,'架電リスト'!$J$5:$J$64,"検討中")</f>
        <v/>
      </c>
      <c r="J8" s="14">
        <f>COUNTIFS('架電リスト'!$C$5:$C$64,$A8,'架電リスト'!$J$5:$J$64,"NG")</f>
        <v/>
      </c>
      <c r="K8" s="14">
        <f>COUNTIFS('架電リスト'!$C$5:$C$64,$A8,'架電リスト'!$J$5:$J$64,"番号不明")</f>
        <v/>
      </c>
    </row>
    <row r="9">
      <c r="A9" s="14" t="inlineStr">
        <is>
          <t>久留米市</t>
        </is>
      </c>
      <c r="B9" s="14">
        <f>COUNTIF('架電リスト'!$C$5:$C$64,A9)</f>
        <v/>
      </c>
      <c r="C9" s="14">
        <f>COUNTIFS('架電リスト'!$C$5:$C$64,A9,'架電リスト'!$E$5:$E$64,"&lt;&gt;")</f>
        <v/>
      </c>
      <c r="D9" s="14">
        <f>B9-COUNTIFS('架電リスト'!$C$5:$C$64,A9,'架電リスト'!$J$5:$J$64,"未架電")-COUNTIFS('架電リスト'!$C$5:$C$64,A9,'架電リスト'!$J$5:$J$64,"")</f>
        <v/>
      </c>
      <c r="E9" s="14">
        <f>COUNTIFS('架電リスト'!$C$5:$C$64,$A9,'架電リスト'!$J$5:$J$64,"不在・折返し待ち")</f>
        <v/>
      </c>
      <c r="F9" s="14">
        <f>COUNTIFS('架電リスト'!$C$5:$C$64,$A9,'架電リスト'!$J$5:$J$64,"担当者不在")</f>
        <v/>
      </c>
      <c r="G9" s="14">
        <f>COUNTIFS('架電リスト'!$C$5:$C$64,$A9,'架電リスト'!$J$5:$J$64,"資料送付")</f>
        <v/>
      </c>
      <c r="H9" s="14">
        <f>COUNTIFS('架電リスト'!$C$5:$C$64,$A9,'架電リスト'!$J$5:$J$64,"アポ獲得")</f>
        <v/>
      </c>
      <c r="I9" s="14">
        <f>COUNTIFS('架電リスト'!$C$5:$C$64,$A9,'架電リスト'!$J$5:$J$64,"検討中")</f>
        <v/>
      </c>
      <c r="J9" s="14">
        <f>COUNTIFS('架電リスト'!$C$5:$C$64,$A9,'架電リスト'!$J$5:$J$64,"NG")</f>
        <v/>
      </c>
      <c r="K9" s="14">
        <f>COUNTIFS('架電リスト'!$C$5:$C$64,$A9,'架電リスト'!$J$5:$J$64,"番号不明")</f>
        <v/>
      </c>
    </row>
    <row r="10">
      <c r="A10" s="14" t="inlineStr">
        <is>
          <t>大牟田市</t>
        </is>
      </c>
      <c r="B10" s="14">
        <f>COUNTIF('架電リスト'!$C$5:$C$64,A10)</f>
        <v/>
      </c>
      <c r="C10" s="14">
        <f>COUNTIFS('架電リスト'!$C$5:$C$64,A10,'架電リスト'!$E$5:$E$64,"&lt;&gt;")</f>
        <v/>
      </c>
      <c r="D10" s="14">
        <f>B10-COUNTIFS('架電リスト'!$C$5:$C$64,A10,'架電リスト'!$J$5:$J$64,"未架電")-COUNTIFS('架電リスト'!$C$5:$C$64,A10,'架電リスト'!$J$5:$J$64,"")</f>
        <v/>
      </c>
      <c r="E10" s="14">
        <f>COUNTIFS('架電リスト'!$C$5:$C$64,$A10,'架電リスト'!$J$5:$J$64,"不在・折返し待ち")</f>
        <v/>
      </c>
      <c r="F10" s="14">
        <f>COUNTIFS('架電リスト'!$C$5:$C$64,$A10,'架電リスト'!$J$5:$J$64,"担当者不在")</f>
        <v/>
      </c>
      <c r="G10" s="14">
        <f>COUNTIFS('架電リスト'!$C$5:$C$64,$A10,'架電リスト'!$J$5:$J$64,"資料送付")</f>
        <v/>
      </c>
      <c r="H10" s="14">
        <f>COUNTIFS('架電リスト'!$C$5:$C$64,$A10,'架電リスト'!$J$5:$J$64,"アポ獲得")</f>
        <v/>
      </c>
      <c r="I10" s="14">
        <f>COUNTIFS('架電リスト'!$C$5:$C$64,$A10,'架電リスト'!$J$5:$J$64,"検討中")</f>
        <v/>
      </c>
      <c r="J10" s="14">
        <f>COUNTIFS('架電リスト'!$C$5:$C$64,$A10,'架電リスト'!$J$5:$J$64,"NG")</f>
        <v/>
      </c>
      <c r="K10" s="14">
        <f>COUNTIFS('架電リスト'!$C$5:$C$64,$A10,'架電リスト'!$J$5:$J$64,"番号不明")</f>
        <v/>
      </c>
    </row>
    <row r="11">
      <c r="A11" s="14" t="inlineStr">
        <is>
          <t>福岡市博多区</t>
        </is>
      </c>
      <c r="B11" s="14">
        <f>COUNTIF('架電リスト'!$C$5:$C$64,A11)</f>
        <v/>
      </c>
      <c r="C11" s="14">
        <f>COUNTIFS('架電リスト'!$C$5:$C$64,A11,'架電リスト'!$E$5:$E$64,"&lt;&gt;")</f>
        <v/>
      </c>
      <c r="D11" s="14">
        <f>B11-COUNTIFS('架電リスト'!$C$5:$C$64,A11,'架電リスト'!$J$5:$J$64,"未架電")-COUNTIFS('架電リスト'!$C$5:$C$64,A11,'架電リスト'!$J$5:$J$64,"")</f>
        <v/>
      </c>
      <c r="E11" s="14">
        <f>COUNTIFS('架電リスト'!$C$5:$C$64,$A11,'架電リスト'!$J$5:$J$64,"不在・折返し待ち")</f>
        <v/>
      </c>
      <c r="F11" s="14">
        <f>COUNTIFS('架電リスト'!$C$5:$C$64,$A11,'架電リスト'!$J$5:$J$64,"担当者不在")</f>
        <v/>
      </c>
      <c r="G11" s="14">
        <f>COUNTIFS('架電リスト'!$C$5:$C$64,$A11,'架電リスト'!$J$5:$J$64,"資料送付")</f>
        <v/>
      </c>
      <c r="H11" s="14">
        <f>COUNTIFS('架電リスト'!$C$5:$C$64,$A11,'架電リスト'!$J$5:$J$64,"アポ獲得")</f>
        <v/>
      </c>
      <c r="I11" s="14">
        <f>COUNTIFS('架電リスト'!$C$5:$C$64,$A11,'架電リスト'!$J$5:$J$64,"検討中")</f>
        <v/>
      </c>
      <c r="J11" s="14">
        <f>COUNTIFS('架電リスト'!$C$5:$C$64,$A11,'架電リスト'!$J$5:$J$64,"NG")</f>
        <v/>
      </c>
      <c r="K11" s="14">
        <f>COUNTIFS('架電リスト'!$C$5:$C$64,$A11,'架電リスト'!$J$5:$J$64,"番号不明")</f>
        <v/>
      </c>
    </row>
    <row r="12">
      <c r="A12" s="14" t="inlineStr">
        <is>
          <t>飯塚市</t>
        </is>
      </c>
      <c r="B12" s="14">
        <f>COUNTIF('架電リスト'!$C$5:$C$64,A12)</f>
        <v/>
      </c>
      <c r="C12" s="14">
        <f>COUNTIFS('架電リスト'!$C$5:$C$64,A12,'架電リスト'!$E$5:$E$64,"&lt;&gt;")</f>
        <v/>
      </c>
      <c r="D12" s="14">
        <f>B12-COUNTIFS('架電リスト'!$C$5:$C$64,A12,'架電リスト'!$J$5:$J$64,"未架電")-COUNTIFS('架電リスト'!$C$5:$C$64,A12,'架電リスト'!$J$5:$J$64,"")</f>
        <v/>
      </c>
      <c r="E12" s="14">
        <f>COUNTIFS('架電リスト'!$C$5:$C$64,$A12,'架電リスト'!$J$5:$J$64,"不在・折返し待ち")</f>
        <v/>
      </c>
      <c r="F12" s="14">
        <f>COUNTIFS('架電リスト'!$C$5:$C$64,$A12,'架電リスト'!$J$5:$J$64,"担当者不在")</f>
        <v/>
      </c>
      <c r="G12" s="14">
        <f>COUNTIFS('架電リスト'!$C$5:$C$64,$A12,'架電リスト'!$J$5:$J$64,"資料送付")</f>
        <v/>
      </c>
      <c r="H12" s="14">
        <f>COUNTIFS('架電リスト'!$C$5:$C$64,$A12,'架電リスト'!$J$5:$J$64,"アポ獲得")</f>
        <v/>
      </c>
      <c r="I12" s="14">
        <f>COUNTIFS('架電リスト'!$C$5:$C$64,$A12,'架電リスト'!$J$5:$J$64,"検討中")</f>
        <v/>
      </c>
      <c r="J12" s="14">
        <f>COUNTIFS('架電リスト'!$C$5:$C$64,$A12,'架電リスト'!$J$5:$J$64,"NG")</f>
        <v/>
      </c>
      <c r="K12" s="14">
        <f>COUNTIFS('架電リスト'!$C$5:$C$64,$A12,'架電リスト'!$J$5:$J$64,"番号不明")</f>
        <v/>
      </c>
    </row>
    <row r="13">
      <c r="A13" s="14" t="inlineStr">
        <is>
          <t>筑紫野市</t>
        </is>
      </c>
      <c r="B13" s="14">
        <f>COUNTIF('架電リスト'!$C$5:$C$64,A13)</f>
        <v/>
      </c>
      <c r="C13" s="14">
        <f>COUNTIFS('架電リスト'!$C$5:$C$64,A13,'架電リスト'!$E$5:$E$64,"&lt;&gt;")</f>
        <v/>
      </c>
      <c r="D13" s="14">
        <f>B13-COUNTIFS('架電リスト'!$C$5:$C$64,A13,'架電リスト'!$J$5:$J$64,"未架電")-COUNTIFS('架電リスト'!$C$5:$C$64,A13,'架電リスト'!$J$5:$J$64,"")</f>
        <v/>
      </c>
      <c r="E13" s="14">
        <f>COUNTIFS('架電リスト'!$C$5:$C$64,$A13,'架電リスト'!$J$5:$J$64,"不在・折返し待ち")</f>
        <v/>
      </c>
      <c r="F13" s="14">
        <f>COUNTIFS('架電リスト'!$C$5:$C$64,$A13,'架電リスト'!$J$5:$J$64,"担当者不在")</f>
        <v/>
      </c>
      <c r="G13" s="14">
        <f>COUNTIFS('架電リスト'!$C$5:$C$64,$A13,'架電リスト'!$J$5:$J$64,"資料送付")</f>
        <v/>
      </c>
      <c r="H13" s="14">
        <f>COUNTIFS('架電リスト'!$C$5:$C$64,$A13,'架電リスト'!$J$5:$J$64,"アポ獲得")</f>
        <v/>
      </c>
      <c r="I13" s="14">
        <f>COUNTIFS('架電リスト'!$C$5:$C$64,$A13,'架電リスト'!$J$5:$J$64,"検討中")</f>
        <v/>
      </c>
      <c r="J13" s="14">
        <f>COUNTIFS('架電リスト'!$C$5:$C$64,$A13,'架電リスト'!$J$5:$J$64,"NG")</f>
        <v/>
      </c>
      <c r="K13" s="14">
        <f>COUNTIFS('架電リスト'!$C$5:$C$64,$A13,'架電リスト'!$J$5:$J$64,"番号不明")</f>
        <v/>
      </c>
    </row>
    <row r="14">
      <c r="A14" s="14" t="inlineStr">
        <is>
          <t>北九州市門司区</t>
        </is>
      </c>
      <c r="B14" s="14">
        <f>COUNTIF('架電リスト'!$C$5:$C$64,A14)</f>
        <v/>
      </c>
      <c r="C14" s="14">
        <f>COUNTIFS('架電リスト'!$C$5:$C$64,A14,'架電リスト'!$E$5:$E$64,"&lt;&gt;")</f>
        <v/>
      </c>
      <c r="D14" s="14">
        <f>B14-COUNTIFS('架電リスト'!$C$5:$C$64,A14,'架電リスト'!$J$5:$J$64,"未架電")-COUNTIFS('架電リスト'!$C$5:$C$64,A14,'架電リスト'!$J$5:$J$64,"")</f>
        <v/>
      </c>
      <c r="E14" s="14">
        <f>COUNTIFS('架電リスト'!$C$5:$C$64,$A14,'架電リスト'!$J$5:$J$64,"不在・折返し待ち")</f>
        <v/>
      </c>
      <c r="F14" s="14">
        <f>COUNTIFS('架電リスト'!$C$5:$C$64,$A14,'架電リスト'!$J$5:$J$64,"担当者不在")</f>
        <v/>
      </c>
      <c r="G14" s="14">
        <f>COUNTIFS('架電リスト'!$C$5:$C$64,$A14,'架電リスト'!$J$5:$J$64,"資料送付")</f>
        <v/>
      </c>
      <c r="H14" s="14">
        <f>COUNTIFS('架電リスト'!$C$5:$C$64,$A14,'架電リスト'!$J$5:$J$64,"アポ獲得")</f>
        <v/>
      </c>
      <c r="I14" s="14">
        <f>COUNTIFS('架電リスト'!$C$5:$C$64,$A14,'架電リスト'!$J$5:$J$64,"検討中")</f>
        <v/>
      </c>
      <c r="J14" s="14">
        <f>COUNTIFS('架電リスト'!$C$5:$C$64,$A14,'架電リスト'!$J$5:$J$64,"NG")</f>
        <v/>
      </c>
      <c r="K14" s="14">
        <f>COUNTIFS('架電リスト'!$C$5:$C$64,$A14,'架電リスト'!$J$5:$J$64,"番号不明")</f>
        <v/>
      </c>
    </row>
    <row r="15">
      <c r="A15" s="14" t="inlineStr">
        <is>
          <t>太宰府市</t>
        </is>
      </c>
      <c r="B15" s="14">
        <f>COUNTIF('架電リスト'!$C$5:$C$64,A15)</f>
        <v/>
      </c>
      <c r="C15" s="14">
        <f>COUNTIFS('架電リスト'!$C$5:$C$64,A15,'架電リスト'!$E$5:$E$64,"&lt;&gt;")</f>
        <v/>
      </c>
      <c r="D15" s="14">
        <f>B15-COUNTIFS('架電リスト'!$C$5:$C$64,A15,'架電リスト'!$J$5:$J$64,"未架電")-COUNTIFS('架電リスト'!$C$5:$C$64,A15,'架電リスト'!$J$5:$J$64,"")</f>
        <v/>
      </c>
      <c r="E15" s="14">
        <f>COUNTIFS('架電リスト'!$C$5:$C$64,$A15,'架電リスト'!$J$5:$J$64,"不在・折返し待ち")</f>
        <v/>
      </c>
      <c r="F15" s="14">
        <f>COUNTIFS('架電リスト'!$C$5:$C$64,$A15,'架電リスト'!$J$5:$J$64,"担当者不在")</f>
        <v/>
      </c>
      <c r="G15" s="14">
        <f>COUNTIFS('架電リスト'!$C$5:$C$64,$A15,'架電リスト'!$J$5:$J$64,"資料送付")</f>
        <v/>
      </c>
      <c r="H15" s="14">
        <f>COUNTIFS('架電リスト'!$C$5:$C$64,$A15,'架電リスト'!$J$5:$J$64,"アポ獲得")</f>
        <v/>
      </c>
      <c r="I15" s="14">
        <f>COUNTIFS('架電リスト'!$C$5:$C$64,$A15,'架電リスト'!$J$5:$J$64,"検討中")</f>
        <v/>
      </c>
      <c r="J15" s="14">
        <f>COUNTIFS('架電リスト'!$C$5:$C$64,$A15,'架電リスト'!$J$5:$J$64,"NG")</f>
        <v/>
      </c>
      <c r="K15" s="14">
        <f>COUNTIFS('架電リスト'!$C$5:$C$64,$A15,'架電リスト'!$J$5:$J$64,"番号不明")</f>
        <v/>
      </c>
    </row>
    <row r="16">
      <c r="A16" s="14" t="inlineStr">
        <is>
          <t>福岡市西区</t>
        </is>
      </c>
      <c r="B16" s="14">
        <f>COUNTIF('架電リスト'!$C$5:$C$64,A16)</f>
        <v/>
      </c>
      <c r="C16" s="14">
        <f>COUNTIFS('架電リスト'!$C$5:$C$64,A16,'架電リスト'!$E$5:$E$64,"&lt;&gt;")</f>
        <v/>
      </c>
      <c r="D16" s="14">
        <f>B16-COUNTIFS('架電リスト'!$C$5:$C$64,A16,'架電リスト'!$J$5:$J$64,"未架電")-COUNTIFS('架電リスト'!$C$5:$C$64,A16,'架電リスト'!$J$5:$J$64,"")</f>
        <v/>
      </c>
      <c r="E16" s="14">
        <f>COUNTIFS('架電リスト'!$C$5:$C$64,$A16,'架電リスト'!$J$5:$J$64,"不在・折返し待ち")</f>
        <v/>
      </c>
      <c r="F16" s="14">
        <f>COUNTIFS('架電リスト'!$C$5:$C$64,$A16,'架電リスト'!$J$5:$J$64,"担当者不在")</f>
        <v/>
      </c>
      <c r="G16" s="14">
        <f>COUNTIFS('架電リスト'!$C$5:$C$64,$A16,'架電リスト'!$J$5:$J$64,"資料送付")</f>
        <v/>
      </c>
      <c r="H16" s="14">
        <f>COUNTIFS('架電リスト'!$C$5:$C$64,$A16,'架電リスト'!$J$5:$J$64,"アポ獲得")</f>
        <v/>
      </c>
      <c r="I16" s="14">
        <f>COUNTIFS('架電リスト'!$C$5:$C$64,$A16,'架電リスト'!$J$5:$J$64,"検討中")</f>
        <v/>
      </c>
      <c r="J16" s="14">
        <f>COUNTIFS('架電リスト'!$C$5:$C$64,$A16,'架電リスト'!$J$5:$J$64,"NG")</f>
        <v/>
      </c>
      <c r="K16" s="14">
        <f>COUNTIFS('架電リスト'!$C$5:$C$64,$A16,'架電リスト'!$J$5:$J$64,"番号不明")</f>
        <v/>
      </c>
    </row>
    <row r="17">
      <c r="A17" s="14" t="inlineStr">
        <is>
          <t>八女市</t>
        </is>
      </c>
      <c r="B17" s="14">
        <f>COUNTIF('架電リスト'!$C$5:$C$64,A17)</f>
        <v/>
      </c>
      <c r="C17" s="14">
        <f>COUNTIFS('架電リスト'!$C$5:$C$64,A17,'架電リスト'!$E$5:$E$64,"&lt;&gt;")</f>
        <v/>
      </c>
      <c r="D17" s="14">
        <f>B17-COUNTIFS('架電リスト'!$C$5:$C$64,A17,'架電リスト'!$J$5:$J$64,"未架電")-COUNTIFS('架電リスト'!$C$5:$C$64,A17,'架電リスト'!$J$5:$J$64,"")</f>
        <v/>
      </c>
      <c r="E17" s="14">
        <f>COUNTIFS('架電リスト'!$C$5:$C$64,$A17,'架電リスト'!$J$5:$J$64,"不在・折返し待ち")</f>
        <v/>
      </c>
      <c r="F17" s="14">
        <f>COUNTIFS('架電リスト'!$C$5:$C$64,$A17,'架電リスト'!$J$5:$J$64,"担当者不在")</f>
        <v/>
      </c>
      <c r="G17" s="14">
        <f>COUNTIFS('架電リスト'!$C$5:$C$64,$A17,'架電リスト'!$J$5:$J$64,"資料送付")</f>
        <v/>
      </c>
      <c r="H17" s="14">
        <f>COUNTIFS('架電リスト'!$C$5:$C$64,$A17,'架電リスト'!$J$5:$J$64,"アポ獲得")</f>
        <v/>
      </c>
      <c r="I17" s="14">
        <f>COUNTIFS('架電リスト'!$C$5:$C$64,$A17,'架電リスト'!$J$5:$J$64,"検討中")</f>
        <v/>
      </c>
      <c r="J17" s="14">
        <f>COUNTIFS('架電リスト'!$C$5:$C$64,$A17,'架電リスト'!$J$5:$J$64,"NG")</f>
        <v/>
      </c>
      <c r="K17" s="14">
        <f>COUNTIFS('架電リスト'!$C$5:$C$64,$A17,'架電リスト'!$J$5:$J$64,"番号不明")</f>
        <v/>
      </c>
    </row>
    <row r="18">
      <c r="A18" s="14" t="inlineStr">
        <is>
          <t>柳川市</t>
        </is>
      </c>
      <c r="B18" s="14">
        <f>COUNTIF('架電リスト'!$C$5:$C$64,A18)</f>
        <v/>
      </c>
      <c r="C18" s="14">
        <f>COUNTIFS('架電リスト'!$C$5:$C$64,A18,'架電リスト'!$E$5:$E$64,"&lt;&gt;")</f>
        <v/>
      </c>
      <c r="D18" s="14">
        <f>B18-COUNTIFS('架電リスト'!$C$5:$C$64,A18,'架電リスト'!$J$5:$J$64,"未架電")-COUNTIFS('架電リスト'!$C$5:$C$64,A18,'架電リスト'!$J$5:$J$64,"")</f>
        <v/>
      </c>
      <c r="E18" s="14">
        <f>COUNTIFS('架電リスト'!$C$5:$C$64,$A18,'架電リスト'!$J$5:$J$64,"不在・折返し待ち")</f>
        <v/>
      </c>
      <c r="F18" s="14">
        <f>COUNTIFS('架電リスト'!$C$5:$C$64,$A18,'架電リスト'!$J$5:$J$64,"担当者不在")</f>
        <v/>
      </c>
      <c r="G18" s="14">
        <f>COUNTIFS('架電リスト'!$C$5:$C$64,$A18,'架電リスト'!$J$5:$J$64,"資料送付")</f>
        <v/>
      </c>
      <c r="H18" s="14">
        <f>COUNTIFS('架電リスト'!$C$5:$C$64,$A18,'架電リスト'!$J$5:$J$64,"アポ獲得")</f>
        <v/>
      </c>
      <c r="I18" s="14">
        <f>COUNTIFS('架電リスト'!$C$5:$C$64,$A18,'架電リスト'!$J$5:$J$64,"検討中")</f>
        <v/>
      </c>
      <c r="J18" s="14">
        <f>COUNTIFS('架電リスト'!$C$5:$C$64,$A18,'架電リスト'!$J$5:$J$64,"NG")</f>
        <v/>
      </c>
      <c r="K18" s="14">
        <f>COUNTIFS('架電リスト'!$C$5:$C$64,$A18,'架電リスト'!$J$5:$J$64,"番号不明")</f>
        <v/>
      </c>
    </row>
    <row r="19">
      <c r="A19" s="14" t="inlineStr">
        <is>
          <t>中間市</t>
        </is>
      </c>
      <c r="B19" s="14">
        <f>COUNTIF('架電リスト'!$C$5:$C$64,A19)</f>
        <v/>
      </c>
      <c r="C19" s="14">
        <f>COUNTIFS('架電リスト'!$C$5:$C$64,A19,'架電リスト'!$E$5:$E$64,"&lt;&gt;")</f>
        <v/>
      </c>
      <c r="D19" s="14">
        <f>B19-COUNTIFS('架電リスト'!$C$5:$C$64,A19,'架電リスト'!$J$5:$J$64,"未架電")-COUNTIFS('架電リスト'!$C$5:$C$64,A19,'架電リスト'!$J$5:$J$64,"")</f>
        <v/>
      </c>
      <c r="E19" s="14">
        <f>COUNTIFS('架電リスト'!$C$5:$C$64,$A19,'架電リスト'!$J$5:$J$64,"不在・折返し待ち")</f>
        <v/>
      </c>
      <c r="F19" s="14">
        <f>COUNTIFS('架電リスト'!$C$5:$C$64,$A19,'架電リスト'!$J$5:$J$64,"担当者不在")</f>
        <v/>
      </c>
      <c r="G19" s="14">
        <f>COUNTIFS('架電リスト'!$C$5:$C$64,$A19,'架電リスト'!$J$5:$J$64,"資料送付")</f>
        <v/>
      </c>
      <c r="H19" s="14">
        <f>COUNTIFS('架電リスト'!$C$5:$C$64,$A19,'架電リスト'!$J$5:$J$64,"アポ獲得")</f>
        <v/>
      </c>
      <c r="I19" s="14">
        <f>COUNTIFS('架電リスト'!$C$5:$C$64,$A19,'架電リスト'!$J$5:$J$64,"検討中")</f>
        <v/>
      </c>
      <c r="J19" s="14">
        <f>COUNTIFS('架電リスト'!$C$5:$C$64,$A19,'架電リスト'!$J$5:$J$64,"NG")</f>
        <v/>
      </c>
      <c r="K19" s="14">
        <f>COUNTIFS('架電リスト'!$C$5:$C$64,$A19,'架電リスト'!$J$5:$J$64,"番号不明")</f>
        <v/>
      </c>
    </row>
    <row r="20">
      <c r="A20" s="14" t="inlineStr">
        <is>
          <t>北九州市八幡東区</t>
        </is>
      </c>
      <c r="B20" s="14">
        <f>COUNTIF('架電リスト'!$C$5:$C$64,A20)</f>
        <v/>
      </c>
      <c r="C20" s="14">
        <f>COUNTIFS('架電リスト'!$C$5:$C$64,A20,'架電リスト'!$E$5:$E$64,"&lt;&gt;")</f>
        <v/>
      </c>
      <c r="D20" s="14">
        <f>B20-COUNTIFS('架電リスト'!$C$5:$C$64,A20,'架電リスト'!$J$5:$J$64,"未架電")-COUNTIFS('架電リスト'!$C$5:$C$64,A20,'架電リスト'!$J$5:$J$64,"")</f>
        <v/>
      </c>
      <c r="E20" s="14">
        <f>COUNTIFS('架電リスト'!$C$5:$C$64,$A20,'架電リスト'!$J$5:$J$64,"不在・折返し待ち")</f>
        <v/>
      </c>
      <c r="F20" s="14">
        <f>COUNTIFS('架電リスト'!$C$5:$C$64,$A20,'架電リスト'!$J$5:$J$64,"担当者不在")</f>
        <v/>
      </c>
      <c r="G20" s="14">
        <f>COUNTIFS('架電リスト'!$C$5:$C$64,$A20,'架電リスト'!$J$5:$J$64,"資料送付")</f>
        <v/>
      </c>
      <c r="H20" s="14">
        <f>COUNTIFS('架電リスト'!$C$5:$C$64,$A20,'架電リスト'!$J$5:$J$64,"アポ獲得")</f>
        <v/>
      </c>
      <c r="I20" s="14">
        <f>COUNTIFS('架電リスト'!$C$5:$C$64,$A20,'架電リスト'!$J$5:$J$64,"検討中")</f>
        <v/>
      </c>
      <c r="J20" s="14">
        <f>COUNTIFS('架電リスト'!$C$5:$C$64,$A20,'架電リスト'!$J$5:$J$64,"NG")</f>
        <v/>
      </c>
      <c r="K20" s="14">
        <f>COUNTIFS('架電リスト'!$C$5:$C$64,$A20,'架電リスト'!$J$5:$J$64,"番号不明")</f>
        <v/>
      </c>
    </row>
    <row r="21">
      <c r="A21" s="14" t="inlineStr">
        <is>
          <t>北九州市若松区</t>
        </is>
      </c>
      <c r="B21" s="14">
        <f>COUNTIF('架電リスト'!$C$5:$C$64,A21)</f>
        <v/>
      </c>
      <c r="C21" s="14">
        <f>COUNTIFS('架電リスト'!$C$5:$C$64,A21,'架電リスト'!$E$5:$E$64,"&lt;&gt;")</f>
        <v/>
      </c>
      <c r="D21" s="14">
        <f>B21-COUNTIFS('架電リスト'!$C$5:$C$64,A21,'架電リスト'!$J$5:$J$64,"未架電")-COUNTIFS('架電リスト'!$C$5:$C$64,A21,'架電リスト'!$J$5:$J$64,"")</f>
        <v/>
      </c>
      <c r="E21" s="14">
        <f>COUNTIFS('架電リスト'!$C$5:$C$64,$A21,'架電リスト'!$J$5:$J$64,"不在・折返し待ち")</f>
        <v/>
      </c>
      <c r="F21" s="14">
        <f>COUNTIFS('架電リスト'!$C$5:$C$64,$A21,'架電リスト'!$J$5:$J$64,"担当者不在")</f>
        <v/>
      </c>
      <c r="G21" s="14">
        <f>COUNTIFS('架電リスト'!$C$5:$C$64,$A21,'架電リスト'!$J$5:$J$64,"資料送付")</f>
        <v/>
      </c>
      <c r="H21" s="14">
        <f>COUNTIFS('架電リスト'!$C$5:$C$64,$A21,'架電リスト'!$J$5:$J$64,"アポ獲得")</f>
        <v/>
      </c>
      <c r="I21" s="14">
        <f>COUNTIFS('架電リスト'!$C$5:$C$64,$A21,'架電リスト'!$J$5:$J$64,"検討中")</f>
        <v/>
      </c>
      <c r="J21" s="14">
        <f>COUNTIFS('架電リスト'!$C$5:$C$64,$A21,'架電リスト'!$J$5:$J$64,"NG")</f>
        <v/>
      </c>
      <c r="K21" s="14">
        <f>COUNTIFS('架電リスト'!$C$5:$C$64,$A21,'架電リスト'!$J$5:$J$64,"番号不明")</f>
        <v/>
      </c>
    </row>
    <row r="22">
      <c r="A22" s="14" t="inlineStr">
        <is>
          <t>福岡市早良区</t>
        </is>
      </c>
      <c r="B22" s="14">
        <f>COUNTIF('架電リスト'!$C$5:$C$64,A22)</f>
        <v/>
      </c>
      <c r="C22" s="14">
        <f>COUNTIFS('架電リスト'!$C$5:$C$64,A22,'架電リスト'!$E$5:$E$64,"&lt;&gt;")</f>
        <v/>
      </c>
      <c r="D22" s="14">
        <f>B22-COUNTIFS('架電リスト'!$C$5:$C$64,A22,'架電リスト'!$J$5:$J$64,"未架電")-COUNTIFS('架電リスト'!$C$5:$C$64,A22,'架電リスト'!$J$5:$J$64,"")</f>
        <v/>
      </c>
      <c r="E22" s="14">
        <f>COUNTIFS('架電リスト'!$C$5:$C$64,$A22,'架電リスト'!$J$5:$J$64,"不在・折返し待ち")</f>
        <v/>
      </c>
      <c r="F22" s="14">
        <f>COUNTIFS('架電リスト'!$C$5:$C$64,$A22,'架電リスト'!$J$5:$J$64,"担当者不在")</f>
        <v/>
      </c>
      <c r="G22" s="14">
        <f>COUNTIFS('架電リスト'!$C$5:$C$64,$A22,'架電リスト'!$J$5:$J$64,"資料送付")</f>
        <v/>
      </c>
      <c r="H22" s="14">
        <f>COUNTIFS('架電リスト'!$C$5:$C$64,$A22,'架電リスト'!$J$5:$J$64,"アポ獲得")</f>
        <v/>
      </c>
      <c r="I22" s="14">
        <f>COUNTIFS('架電リスト'!$C$5:$C$64,$A22,'架電リスト'!$J$5:$J$64,"検討中")</f>
        <v/>
      </c>
      <c r="J22" s="14">
        <f>COUNTIFS('架電リスト'!$C$5:$C$64,$A22,'架電リスト'!$J$5:$J$64,"NG")</f>
        <v/>
      </c>
      <c r="K22" s="14">
        <f>COUNTIFS('架電リスト'!$C$5:$C$64,$A22,'架電リスト'!$J$5:$J$64,"番号不明")</f>
        <v/>
      </c>
    </row>
    <row r="23">
      <c r="A23" s="14" t="inlineStr">
        <is>
          <t>宗像市</t>
        </is>
      </c>
      <c r="B23" s="14">
        <f>COUNTIF('架電リスト'!$C$5:$C$64,A23)</f>
        <v/>
      </c>
      <c r="C23" s="14">
        <f>COUNTIFS('架電リスト'!$C$5:$C$64,A23,'架電リスト'!$E$5:$E$64,"&lt;&gt;")</f>
        <v/>
      </c>
      <c r="D23" s="14">
        <f>B23-COUNTIFS('架電リスト'!$C$5:$C$64,A23,'架電リスト'!$J$5:$J$64,"未架電")-COUNTIFS('架電リスト'!$C$5:$C$64,A23,'架電リスト'!$J$5:$J$64,"")</f>
        <v/>
      </c>
      <c r="E23" s="14">
        <f>COUNTIFS('架電リスト'!$C$5:$C$64,$A23,'架電リスト'!$J$5:$J$64,"不在・折返し待ち")</f>
        <v/>
      </c>
      <c r="F23" s="14">
        <f>COUNTIFS('架電リスト'!$C$5:$C$64,$A23,'架電リスト'!$J$5:$J$64,"担当者不在")</f>
        <v/>
      </c>
      <c r="G23" s="14">
        <f>COUNTIFS('架電リスト'!$C$5:$C$64,$A23,'架電リスト'!$J$5:$J$64,"資料送付")</f>
        <v/>
      </c>
      <c r="H23" s="14">
        <f>COUNTIFS('架電リスト'!$C$5:$C$64,$A23,'架電リスト'!$J$5:$J$64,"アポ獲得")</f>
        <v/>
      </c>
      <c r="I23" s="14">
        <f>COUNTIFS('架電リスト'!$C$5:$C$64,$A23,'架電リスト'!$J$5:$J$64,"検討中")</f>
        <v/>
      </c>
      <c r="J23" s="14">
        <f>COUNTIFS('架電リスト'!$C$5:$C$64,$A23,'架電リスト'!$J$5:$J$64,"NG")</f>
        <v/>
      </c>
      <c r="K23" s="14">
        <f>COUNTIFS('架電リスト'!$C$5:$C$64,$A23,'架電リスト'!$J$5:$J$64,"番号不明")</f>
        <v/>
      </c>
    </row>
    <row r="24">
      <c r="A24" s="14" t="inlineStr">
        <is>
          <t>北九州市小倉南区</t>
        </is>
      </c>
      <c r="B24" s="14">
        <f>COUNTIF('架電リスト'!$C$5:$C$64,A24)</f>
        <v/>
      </c>
      <c r="C24" s="14">
        <f>COUNTIFS('架電リスト'!$C$5:$C$64,A24,'架電リスト'!$E$5:$E$64,"&lt;&gt;")</f>
        <v/>
      </c>
      <c r="D24" s="14">
        <f>B24-COUNTIFS('架電リスト'!$C$5:$C$64,A24,'架電リスト'!$J$5:$J$64,"未架電")-COUNTIFS('架電リスト'!$C$5:$C$64,A24,'架電リスト'!$J$5:$J$64,"")</f>
        <v/>
      </c>
      <c r="E24" s="14">
        <f>COUNTIFS('架電リスト'!$C$5:$C$64,$A24,'架電リスト'!$J$5:$J$64,"不在・折返し待ち")</f>
        <v/>
      </c>
      <c r="F24" s="14">
        <f>COUNTIFS('架電リスト'!$C$5:$C$64,$A24,'架電リスト'!$J$5:$J$64,"担当者不在")</f>
        <v/>
      </c>
      <c r="G24" s="14">
        <f>COUNTIFS('架電リスト'!$C$5:$C$64,$A24,'架電リスト'!$J$5:$J$64,"資料送付")</f>
        <v/>
      </c>
      <c r="H24" s="14">
        <f>COUNTIFS('架電リスト'!$C$5:$C$64,$A24,'架電リスト'!$J$5:$J$64,"アポ獲得")</f>
        <v/>
      </c>
      <c r="I24" s="14">
        <f>COUNTIFS('架電リスト'!$C$5:$C$64,$A24,'架電リスト'!$J$5:$J$64,"検討中")</f>
        <v/>
      </c>
      <c r="J24" s="14">
        <f>COUNTIFS('架電リスト'!$C$5:$C$64,$A24,'架電リスト'!$J$5:$J$64,"NG")</f>
        <v/>
      </c>
      <c r="K24" s="14">
        <f>COUNTIFS('架電リスト'!$C$5:$C$64,$A24,'架電リスト'!$J$5:$J$64,"番号不明")</f>
        <v/>
      </c>
    </row>
    <row r="25">
      <c r="A25" s="14" t="inlineStr">
        <is>
          <t>福岡市城南区</t>
        </is>
      </c>
      <c r="B25" s="14">
        <f>COUNTIF('架電リスト'!$C$5:$C$64,A25)</f>
        <v/>
      </c>
      <c r="C25" s="14">
        <f>COUNTIFS('架電リスト'!$C$5:$C$64,A25,'架電リスト'!$E$5:$E$64,"&lt;&gt;")</f>
        <v/>
      </c>
      <c r="D25" s="14">
        <f>B25-COUNTIFS('架電リスト'!$C$5:$C$64,A25,'架電リスト'!$J$5:$J$64,"未架電")-COUNTIFS('架電リスト'!$C$5:$C$64,A25,'架電リスト'!$J$5:$J$64,"")</f>
        <v/>
      </c>
      <c r="E25" s="14">
        <f>COUNTIFS('架電リスト'!$C$5:$C$64,$A25,'架電リスト'!$J$5:$J$64,"不在・折返し待ち")</f>
        <v/>
      </c>
      <c r="F25" s="14">
        <f>COUNTIFS('架電リスト'!$C$5:$C$64,$A25,'架電リスト'!$J$5:$J$64,"担当者不在")</f>
        <v/>
      </c>
      <c r="G25" s="14">
        <f>COUNTIFS('架電リスト'!$C$5:$C$64,$A25,'架電リスト'!$J$5:$J$64,"資料送付")</f>
        <v/>
      </c>
      <c r="H25" s="14">
        <f>COUNTIFS('架電リスト'!$C$5:$C$64,$A25,'架電リスト'!$J$5:$J$64,"アポ獲得")</f>
        <v/>
      </c>
      <c r="I25" s="14">
        <f>COUNTIFS('架電リスト'!$C$5:$C$64,$A25,'架電リスト'!$J$5:$J$64,"検討中")</f>
        <v/>
      </c>
      <c r="J25" s="14">
        <f>COUNTIFS('架電リスト'!$C$5:$C$64,$A25,'架電リスト'!$J$5:$J$64,"NG")</f>
        <v/>
      </c>
      <c r="K25" s="14">
        <f>COUNTIFS('架電リスト'!$C$5:$C$64,$A25,'架電リスト'!$J$5:$J$64,"番号不明")</f>
        <v/>
      </c>
    </row>
    <row r="26">
      <c r="A26" s="14" t="inlineStr">
        <is>
          <t>那珂川市</t>
        </is>
      </c>
      <c r="B26" s="14">
        <f>COUNTIF('架電リスト'!$C$5:$C$64,A26)</f>
        <v/>
      </c>
      <c r="C26" s="14">
        <f>COUNTIFS('架電リスト'!$C$5:$C$64,A26,'架電リスト'!$E$5:$E$64,"&lt;&gt;")</f>
        <v/>
      </c>
      <c r="D26" s="14">
        <f>B26-COUNTIFS('架電リスト'!$C$5:$C$64,A26,'架電リスト'!$J$5:$J$64,"未架電")-COUNTIFS('架電リスト'!$C$5:$C$64,A26,'架電リスト'!$J$5:$J$64,"")</f>
        <v/>
      </c>
      <c r="E26" s="14">
        <f>COUNTIFS('架電リスト'!$C$5:$C$64,$A26,'架電リスト'!$J$5:$J$64,"不在・折返し待ち")</f>
        <v/>
      </c>
      <c r="F26" s="14">
        <f>COUNTIFS('架電リスト'!$C$5:$C$64,$A26,'架電リスト'!$J$5:$J$64,"担当者不在")</f>
        <v/>
      </c>
      <c r="G26" s="14">
        <f>COUNTIFS('架電リスト'!$C$5:$C$64,$A26,'架電リスト'!$J$5:$J$64,"資料送付")</f>
        <v/>
      </c>
      <c r="H26" s="14">
        <f>COUNTIFS('架電リスト'!$C$5:$C$64,$A26,'架電リスト'!$J$5:$J$64,"アポ獲得")</f>
        <v/>
      </c>
      <c r="I26" s="14">
        <f>COUNTIFS('架電リスト'!$C$5:$C$64,$A26,'架電リスト'!$J$5:$J$64,"検討中")</f>
        <v/>
      </c>
      <c r="J26" s="14">
        <f>COUNTIFS('架電リスト'!$C$5:$C$64,$A26,'架電リスト'!$J$5:$J$64,"NG")</f>
        <v/>
      </c>
      <c r="K26" s="14">
        <f>COUNTIFS('架電リスト'!$C$5:$C$64,$A26,'架電リスト'!$J$5:$J$64,"番号不明")</f>
        <v/>
      </c>
    </row>
    <row r="27">
      <c r="A27" s="14" t="inlineStr">
        <is>
          <t>田川市</t>
        </is>
      </c>
      <c r="B27" s="14">
        <f>COUNTIF('架電リスト'!$C$5:$C$64,A27)</f>
        <v/>
      </c>
      <c r="C27" s="14">
        <f>COUNTIFS('架電リスト'!$C$5:$C$64,A27,'架電リスト'!$E$5:$E$64,"&lt;&gt;")</f>
        <v/>
      </c>
      <c r="D27" s="14">
        <f>B27-COUNTIFS('架電リスト'!$C$5:$C$64,A27,'架電リスト'!$J$5:$J$64,"未架電")-COUNTIFS('架電リスト'!$C$5:$C$64,A27,'架電リスト'!$J$5:$J$64,"")</f>
        <v/>
      </c>
      <c r="E27" s="14">
        <f>COUNTIFS('架電リスト'!$C$5:$C$64,$A27,'架電リスト'!$J$5:$J$64,"不在・折返し待ち")</f>
        <v/>
      </c>
      <c r="F27" s="14">
        <f>COUNTIFS('架電リスト'!$C$5:$C$64,$A27,'架電リスト'!$J$5:$J$64,"担当者不在")</f>
        <v/>
      </c>
      <c r="G27" s="14">
        <f>COUNTIFS('架電リスト'!$C$5:$C$64,$A27,'架電リスト'!$J$5:$J$64,"資料送付")</f>
        <v/>
      </c>
      <c r="H27" s="14">
        <f>COUNTIFS('架電リスト'!$C$5:$C$64,$A27,'架電リスト'!$J$5:$J$64,"アポ獲得")</f>
        <v/>
      </c>
      <c r="I27" s="14">
        <f>COUNTIFS('架電リスト'!$C$5:$C$64,$A27,'架電リスト'!$J$5:$J$64,"検討中")</f>
        <v/>
      </c>
      <c r="J27" s="14">
        <f>COUNTIFS('架電リスト'!$C$5:$C$64,$A27,'架電リスト'!$J$5:$J$64,"NG")</f>
        <v/>
      </c>
      <c r="K27" s="14">
        <f>COUNTIFS('架電リスト'!$C$5:$C$64,$A27,'架電リスト'!$J$5:$J$64,"番号不明")</f>
        <v/>
      </c>
    </row>
    <row r="28">
      <c r="A28" s="14" t="inlineStr">
        <is>
          <t>北九州市戸畑区</t>
        </is>
      </c>
      <c r="B28" s="14">
        <f>COUNTIF('架電リスト'!$C$5:$C$64,A28)</f>
        <v/>
      </c>
      <c r="C28" s="14">
        <f>COUNTIFS('架電リスト'!$C$5:$C$64,A28,'架電リスト'!$E$5:$E$64,"&lt;&gt;")</f>
        <v/>
      </c>
      <c r="D28" s="14">
        <f>B28-COUNTIFS('架電リスト'!$C$5:$C$64,A28,'架電リスト'!$J$5:$J$64,"未架電")-COUNTIFS('架電リスト'!$C$5:$C$64,A28,'架電リスト'!$J$5:$J$64,"")</f>
        <v/>
      </c>
      <c r="E28" s="14">
        <f>COUNTIFS('架電リスト'!$C$5:$C$64,$A28,'架電リスト'!$J$5:$J$64,"不在・折返し待ち")</f>
        <v/>
      </c>
      <c r="F28" s="14">
        <f>COUNTIFS('架電リスト'!$C$5:$C$64,$A28,'架電リスト'!$J$5:$J$64,"担当者不在")</f>
        <v/>
      </c>
      <c r="G28" s="14">
        <f>COUNTIFS('架電リスト'!$C$5:$C$64,$A28,'架電リスト'!$J$5:$J$64,"資料送付")</f>
        <v/>
      </c>
      <c r="H28" s="14">
        <f>COUNTIFS('架電リスト'!$C$5:$C$64,$A28,'架電リスト'!$J$5:$J$64,"アポ獲得")</f>
        <v/>
      </c>
      <c r="I28" s="14">
        <f>COUNTIFS('架電リスト'!$C$5:$C$64,$A28,'架電リスト'!$J$5:$J$64,"検討中")</f>
        <v/>
      </c>
      <c r="J28" s="14">
        <f>COUNTIFS('架電リスト'!$C$5:$C$64,$A28,'架電リスト'!$J$5:$J$64,"NG")</f>
        <v/>
      </c>
      <c r="K28" s="14">
        <f>COUNTIFS('架電リスト'!$C$5:$C$64,$A28,'架電リスト'!$J$5:$J$64,"番号不明")</f>
        <v/>
      </c>
    </row>
    <row r="29">
      <c r="A29" s="14" t="inlineStr">
        <is>
          <t>川崎町</t>
        </is>
      </c>
      <c r="B29" s="14">
        <f>COUNTIF('架電リスト'!$C$5:$C$64,A29)</f>
        <v/>
      </c>
      <c r="C29" s="14">
        <f>COUNTIFS('架電リスト'!$C$5:$C$64,A29,'架電リスト'!$E$5:$E$64,"&lt;&gt;")</f>
        <v/>
      </c>
      <c r="D29" s="14">
        <f>B29-COUNTIFS('架電リスト'!$C$5:$C$64,A29,'架電リスト'!$J$5:$J$64,"未架電")-COUNTIFS('架電リスト'!$C$5:$C$64,A29,'架電リスト'!$J$5:$J$64,"")</f>
        <v/>
      </c>
      <c r="E29" s="14">
        <f>COUNTIFS('架電リスト'!$C$5:$C$64,$A29,'架電リスト'!$J$5:$J$64,"不在・折返し待ち")</f>
        <v/>
      </c>
      <c r="F29" s="14">
        <f>COUNTIFS('架電リスト'!$C$5:$C$64,$A29,'架電リスト'!$J$5:$J$64,"担当者不在")</f>
        <v/>
      </c>
      <c r="G29" s="14">
        <f>COUNTIFS('架電リスト'!$C$5:$C$64,$A29,'架電リスト'!$J$5:$J$64,"資料送付")</f>
        <v/>
      </c>
      <c r="H29" s="14">
        <f>COUNTIFS('架電リスト'!$C$5:$C$64,$A29,'架電リスト'!$J$5:$J$64,"アポ獲得")</f>
        <v/>
      </c>
      <c r="I29" s="14">
        <f>COUNTIFS('架電リスト'!$C$5:$C$64,$A29,'架電リスト'!$J$5:$J$64,"検討中")</f>
        <v/>
      </c>
      <c r="J29" s="14">
        <f>COUNTIFS('架電リスト'!$C$5:$C$64,$A29,'架電リスト'!$J$5:$J$64,"NG")</f>
        <v/>
      </c>
      <c r="K29" s="14">
        <f>COUNTIFS('架電リスト'!$C$5:$C$64,$A29,'架電リスト'!$J$5:$J$64,"番号不明")</f>
        <v/>
      </c>
    </row>
    <row r="30">
      <c r="A30" s="14" t="inlineStr">
        <is>
          <t>直方市</t>
        </is>
      </c>
      <c r="B30" s="14">
        <f>COUNTIF('架電リスト'!$C$5:$C$64,A30)</f>
        <v/>
      </c>
      <c r="C30" s="14">
        <f>COUNTIFS('架電リスト'!$C$5:$C$64,A30,'架電リスト'!$E$5:$E$64,"&lt;&gt;")</f>
        <v/>
      </c>
      <c r="D30" s="14">
        <f>B30-COUNTIFS('架電リスト'!$C$5:$C$64,A30,'架電リスト'!$J$5:$J$64,"未架電")-COUNTIFS('架電リスト'!$C$5:$C$64,A30,'架電リスト'!$J$5:$J$64,"")</f>
        <v/>
      </c>
      <c r="E30" s="14">
        <f>COUNTIFS('架電リスト'!$C$5:$C$64,$A30,'架電リスト'!$J$5:$J$64,"不在・折返し待ち")</f>
        <v/>
      </c>
      <c r="F30" s="14">
        <f>COUNTIFS('架電リスト'!$C$5:$C$64,$A30,'架電リスト'!$J$5:$J$64,"担当者不在")</f>
        <v/>
      </c>
      <c r="G30" s="14">
        <f>COUNTIFS('架電リスト'!$C$5:$C$64,$A30,'架電リスト'!$J$5:$J$64,"資料送付")</f>
        <v/>
      </c>
      <c r="H30" s="14">
        <f>COUNTIFS('架電リスト'!$C$5:$C$64,$A30,'架電リスト'!$J$5:$J$64,"アポ獲得")</f>
        <v/>
      </c>
      <c r="I30" s="14">
        <f>COUNTIFS('架電リスト'!$C$5:$C$64,$A30,'架電リスト'!$J$5:$J$64,"検討中")</f>
        <v/>
      </c>
      <c r="J30" s="14">
        <f>COUNTIFS('架電リスト'!$C$5:$C$64,$A30,'架電リスト'!$J$5:$J$64,"NG")</f>
        <v/>
      </c>
      <c r="K30" s="14">
        <f>COUNTIFS('架電リスト'!$C$5:$C$64,$A30,'架電リスト'!$J$5:$J$64,"番号不明")</f>
        <v/>
      </c>
    </row>
    <row r="31">
      <c r="A31" s="15" t="inlineStr">
        <is>
          <t>合計</t>
        </is>
      </c>
      <c r="B31" s="15">
        <f>SUM(B4:B30)</f>
        <v/>
      </c>
      <c r="C31" s="15">
        <f>SUM(C4:C30)</f>
        <v/>
      </c>
      <c r="D31" s="15">
        <f>SUM(D4:D30)</f>
        <v/>
      </c>
      <c r="E31" s="15">
        <f>SUM(E4:E30)</f>
        <v/>
      </c>
      <c r="F31" s="15">
        <f>SUM(F4:F30)</f>
        <v/>
      </c>
      <c r="G31" s="15">
        <f>SUM(G4:G30)</f>
        <v/>
      </c>
      <c r="H31" s="15">
        <f>SUM(H4:H30)</f>
        <v/>
      </c>
      <c r="I31" s="15">
        <f>SUM(I4:I30)</f>
        <v/>
      </c>
      <c r="J31" s="15">
        <f>SUM(J4:J30)</f>
        <v/>
      </c>
      <c r="K31" s="15">
        <f>SUM(K4:K30)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・出典：ご提供いただいた学校ネットの検索結果（私立高校・福岡県、60校）の貼り付けデータ。並び順は都道府県ごとに元データの掲載順です。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2026-10-14T02:03:40Z</dcterms:created>
  <dcterms:modified xsi:type="dcterms:W3CDTF">2026-10-14T02:03:40Z</dcterms:modified>
</cp:coreProperties>
</file>