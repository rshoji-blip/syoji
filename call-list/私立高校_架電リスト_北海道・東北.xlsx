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  <sheet name="都道府県別集計" sheetId="2" state="visible" r:id="rId2"/>
    <sheet name="使い方・注意事項" sheetId="3" state="visible" r:id="rId3"/>
  </sheets>
  <definedNames>
    <definedName name="_xlnm._FilterDatabase" localSheetId="0" hidden="1">'架電リスト'!$A$4:$O$144</definedName>
    <definedName name="_xlnm.Print_Titles" localSheetId="0">'架電リスト'!$4:$4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10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color rgb="00595959"/>
      <sz val="9"/>
    </font>
    <font>
      <name val="Yu Gothic"/>
      <b val="1"/>
      <color rgb="00FFFFFF"/>
      <sz val="10"/>
    </font>
    <font>
      <name val="Yu Gothic"/>
      <sz val="10"/>
    </font>
    <font>
      <name val="Yu Gothic"/>
      <color rgb="00595959"/>
      <sz val="8"/>
    </font>
    <font>
      <name val="Yu Gothic"/>
      <sz val="9"/>
    </font>
    <font>
      <name val="Yu Gothic"/>
      <color rgb="000563C1"/>
      <sz val="10"/>
      <u val="single"/>
    </font>
    <font>
      <name val="Yu Gothic"/>
      <b val="1"/>
      <sz val="10"/>
    </font>
    <font>
      <name val="Yu Gothic"/>
      <b val="1"/>
      <sz val="1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49" fontId="4" fillId="0" borderId="1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164" fontId="4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49" fontId="4" fillId="3" borderId="1" applyAlignment="1" pivotButton="0" quotePrefix="0" xfId="0">
      <alignment vertical="center"/>
    </xf>
    <xf numFmtId="0" fontId="4" fillId="6" borderId="1" applyAlignment="1" pivotButton="0" quotePrefix="0" xfId="0">
      <alignment horizontal="center" vertical="center"/>
    </xf>
    <xf numFmtId="0" fontId="4" fillId="0" borderId="1" pivotButton="0" quotePrefix="0" xfId="0"/>
    <xf numFmtId="0" fontId="8" fillId="7" borderId="1" pivotButton="0" quotePrefix="0" xfId="0"/>
    <xf numFmtId="0" fontId="9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ont>
        <color rgb="00808080"/>
      </font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akkou.net/kou/view/index_300269.html" TargetMode="External" Id="rId1" /><Relationship Type="http://schemas.openxmlformats.org/officeDocument/2006/relationships/hyperlink" Target="https://www.gakkou.net/kou/view/index_300224.html" TargetMode="External" Id="rId2" /><Relationship Type="http://schemas.openxmlformats.org/officeDocument/2006/relationships/hyperlink" Target="https://www.gakkou.net/kou/view/index_300215.html" TargetMode="External" Id="rId3" /><Relationship Type="http://schemas.openxmlformats.org/officeDocument/2006/relationships/hyperlink" Target="https://www.gakkou.net/kou/view/index_300258.html" TargetMode="External" Id="rId4" /><Relationship Type="http://schemas.openxmlformats.org/officeDocument/2006/relationships/hyperlink" Target="https://www.gakkou.net/kou/view/index_300257.html" TargetMode="External" Id="rId5" /><Relationship Type="http://schemas.openxmlformats.org/officeDocument/2006/relationships/hyperlink" Target="https://www.gakkou.net/kou/view/index_300035.html" TargetMode="External" Id="rId6" /><Relationship Type="http://schemas.openxmlformats.org/officeDocument/2006/relationships/hyperlink" Target="https://www.gakkou.net/kou/view/index_306474.html" TargetMode="External" Id="rId7" /><Relationship Type="http://schemas.openxmlformats.org/officeDocument/2006/relationships/hyperlink" Target="https://www.gakkou.net/kou/view/index_300073.html" TargetMode="External" Id="rId8" /><Relationship Type="http://schemas.openxmlformats.org/officeDocument/2006/relationships/hyperlink" Target="https://www.gakkou.net/kou/view/index_300077.html" TargetMode="External" Id="rId9" /><Relationship Type="http://schemas.openxmlformats.org/officeDocument/2006/relationships/hyperlink" Target="https://www.gakkou.net/kou/view/index_300273.html" TargetMode="External" Id="rId10" /><Relationship Type="http://schemas.openxmlformats.org/officeDocument/2006/relationships/hyperlink" Target="https://www.gakkou.net/kou/view/index_300279.html" TargetMode="External" Id="rId11" /><Relationship Type="http://schemas.openxmlformats.org/officeDocument/2006/relationships/hyperlink" Target="https://www.gakkou.net/kou/view/index_300107.html" TargetMode="External" Id="rId12" /><Relationship Type="http://schemas.openxmlformats.org/officeDocument/2006/relationships/hyperlink" Target="https://www.gakkou.net/kou/view/index_300332.html" TargetMode="External" Id="rId13" /><Relationship Type="http://schemas.openxmlformats.org/officeDocument/2006/relationships/hyperlink" Target="https://www.gakkou.net/kou/view/index_306309.html" TargetMode="External" Id="rId14" /><Relationship Type="http://schemas.openxmlformats.org/officeDocument/2006/relationships/hyperlink" Target="https://www.gakkou.net/kou/view/index_300119.html" TargetMode="External" Id="rId15" /><Relationship Type="http://schemas.openxmlformats.org/officeDocument/2006/relationships/hyperlink" Target="https://www.gakkou.net/kou/view/index_300030.html" TargetMode="External" Id="rId16" /><Relationship Type="http://schemas.openxmlformats.org/officeDocument/2006/relationships/hyperlink" Target="https://www.gakkou.net/kou/view/index_300032.html" TargetMode="External" Id="rId17" /><Relationship Type="http://schemas.openxmlformats.org/officeDocument/2006/relationships/hyperlink" Target="https://www.gakkou.net/kou/view/index_300015.html" TargetMode="External" Id="rId18" /><Relationship Type="http://schemas.openxmlformats.org/officeDocument/2006/relationships/hyperlink" Target="https://www.gakkou.net/kou/view/index_306723.html" TargetMode="External" Id="rId19" /><Relationship Type="http://schemas.openxmlformats.org/officeDocument/2006/relationships/hyperlink" Target="https://www.gakkou.net/kou/view/index_300147.html" TargetMode="External" Id="rId20" /><Relationship Type="http://schemas.openxmlformats.org/officeDocument/2006/relationships/hyperlink" Target="https://www.gakkou.net/kou/view/index_300153.html" TargetMode="External" Id="rId21" /><Relationship Type="http://schemas.openxmlformats.org/officeDocument/2006/relationships/hyperlink" Target="https://www.gakkou.net/kou/view/index_300170.html" TargetMode="External" Id="rId22" /><Relationship Type="http://schemas.openxmlformats.org/officeDocument/2006/relationships/hyperlink" Target="https://www.gakkou.net/kou/view/index_300159.html" TargetMode="External" Id="rId23" /><Relationship Type="http://schemas.openxmlformats.org/officeDocument/2006/relationships/hyperlink" Target="https://www.gakkou.net/kou/view/index_300031.html" TargetMode="External" Id="rId24" /><Relationship Type="http://schemas.openxmlformats.org/officeDocument/2006/relationships/hyperlink" Target="https://www.gakkou.net/kou/view/index_300178.html" TargetMode="External" Id="rId25" /><Relationship Type="http://schemas.openxmlformats.org/officeDocument/2006/relationships/hyperlink" Target="https://www.gakkou.net/kou/view/index_300142.html" TargetMode="External" Id="rId26" /><Relationship Type="http://schemas.openxmlformats.org/officeDocument/2006/relationships/hyperlink" Target="https://www.gakkou.net/kou/view/index_300290.html" TargetMode="External" Id="rId27" /><Relationship Type="http://schemas.openxmlformats.org/officeDocument/2006/relationships/hyperlink" Target="https://www.gakkou.net/kou/view/index_306406.html" TargetMode="External" Id="rId28" /><Relationship Type="http://schemas.openxmlformats.org/officeDocument/2006/relationships/hyperlink" Target="https://www.gakkou.net/kou/view/index_300044.html" TargetMode="External" Id="rId29" /><Relationship Type="http://schemas.openxmlformats.org/officeDocument/2006/relationships/hyperlink" Target="https://www.gakkou.net/kou/view/index_300017.html" TargetMode="External" Id="rId30" /><Relationship Type="http://schemas.openxmlformats.org/officeDocument/2006/relationships/hyperlink" Target="https://www.gakkou.net/kou/view/index_300122.html" TargetMode="External" Id="rId31" /><Relationship Type="http://schemas.openxmlformats.org/officeDocument/2006/relationships/hyperlink" Target="https://www.gakkou.net/kou/view/index_306787.html" TargetMode="External" Id="rId32" /><Relationship Type="http://schemas.openxmlformats.org/officeDocument/2006/relationships/hyperlink" Target="https://www.gakkou.net/kou/view/index_300050.html" TargetMode="External" Id="rId33" /><Relationship Type="http://schemas.openxmlformats.org/officeDocument/2006/relationships/hyperlink" Target="https://www.gakkou.net/kou/view/index_300034.html" TargetMode="External" Id="rId34" /><Relationship Type="http://schemas.openxmlformats.org/officeDocument/2006/relationships/hyperlink" Target="https://www.gakkou.net/kou/view/index_300045.html" TargetMode="External" Id="rId35" /><Relationship Type="http://schemas.openxmlformats.org/officeDocument/2006/relationships/hyperlink" Target="https://www.gakkou.net/kou/view/index_300055.html" TargetMode="External" Id="rId36" /><Relationship Type="http://schemas.openxmlformats.org/officeDocument/2006/relationships/hyperlink" Target="https://www.gakkou.net/kou/view/index_300054.html" TargetMode="External" Id="rId37" /><Relationship Type="http://schemas.openxmlformats.org/officeDocument/2006/relationships/hyperlink" Target="https://www.gakkou.net/kou/view/index_300047.html" TargetMode="External" Id="rId38" /><Relationship Type="http://schemas.openxmlformats.org/officeDocument/2006/relationships/hyperlink" Target="https://www.gakkou.net/kou/view/index_300154.html" TargetMode="External" Id="rId39" /><Relationship Type="http://schemas.openxmlformats.org/officeDocument/2006/relationships/hyperlink" Target="https://www.gakkou.net/kou/view/index_300301.html" TargetMode="External" Id="rId40" /><Relationship Type="http://schemas.openxmlformats.org/officeDocument/2006/relationships/hyperlink" Target="https://www.gakkou.net/kou/view/index_300076.html" TargetMode="External" Id="rId41" /><Relationship Type="http://schemas.openxmlformats.org/officeDocument/2006/relationships/hyperlink" Target="https://www.gakkou.net/kou/view/index_300148.html" TargetMode="External" Id="rId42" /><Relationship Type="http://schemas.openxmlformats.org/officeDocument/2006/relationships/hyperlink" Target="https://www.gakkou.net/kou/view/index_300012.html" TargetMode="External" Id="rId43" /><Relationship Type="http://schemas.openxmlformats.org/officeDocument/2006/relationships/hyperlink" Target="https://www.gakkou.net/kou/view/index_300066.html" TargetMode="External" Id="rId44" /><Relationship Type="http://schemas.openxmlformats.org/officeDocument/2006/relationships/hyperlink" Target="https://www.gakkou.net/kou/view/index_300169.html" TargetMode="External" Id="rId45" /><Relationship Type="http://schemas.openxmlformats.org/officeDocument/2006/relationships/hyperlink" Target="https://www.gakkou.net/kou/view/index_300174.html" TargetMode="External" Id="rId46" /><Relationship Type="http://schemas.openxmlformats.org/officeDocument/2006/relationships/hyperlink" Target="https://www.gakkou.net/kou/view/index_300173.html" TargetMode="External" Id="rId47" /><Relationship Type="http://schemas.openxmlformats.org/officeDocument/2006/relationships/hyperlink" Target="https://www.gakkou.net/kou/view/index_300105.html" TargetMode="External" Id="rId48" /><Relationship Type="http://schemas.openxmlformats.org/officeDocument/2006/relationships/hyperlink" Target="https://www.gakkou.net/kou/view/index_300175.html" TargetMode="External" Id="rId49" /><Relationship Type="http://schemas.openxmlformats.org/officeDocument/2006/relationships/hyperlink" Target="https://www.gakkou.net/kou/view/index_306548.html" TargetMode="External" Id="rId50" /><Relationship Type="http://schemas.openxmlformats.org/officeDocument/2006/relationships/hyperlink" Target="https://www.gakkou.net/kou/view/index_300137.html" TargetMode="External" Id="rId51" /><Relationship Type="http://schemas.openxmlformats.org/officeDocument/2006/relationships/hyperlink" Target="https://www.gakkou.net/kou/view/index_300021.html" TargetMode="External" Id="rId52" /><Relationship Type="http://schemas.openxmlformats.org/officeDocument/2006/relationships/hyperlink" Target="https://www.gakkou.net/kou/view/index_300202.html" TargetMode="External" Id="rId53" /><Relationship Type="http://schemas.openxmlformats.org/officeDocument/2006/relationships/hyperlink" Target="https://www.gakkou.net/kou/view/index_300201.html" TargetMode="External" Id="rId54" /><Relationship Type="http://schemas.openxmlformats.org/officeDocument/2006/relationships/hyperlink" Target="https://www.gakkou.net/kou/view/index_300355.html" TargetMode="External" Id="rId55" /><Relationship Type="http://schemas.openxmlformats.org/officeDocument/2006/relationships/hyperlink" Target="https://www.gakkou.net/kou/view/index_300402.html" TargetMode="External" Id="rId56" /><Relationship Type="http://schemas.openxmlformats.org/officeDocument/2006/relationships/hyperlink" Target="https://www.gakkou.net/kou/view/index_300394.html" TargetMode="External" Id="rId57" /><Relationship Type="http://schemas.openxmlformats.org/officeDocument/2006/relationships/hyperlink" Target="https://www.gakkou.net/kou/view/index_300406.html" TargetMode="External" Id="rId58" /><Relationship Type="http://schemas.openxmlformats.org/officeDocument/2006/relationships/hyperlink" Target="https://www.gakkou.net/kou/view/index_300449.html" TargetMode="External" Id="rId59" /><Relationship Type="http://schemas.openxmlformats.org/officeDocument/2006/relationships/hyperlink" Target="https://www.gakkou.net/kou/view/index_300441.html" TargetMode="External" Id="rId60" /><Relationship Type="http://schemas.openxmlformats.org/officeDocument/2006/relationships/hyperlink" Target="https://www.gakkou.net/kou/view/index_300453.html" TargetMode="External" Id="rId61" /><Relationship Type="http://schemas.openxmlformats.org/officeDocument/2006/relationships/hyperlink" Target="https://www.gakkou.net/kou/view/index_300489.html" TargetMode="External" Id="rId62" /><Relationship Type="http://schemas.openxmlformats.org/officeDocument/2006/relationships/hyperlink" Target="https://www.gakkou.net/kou/view/index_300405.html" TargetMode="External" Id="rId63" /><Relationship Type="http://schemas.openxmlformats.org/officeDocument/2006/relationships/hyperlink" Target="https://www.gakkou.net/kou/view/index_300392.html" TargetMode="External" Id="rId64" /><Relationship Type="http://schemas.openxmlformats.org/officeDocument/2006/relationships/hyperlink" Target="https://www.gakkou.net/kou/view/index_300439.html" TargetMode="External" Id="rId65" /><Relationship Type="http://schemas.openxmlformats.org/officeDocument/2006/relationships/hyperlink" Target="https://www.gakkou.net/kou/view/index_300413.html" TargetMode="External" Id="rId66" /><Relationship Type="http://schemas.openxmlformats.org/officeDocument/2006/relationships/hyperlink" Target="https://www.gakkou.net/kou/view/index_306426.html" TargetMode="External" Id="rId67" /><Relationship Type="http://schemas.openxmlformats.org/officeDocument/2006/relationships/hyperlink" Target="https://www.gakkou.net/kou/view/index_300418.html" TargetMode="External" Id="rId68" /><Relationship Type="http://schemas.openxmlformats.org/officeDocument/2006/relationships/hyperlink" Target="https://www.gakkou.net/kou/view/index_300415.html" TargetMode="External" Id="rId69" /><Relationship Type="http://schemas.openxmlformats.org/officeDocument/2006/relationships/hyperlink" Target="https://www.gakkou.net/kou/view/index_300480.html" TargetMode="External" Id="rId70" /><Relationship Type="http://schemas.openxmlformats.org/officeDocument/2006/relationships/hyperlink" Target="https://www.gakkou.net/kou/view/index_300440.html" TargetMode="External" Id="rId71" /><Relationship Type="http://schemas.openxmlformats.org/officeDocument/2006/relationships/hyperlink" Target="https://www.gakkou.net/kou/view/index_300438.html" TargetMode="External" Id="rId72" /><Relationship Type="http://schemas.openxmlformats.org/officeDocument/2006/relationships/hyperlink" Target="https://www.gakkou.net/kou/view/index_300522.html" TargetMode="External" Id="rId73" /><Relationship Type="http://schemas.openxmlformats.org/officeDocument/2006/relationships/hyperlink" Target="https://www.gakkou.net/kou/view/index_300521.html" TargetMode="External" Id="rId74" /><Relationship Type="http://schemas.openxmlformats.org/officeDocument/2006/relationships/hyperlink" Target="https://www.gakkou.net/kou/view/index_300499.html" TargetMode="External" Id="rId75" /><Relationship Type="http://schemas.openxmlformats.org/officeDocument/2006/relationships/hyperlink" Target="https://www.gakkou.net/kou/view/index_300496.html" TargetMode="External" Id="rId76" /><Relationship Type="http://schemas.openxmlformats.org/officeDocument/2006/relationships/hyperlink" Target="https://www.gakkou.net/kou/view/index_300506.html" TargetMode="External" Id="rId77" /><Relationship Type="http://schemas.openxmlformats.org/officeDocument/2006/relationships/hyperlink" Target="https://www.gakkou.net/kou/view/index_300544.html" TargetMode="External" Id="rId78" /><Relationship Type="http://schemas.openxmlformats.org/officeDocument/2006/relationships/hyperlink" Target="https://www.gakkou.net/kou/view/index_300548.html" TargetMode="External" Id="rId79" /><Relationship Type="http://schemas.openxmlformats.org/officeDocument/2006/relationships/hyperlink" Target="https://www.gakkou.net/kou/view/index_300536.html" TargetMode="External" Id="rId80" /><Relationship Type="http://schemas.openxmlformats.org/officeDocument/2006/relationships/hyperlink" Target="https://www.gakkou.net/kou/view/index_300495.html" TargetMode="External" Id="rId81" /><Relationship Type="http://schemas.openxmlformats.org/officeDocument/2006/relationships/hyperlink" Target="https://www.gakkou.net/kou/view/index_300516.html" TargetMode="External" Id="rId82" /><Relationship Type="http://schemas.openxmlformats.org/officeDocument/2006/relationships/hyperlink" Target="https://www.gakkou.net/kou/view/index_300503.html" TargetMode="External" Id="rId83" /><Relationship Type="http://schemas.openxmlformats.org/officeDocument/2006/relationships/hyperlink" Target="https://www.gakkou.net/kou/view/index_300505.html" TargetMode="External" Id="rId84" /><Relationship Type="http://schemas.openxmlformats.org/officeDocument/2006/relationships/hyperlink" Target="https://www.gakkou.net/kou/view/index_300504.html" TargetMode="External" Id="rId85" /><Relationship Type="http://schemas.openxmlformats.org/officeDocument/2006/relationships/hyperlink" Target="https://www.gakkou.net/kou/view/index_300725.html" TargetMode="External" Id="rId86" /><Relationship Type="http://schemas.openxmlformats.org/officeDocument/2006/relationships/hyperlink" Target="https://www.gakkou.net/kou/view/index_300616.html" TargetMode="External" Id="rId87" /><Relationship Type="http://schemas.openxmlformats.org/officeDocument/2006/relationships/hyperlink" Target="https://www.gakkou.net/kou/view/index_300657.html" TargetMode="External" Id="rId88" /><Relationship Type="http://schemas.openxmlformats.org/officeDocument/2006/relationships/hyperlink" Target="https://www.gakkou.net/kou/view/index_300617.html" TargetMode="External" Id="rId89" /><Relationship Type="http://schemas.openxmlformats.org/officeDocument/2006/relationships/hyperlink" Target="https://www.gakkou.net/kou/view/index_300654.html" TargetMode="External" Id="rId90" /><Relationship Type="http://schemas.openxmlformats.org/officeDocument/2006/relationships/hyperlink" Target="https://www.gakkou.net/kou/view/index_300651.html" TargetMode="External" Id="rId91" /><Relationship Type="http://schemas.openxmlformats.org/officeDocument/2006/relationships/hyperlink" Target="https://www.gakkou.net/kou/view/index_300608.html" TargetMode="External" Id="rId92" /><Relationship Type="http://schemas.openxmlformats.org/officeDocument/2006/relationships/hyperlink" Target="https://www.gakkou.net/kou/view/index_306757.html" TargetMode="External" Id="rId93" /><Relationship Type="http://schemas.openxmlformats.org/officeDocument/2006/relationships/hyperlink" Target="https://www.gakkou.net/kou/view/index_300625.html" TargetMode="External" Id="rId94" /><Relationship Type="http://schemas.openxmlformats.org/officeDocument/2006/relationships/hyperlink" Target="https://www.gakkou.net/kou/view/index_300609.html" TargetMode="External" Id="rId95" /><Relationship Type="http://schemas.openxmlformats.org/officeDocument/2006/relationships/hyperlink" Target="https://www.gakkou.net/kou/view/index_300632.html" TargetMode="External" Id="rId96" /><Relationship Type="http://schemas.openxmlformats.org/officeDocument/2006/relationships/hyperlink" Target="https://www.gakkou.net/kou/view/index_300623.html" TargetMode="External" Id="rId97" /><Relationship Type="http://schemas.openxmlformats.org/officeDocument/2006/relationships/hyperlink" Target="https://www.gakkou.net/kou/view/index_300641.html" TargetMode="External" Id="rId98" /><Relationship Type="http://schemas.openxmlformats.org/officeDocument/2006/relationships/hyperlink" Target="https://www.gakkou.net/kou/view/index_300698.html" TargetMode="External" Id="rId99" /><Relationship Type="http://schemas.openxmlformats.org/officeDocument/2006/relationships/hyperlink" Target="https://www.gakkou.net/kou/view/index_300607.html" TargetMode="External" Id="rId100" /><Relationship Type="http://schemas.openxmlformats.org/officeDocument/2006/relationships/hyperlink" Target="https://www.gakkou.net/kou/view/index_300704.html" TargetMode="External" Id="rId101" /><Relationship Type="http://schemas.openxmlformats.org/officeDocument/2006/relationships/hyperlink" Target="https://www.gakkou.net/kou/view/index_300726.html" TargetMode="External" Id="rId102" /><Relationship Type="http://schemas.openxmlformats.org/officeDocument/2006/relationships/hyperlink" Target="https://www.gakkou.net/kou/view/index_300626.html" TargetMode="External" Id="rId103" /><Relationship Type="http://schemas.openxmlformats.org/officeDocument/2006/relationships/hyperlink" Target="https://www.gakkou.net/kou/view/index_300765.html" TargetMode="External" Id="rId104" /><Relationship Type="http://schemas.openxmlformats.org/officeDocument/2006/relationships/hyperlink" Target="https://www.gakkou.net/kou/view/index_300744.html" TargetMode="External" Id="rId105" /><Relationship Type="http://schemas.openxmlformats.org/officeDocument/2006/relationships/hyperlink" Target="https://www.gakkou.net/kou/view/index_300742.html" TargetMode="External" Id="rId106" /><Relationship Type="http://schemas.openxmlformats.org/officeDocument/2006/relationships/hyperlink" Target="https://www.gakkou.net/kou/view/index_300733.html" TargetMode="External" Id="rId107" /><Relationship Type="http://schemas.openxmlformats.org/officeDocument/2006/relationships/hyperlink" Target="https://www.gakkou.net/kou/view/index_300734.html" TargetMode="External" Id="rId108" /><Relationship Type="http://schemas.openxmlformats.org/officeDocument/2006/relationships/hyperlink" Target="https://www.gakkou.net/kou/view/index_300872.html" TargetMode="External" Id="rId109" /><Relationship Type="http://schemas.openxmlformats.org/officeDocument/2006/relationships/hyperlink" Target="https://www.gakkou.net/kou/view/index_300830.html" TargetMode="External" Id="rId110" /><Relationship Type="http://schemas.openxmlformats.org/officeDocument/2006/relationships/hyperlink" Target="https://www.gakkou.net/kou/view/index_300864.html" TargetMode="External" Id="rId111" /><Relationship Type="http://schemas.openxmlformats.org/officeDocument/2006/relationships/hyperlink" Target="https://www.gakkou.net/kou/view/index_300847.html" TargetMode="External" Id="rId112" /><Relationship Type="http://schemas.openxmlformats.org/officeDocument/2006/relationships/hyperlink" Target="https://www.gakkou.net/kou/view/index_300842.html" TargetMode="External" Id="rId113" /><Relationship Type="http://schemas.openxmlformats.org/officeDocument/2006/relationships/hyperlink" Target="https://www.gakkou.net/kou/view/index_300851.html" TargetMode="External" Id="rId114" /><Relationship Type="http://schemas.openxmlformats.org/officeDocument/2006/relationships/hyperlink" Target="https://www.gakkou.net/kou/view/index_300822.html" TargetMode="External" Id="rId115" /><Relationship Type="http://schemas.openxmlformats.org/officeDocument/2006/relationships/hyperlink" Target="https://www.gakkou.net/kou/view/index_300816.html" TargetMode="External" Id="rId116" /><Relationship Type="http://schemas.openxmlformats.org/officeDocument/2006/relationships/hyperlink" Target="https://www.gakkou.net/kou/view/index_300823.html" TargetMode="External" Id="rId117" /><Relationship Type="http://schemas.openxmlformats.org/officeDocument/2006/relationships/hyperlink" Target="https://www.gakkou.net/kou/view/index_300857.html" TargetMode="External" Id="rId118" /><Relationship Type="http://schemas.openxmlformats.org/officeDocument/2006/relationships/hyperlink" Target="https://www.gakkou.net/kou/view/index_300807.html" TargetMode="External" Id="rId119" /><Relationship Type="http://schemas.openxmlformats.org/officeDocument/2006/relationships/hyperlink" Target="https://www.gakkou.net/kou/view/index_300820.html" TargetMode="External" Id="rId120" /><Relationship Type="http://schemas.openxmlformats.org/officeDocument/2006/relationships/hyperlink" Target="https://www.gakkou.net/kou/view/index_300817.html" TargetMode="External" Id="rId121" /><Relationship Type="http://schemas.openxmlformats.org/officeDocument/2006/relationships/hyperlink" Target="https://www.gakkou.net/kou/view/index_300831.html" TargetMode="External" Id="rId122" /><Relationship Type="http://schemas.openxmlformats.org/officeDocument/2006/relationships/hyperlink" Target="https://www.gakkou.net/kou/view/index_306483.html" TargetMode="External" Id="rId123" /><Relationship Type="http://schemas.openxmlformats.org/officeDocument/2006/relationships/hyperlink" Target="https://www.gakkou.net/kou/view/index_300948.html" TargetMode="External" Id="rId124" /><Relationship Type="http://schemas.openxmlformats.org/officeDocument/2006/relationships/hyperlink" Target="https://www.gakkou.net/kou/view/index_300955.html" TargetMode="External" Id="rId125" /><Relationship Type="http://schemas.openxmlformats.org/officeDocument/2006/relationships/hyperlink" Target="https://www.gakkou.net/kou/view/index_300932.html" TargetMode="External" Id="rId126" /><Relationship Type="http://schemas.openxmlformats.org/officeDocument/2006/relationships/hyperlink" Target="https://www.gakkou.net/kou/view/index_306433.html" TargetMode="External" Id="rId127" /><Relationship Type="http://schemas.openxmlformats.org/officeDocument/2006/relationships/hyperlink" Target="https://www.gakkou.net/kou/view/index_300985.html" TargetMode="External" Id="rId128" /><Relationship Type="http://schemas.openxmlformats.org/officeDocument/2006/relationships/hyperlink" Target="https://www.gakkou.net/kou/view/index_306711.html" TargetMode="External" Id="rId129" /><Relationship Type="http://schemas.openxmlformats.org/officeDocument/2006/relationships/hyperlink" Target="https://www.gakkou.net/kou/view/index_300942.html" TargetMode="External" Id="rId130" /><Relationship Type="http://schemas.openxmlformats.org/officeDocument/2006/relationships/hyperlink" Target="https://www.gakkou.net/kou/view/index_300902.html" TargetMode="External" Id="rId131" /><Relationship Type="http://schemas.openxmlformats.org/officeDocument/2006/relationships/hyperlink" Target="https://www.gakkou.net/kou/view/index_300900.html" TargetMode="External" Id="rId132" /><Relationship Type="http://schemas.openxmlformats.org/officeDocument/2006/relationships/hyperlink" Target="https://www.gakkou.net/kou/view/index_300921.html" TargetMode="External" Id="rId133" /><Relationship Type="http://schemas.openxmlformats.org/officeDocument/2006/relationships/hyperlink" Target="https://www.gakkou.net/kou/view/index_300947.html" TargetMode="External" Id="rId134" /><Relationship Type="http://schemas.openxmlformats.org/officeDocument/2006/relationships/hyperlink" Target="https://www.gakkou.net/kou/view/index_300889.html" TargetMode="External" Id="rId135" /><Relationship Type="http://schemas.openxmlformats.org/officeDocument/2006/relationships/hyperlink" Target="https://www.gakkou.net/kou/view/index_300919.html" TargetMode="External" Id="rId136" /><Relationship Type="http://schemas.openxmlformats.org/officeDocument/2006/relationships/hyperlink" Target="https://www.gakkou.net/kou/view/index_300923.html" TargetMode="External" Id="rId137" /><Relationship Type="http://schemas.openxmlformats.org/officeDocument/2006/relationships/hyperlink" Target="https://www.gakkou.net/kou/view/index_306413.html" TargetMode="External" Id="rId138" /><Relationship Type="http://schemas.openxmlformats.org/officeDocument/2006/relationships/hyperlink" Target="https://www.gakkou.net/kou/view/index_300906.html" TargetMode="External" Id="rId139" /><Relationship Type="http://schemas.openxmlformats.org/officeDocument/2006/relationships/hyperlink" Target="https://www.gakkou.net/kou/view/index_300904.html" TargetMode="External" Id="rId140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44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8" customWidth="1" min="4" max="4"/>
    <col width="15" customWidth="1" min="5" max="5"/>
    <col width="9" customWidth="1" min="6" max="6"/>
    <col width="16" customWidth="1" min="7" max="7"/>
    <col width="12" customWidth="1" min="8" max="8"/>
    <col width="12" customWidth="1" min="9" max="9"/>
    <col width="16" customWidth="1" min="10" max="10"/>
    <col width="12" customWidth="1" min="11" max="11"/>
    <col width="30" customWidth="1" min="12" max="12"/>
    <col width="46" customWidth="1" min="13" max="13"/>
    <col width="40" customWidth="1" min="14" max="14"/>
    <col width="12" customWidth="1" min="15" max="15"/>
  </cols>
  <sheetData>
    <row r="1">
      <c r="A1" s="1" t="inlineStr">
        <is>
          <t>私立高等学校 架電リスト（北海道・東北7道県／140校）</t>
        </is>
      </c>
    </row>
    <row r="2">
      <c r="A2" s="2" t="inlineStr">
        <is>
          <t>出典：学校ネット 私立高校検索結果（ご提供の貼り付けデータ）。電話番号は2026年10月にWeb検索で調査（確度はF列、出典はN列）。架電前に「確度：中・低」の番号は念のためご確認ください。</t>
        </is>
      </c>
    </row>
    <row r="4">
      <c r="A4" s="3" t="inlineStr">
        <is>
          <t>No.</t>
        </is>
      </c>
      <c r="B4" s="3" t="inlineStr">
        <is>
          <t>都道府県</t>
        </is>
      </c>
      <c r="C4" s="3" t="inlineStr">
        <is>
          <t>所在地（市区町村）</t>
        </is>
      </c>
      <c r="D4" s="3" t="inlineStr">
        <is>
          <t>学校名</t>
        </is>
      </c>
      <c r="E4" s="3" t="inlineStr">
        <is>
          <t>電話番号</t>
        </is>
      </c>
      <c r="F4" s="3" t="inlineStr">
        <is>
          <t>番号の確度</t>
        </is>
      </c>
      <c r="G4" s="3" t="inlineStr">
        <is>
          <t>学科</t>
        </is>
      </c>
      <c r="H4" s="3" t="inlineStr">
        <is>
          <t>架電日</t>
        </is>
      </c>
      <c r="I4" s="3" t="inlineStr">
        <is>
          <t>担当者</t>
        </is>
      </c>
      <c r="J4" s="3" t="inlineStr">
        <is>
          <t>架電結果</t>
        </is>
      </c>
      <c r="K4" s="3" t="inlineStr">
        <is>
          <t>次回連絡日</t>
        </is>
      </c>
      <c r="L4" s="3" t="inlineStr">
        <is>
          <t>メモ</t>
        </is>
      </c>
      <c r="M4" s="3" t="inlineStr">
        <is>
          <t>電話番号の補足</t>
        </is>
      </c>
      <c r="N4" s="3" t="inlineStr">
        <is>
          <t>電話番号の出典</t>
        </is>
      </c>
      <c r="O4" s="3" t="inlineStr">
        <is>
          <t>学校情報ページ</t>
        </is>
      </c>
    </row>
    <row r="5">
      <c r="A5" s="4" t="n">
        <v>1</v>
      </c>
      <c r="B5" s="5" t="inlineStr">
        <is>
          <t>北海道</t>
        </is>
      </c>
      <c r="C5" s="5" t="inlineStr">
        <is>
          <t>旭川市</t>
        </is>
      </c>
      <c r="D5" s="5" t="inlineStr">
        <is>
          <t>旭川志峯高等学校</t>
        </is>
      </c>
      <c r="E5" s="6" t="inlineStr">
        <is>
          <t>0166-48-1221</t>
        </is>
      </c>
      <c r="F5" s="7" t="inlineStr">
        <is>
          <t>高</t>
        </is>
      </c>
      <c r="G5" s="5" t="inlineStr">
        <is>
          <t>普通科</t>
        </is>
      </c>
      <c r="H5" s="8" t="n"/>
      <c r="I5" s="9" t="n"/>
      <c r="J5" s="9" t="inlineStr">
        <is>
          <t>未架電</t>
        </is>
      </c>
      <c r="K5" s="8" t="n"/>
      <c r="L5" s="9" t="n"/>
      <c r="M5" s="10" t="inlineStr">
        <is>
          <t>旧称は旭川大学高校。ハローワーク旭川の名簿（R7.6）とJS日本の学校の番号が一致</t>
        </is>
      </c>
      <c r="N5" s="11" t="inlineStr">
        <is>
          <t>https://jsite.mhlw.go.jp/hokkaido-hellowork/content/contents/002280302.pdf ; https://school.js88.com/scl_h/22052950</t>
        </is>
      </c>
      <c r="O5" s="12" t="inlineStr">
        <is>
          <t>開く</t>
        </is>
      </c>
    </row>
    <row r="6">
      <c r="A6" s="4" t="n">
        <v>2</v>
      </c>
      <c r="B6" s="5" t="inlineStr">
        <is>
          <t>北海道</t>
        </is>
      </c>
      <c r="C6" s="5" t="inlineStr">
        <is>
          <t>旭川市</t>
        </is>
      </c>
      <c r="D6" s="5" t="inlineStr">
        <is>
          <t>旭川実業高等学校</t>
        </is>
      </c>
      <c r="E6" s="6" t="inlineStr">
        <is>
          <t>0166-51-1246</t>
        </is>
      </c>
      <c r="F6" s="7" t="inlineStr">
        <is>
          <t>高</t>
        </is>
      </c>
      <c r="G6" s="5" t="inlineStr">
        <is>
          <t>普通科・専門学科</t>
        </is>
      </c>
      <c r="H6" s="8" t="n"/>
      <c r="I6" s="9" t="n"/>
      <c r="J6" s="9" t="inlineStr">
        <is>
          <t>未架電</t>
        </is>
      </c>
      <c r="K6" s="8" t="n"/>
      <c r="L6" s="9" t="n"/>
      <c r="M6" s="10" t="inlineStr">
        <is>
          <t>ハローワーク名簿とJS日本の学校・みんなの高校情報の番号が一致</t>
        </is>
      </c>
      <c r="N6" s="11" t="inlineStr">
        <is>
          <t>https://jsite.mhlw.go.jp/hokkaido-hellowork/content/contents/002280302.pdf ; https://school.js88.com/scl_h/22052940</t>
        </is>
      </c>
      <c r="O6" s="12" t="inlineStr">
        <is>
          <t>開く</t>
        </is>
      </c>
    </row>
    <row r="7">
      <c r="A7" s="4" t="n">
        <v>3</v>
      </c>
      <c r="B7" s="5" t="inlineStr">
        <is>
          <t>北海道</t>
        </is>
      </c>
      <c r="C7" s="5" t="inlineStr">
        <is>
          <t>旭川市</t>
        </is>
      </c>
      <c r="D7" s="5" t="inlineStr">
        <is>
          <t>旭川藤星高等学校</t>
        </is>
      </c>
      <c r="E7" s="6" t="inlineStr">
        <is>
          <t>0166-51-8125</t>
        </is>
      </c>
      <c r="F7" s="13" t="inlineStr">
        <is>
          <t>中</t>
        </is>
      </c>
      <c r="G7" s="5" t="inlineStr">
        <is>
          <t>普通科</t>
        </is>
      </c>
      <c r="H7" s="8" t="n"/>
      <c r="I7" s="9" t="n"/>
      <c r="J7" s="9" t="inlineStr">
        <is>
          <t>未架電</t>
        </is>
      </c>
      <c r="K7" s="8" t="n"/>
      <c r="L7" s="9" t="n"/>
      <c r="M7" s="10" t="inlineStr">
        <is>
          <t>JS日本の学校のみで確認。公式サイトは asahikawa-tosei.jp</t>
        </is>
      </c>
      <c r="N7" s="11" t="inlineStr">
        <is>
          <t>https://school.js88.com/scl_h/22052920</t>
        </is>
      </c>
      <c r="O7" s="12" t="inlineStr">
        <is>
          <t>開く</t>
        </is>
      </c>
    </row>
    <row r="8">
      <c r="A8" s="4" t="n">
        <v>4</v>
      </c>
      <c r="B8" s="5" t="inlineStr">
        <is>
          <t>北海道</t>
        </is>
      </c>
      <c r="C8" s="5" t="inlineStr">
        <is>
          <t>旭川市</t>
        </is>
      </c>
      <c r="D8" s="5" t="inlineStr">
        <is>
          <t>旭川明成高等学校</t>
        </is>
      </c>
      <c r="E8" s="6" t="inlineStr">
        <is>
          <t>0166-51-3220</t>
        </is>
      </c>
      <c r="F8" s="7" t="inlineStr">
        <is>
          <t>高</t>
        </is>
      </c>
      <c r="G8" s="5" t="inlineStr">
        <is>
          <t>総合学科</t>
        </is>
      </c>
      <c r="H8" s="8" t="n"/>
      <c r="I8" s="9" t="n"/>
      <c r="J8" s="9" t="inlineStr">
        <is>
          <t>未架電</t>
        </is>
      </c>
      <c r="K8" s="8" t="n"/>
      <c r="L8" s="9" t="n"/>
      <c r="M8" s="10" t="inlineStr">
        <is>
          <t>ハローワーク名簿とJS日本の学校の番号が一致</t>
        </is>
      </c>
      <c r="N8" s="11" t="inlineStr">
        <is>
          <t>https://jsite.mhlw.go.jp/hokkaido-hellowork/content/contents/002280302.pdf ; https://school.js88.com/scl_h/22053120</t>
        </is>
      </c>
      <c r="O8" s="12" t="inlineStr">
        <is>
          <t>開く</t>
        </is>
      </c>
    </row>
    <row r="9">
      <c r="A9" s="4" t="n">
        <v>5</v>
      </c>
      <c r="B9" s="5" t="inlineStr">
        <is>
          <t>北海道</t>
        </is>
      </c>
      <c r="C9" s="5" t="inlineStr">
        <is>
          <t>旭川市</t>
        </is>
      </c>
      <c r="D9" s="5" t="inlineStr">
        <is>
          <t>旭川龍谷高等学校</t>
        </is>
      </c>
      <c r="E9" s="6" t="inlineStr">
        <is>
          <t>0166-39-2700</t>
        </is>
      </c>
      <c r="F9" s="7" t="inlineStr">
        <is>
          <t>高</t>
        </is>
      </c>
      <c r="G9" s="5" t="inlineStr">
        <is>
          <t>普通科</t>
        </is>
      </c>
      <c r="H9" s="8" t="n"/>
      <c r="I9" s="9" t="n"/>
      <c r="J9" s="9" t="inlineStr">
        <is>
          <t>未架電</t>
        </is>
      </c>
      <c r="K9" s="8" t="n"/>
      <c r="L9" s="9" t="n"/>
      <c r="M9" s="10" t="inlineStr">
        <is>
          <t>JS日本の学校と道私学協会の資料（2023）の番号が一致</t>
        </is>
      </c>
      <c r="N9" s="11" t="inlineStr">
        <is>
          <t>https://school.js88.com/scl_h/22052930 ; https://www.doshigaku.jp/pdf/2023_transfe_10.pdf</t>
        </is>
      </c>
      <c r="O9" s="12" t="inlineStr">
        <is>
          <t>開く</t>
        </is>
      </c>
    </row>
    <row r="10">
      <c r="A10" s="4" t="n">
        <v>6</v>
      </c>
      <c r="B10" s="5" t="inlineStr">
        <is>
          <t>北海道</t>
        </is>
      </c>
      <c r="C10" s="5" t="inlineStr">
        <is>
          <t>函館市</t>
        </is>
      </c>
      <c r="D10" s="5" t="inlineStr">
        <is>
          <t>遺愛女子高等学校（青山学院大学教育提携校）</t>
        </is>
      </c>
      <c r="E10" s="6" t="inlineStr">
        <is>
          <t>0138-51-0418</t>
        </is>
      </c>
      <c r="F10" s="7" t="inlineStr">
        <is>
          <t>高</t>
        </is>
      </c>
      <c r="G10" s="5" t="inlineStr">
        <is>
          <t>普通科・専門学科</t>
        </is>
      </c>
      <c r="H10" s="8" t="n"/>
      <c r="I10" s="9" t="n"/>
      <c r="J10" s="9" t="inlineStr">
        <is>
          <t>未架電</t>
        </is>
      </c>
      <c r="K10" s="8" t="n"/>
      <c r="L10" s="9" t="n"/>
      <c r="M10" s="10" t="inlineStr">
        <is>
          <t>公式パンフレットで確認。学院の代表番号（中学校と共通）</t>
        </is>
      </c>
      <c r="N10" s="11" t="inlineStr">
        <is>
          <t>https://www.iaijoshi-h.ed.jp/wp-content/uploads/2022/07/2023遺愛女子高校パンフレット.pdf</t>
        </is>
      </c>
      <c r="O10" s="12" t="inlineStr">
        <is>
          <t>開く</t>
        </is>
      </c>
    </row>
    <row r="11">
      <c r="A11" s="4" t="n">
        <v>7</v>
      </c>
      <c r="B11" s="5" t="inlineStr">
        <is>
          <t>北海道</t>
        </is>
      </c>
      <c r="C11" s="5" t="inlineStr">
        <is>
          <t>札幌市豊平区</t>
        </is>
      </c>
      <c r="D11" s="5" t="inlineStr">
        <is>
          <t>池上学院高等学校</t>
        </is>
      </c>
      <c r="E11" s="6" t="inlineStr">
        <is>
          <t>011-811-5297</t>
        </is>
      </c>
      <c r="F11" s="13" t="inlineStr">
        <is>
          <t>中</t>
        </is>
      </c>
      <c r="G11" s="5" t="inlineStr">
        <is>
          <t>普通科</t>
        </is>
      </c>
      <c r="H11" s="8" t="n"/>
      <c r="I11" s="9" t="n"/>
      <c r="J11" s="9" t="inlineStr">
        <is>
          <t>未架電</t>
        </is>
      </c>
      <c r="K11" s="8" t="n"/>
      <c r="L11" s="9" t="n"/>
      <c r="M11" s="10" t="inlineStr">
        <is>
          <t>通信制・札幌本校の番号。入学相談用フリーダイヤル0120-195-315の記載もあり</t>
        </is>
      </c>
      <c r="N11" s="11" t="inlineStr">
        <is>
          <t>https://www.minkou.jp/hischool/school/330/</t>
        </is>
      </c>
      <c r="O11" s="12" t="inlineStr">
        <is>
          <t>開く</t>
        </is>
      </c>
    </row>
    <row r="12">
      <c r="A12" s="4" t="n">
        <v>8</v>
      </c>
      <c r="B12" s="5" t="inlineStr">
        <is>
          <t>北海道</t>
        </is>
      </c>
      <c r="C12" s="5" t="inlineStr">
        <is>
          <t>小樽市</t>
        </is>
      </c>
      <c r="D12" s="5" t="inlineStr">
        <is>
          <t>小樽双葉高等学校</t>
        </is>
      </c>
      <c r="E12" s="6" t="inlineStr">
        <is>
          <t>0134-32-1828</t>
        </is>
      </c>
      <c r="F12" s="7" t="inlineStr">
        <is>
          <t>高</t>
        </is>
      </c>
      <c r="G12" s="5" t="inlineStr">
        <is>
          <t>普通科</t>
        </is>
      </c>
      <c r="H12" s="8" t="n"/>
      <c r="I12" s="9" t="n"/>
      <c r="J12" s="9" t="inlineStr">
        <is>
          <t>未架電</t>
        </is>
      </c>
      <c r="K12" s="8" t="n"/>
      <c r="L12" s="9" t="n"/>
      <c r="M12" s="10" t="inlineStr">
        <is>
          <t>JS日本の学校と道私学協会の資料の番号が一致。通信制課程の職員室は0134-31-3100</t>
        </is>
      </c>
      <c r="N12" s="11" t="inlineStr">
        <is>
          <t>https://school.js88.com/scl_h/22052880 ; https://www.doshigaku.jp/pdf/2023_transfe_10.pdf</t>
        </is>
      </c>
      <c r="O12" s="12" t="inlineStr">
        <is>
          <t>開く</t>
        </is>
      </c>
    </row>
    <row r="13">
      <c r="A13" s="4" t="n">
        <v>9</v>
      </c>
      <c r="B13" s="5" t="inlineStr">
        <is>
          <t>北海道</t>
        </is>
      </c>
      <c r="C13" s="5" t="inlineStr">
        <is>
          <t>小樽市</t>
        </is>
      </c>
      <c r="D13" s="5" t="inlineStr">
        <is>
          <t>小樽明峰高等学校</t>
        </is>
      </c>
      <c r="E13" s="6" t="inlineStr">
        <is>
          <t>0134-22-7755</t>
        </is>
      </c>
      <c r="F13" s="7" t="inlineStr">
        <is>
          <t>高</t>
        </is>
      </c>
      <c r="G13" s="5" t="inlineStr">
        <is>
          <t>普通科</t>
        </is>
      </c>
      <c r="H13" s="8" t="n"/>
      <c r="I13" s="9" t="n"/>
      <c r="J13" s="9" t="inlineStr">
        <is>
          <t>未架電</t>
        </is>
      </c>
      <c r="K13" s="8" t="n"/>
      <c r="L13" s="9" t="n"/>
      <c r="M13" s="10" t="inlineStr">
        <is>
          <t>JS日本の学校と札幌市中学校の資料の番号が一致</t>
        </is>
      </c>
      <c r="N13" s="11" t="inlineStr">
        <is>
          <t>https://school.js88.com/scl_h/22052890/ ; https://www16.sapporo-c.ed.jp/sakaeminami-j/attach/get2/4692/0</t>
        </is>
      </c>
      <c r="O13" s="12" t="inlineStr">
        <is>
          <t>開く</t>
        </is>
      </c>
    </row>
    <row r="14">
      <c r="A14" s="4" t="n">
        <v>10</v>
      </c>
      <c r="B14" s="5" t="inlineStr">
        <is>
          <t>北海道</t>
        </is>
      </c>
      <c r="C14" s="5" t="inlineStr">
        <is>
          <t>帯広市</t>
        </is>
      </c>
      <c r="D14" s="5" t="inlineStr">
        <is>
          <t>帯広大谷高等学校</t>
        </is>
      </c>
      <c r="E14" s="6" t="inlineStr">
        <is>
          <t>0155-33-5811</t>
        </is>
      </c>
      <c r="F14" s="13" t="inlineStr">
        <is>
          <t>中</t>
        </is>
      </c>
      <c r="G14" s="5" t="inlineStr">
        <is>
          <t>普通科</t>
        </is>
      </c>
      <c r="H14" s="8" t="n"/>
      <c r="I14" s="9" t="n"/>
      <c r="J14" s="9" t="inlineStr">
        <is>
          <t>未架電</t>
        </is>
      </c>
      <c r="K14" s="8" t="n"/>
      <c r="L14" s="9" t="n"/>
      <c r="M14" s="10" t="inlineStr">
        <is>
          <t>2018年の高文連資料のみで確認。最新かは未確認</t>
        </is>
      </c>
      <c r="N14" s="11" t="inlineStr">
        <is>
          <t>https://www.koubunren-volunteer.hokkaido-c.ed.jp/wysiwyg/file/download/1/16</t>
        </is>
      </c>
      <c r="O14" s="12" t="inlineStr">
        <is>
          <t>開く</t>
        </is>
      </c>
    </row>
    <row r="15">
      <c r="A15" s="4" t="n">
        <v>11</v>
      </c>
      <c r="B15" s="5" t="inlineStr">
        <is>
          <t>北海道</t>
        </is>
      </c>
      <c r="C15" s="5" t="inlineStr">
        <is>
          <t>帯広市</t>
        </is>
      </c>
      <c r="D15" s="5" t="inlineStr">
        <is>
          <t>帯広北高等学校</t>
        </is>
      </c>
      <c r="E15" s="6" t="inlineStr">
        <is>
          <t>0155-47-0121</t>
        </is>
      </c>
      <c r="F15" s="7" t="inlineStr">
        <is>
          <t>高</t>
        </is>
      </c>
      <c r="G15" s="5" t="inlineStr">
        <is>
          <t>普通科</t>
        </is>
      </c>
      <c r="H15" s="8" t="n"/>
      <c r="I15" s="9" t="n"/>
      <c r="J15" s="9" t="inlineStr">
        <is>
          <t>未架電</t>
        </is>
      </c>
      <c r="K15" s="8" t="n"/>
      <c r="L15" s="9" t="n"/>
      <c r="M15" s="10" t="inlineStr">
        <is>
          <t>JS日本の学校とみんなの高校情報の番号が一致</t>
        </is>
      </c>
      <c r="N15" s="11" t="inlineStr">
        <is>
          <t>https://school.js88.com/scl_h/22053070 ; https://www.minkou.jp/hischool/school/1042/</t>
        </is>
      </c>
      <c r="O15" s="12" t="inlineStr">
        <is>
          <t>開く</t>
        </is>
      </c>
    </row>
    <row r="16">
      <c r="A16" s="4" t="n">
        <v>12</v>
      </c>
      <c r="B16" s="5" t="inlineStr">
        <is>
          <t>北海道</t>
        </is>
      </c>
      <c r="C16" s="5" t="inlineStr">
        <is>
          <t>室蘭市</t>
        </is>
      </c>
      <c r="D16" s="5" t="inlineStr">
        <is>
          <t>海星学院高等学校</t>
        </is>
      </c>
      <c r="E16" s="6" t="inlineStr">
        <is>
          <t>0143-46-8888</t>
        </is>
      </c>
      <c r="F16" s="13" t="inlineStr">
        <is>
          <t>中</t>
        </is>
      </c>
      <c r="G16" s="5" t="inlineStr">
        <is>
          <t>普通科</t>
        </is>
      </c>
      <c r="H16" s="8" t="n"/>
      <c r="I16" s="9" t="n"/>
      <c r="J16" s="9" t="inlineStr">
        <is>
          <t>未架電</t>
        </is>
      </c>
      <c r="K16" s="8" t="n"/>
      <c r="L16" s="9" t="n"/>
      <c r="M16" s="10" t="inlineStr">
        <is>
          <t>JS日本の学校のみで確認</t>
        </is>
      </c>
      <c r="N16" s="11" t="inlineStr">
        <is>
          <t>https://school.js88.com/scl_h/22053040</t>
        </is>
      </c>
      <c r="O16" s="12" t="inlineStr">
        <is>
          <t>開く</t>
        </is>
      </c>
    </row>
    <row r="17">
      <c r="A17" s="4" t="n">
        <v>13</v>
      </c>
      <c r="B17" s="5" t="inlineStr">
        <is>
          <t>北海道</t>
        </is>
      </c>
      <c r="C17" s="5" t="inlineStr">
        <is>
          <t>北見市</t>
        </is>
      </c>
      <c r="D17" s="5" t="inlineStr">
        <is>
          <t>北見藤高等学校</t>
        </is>
      </c>
      <c r="E17" s="6" t="inlineStr">
        <is>
          <t>0157-23-3212</t>
        </is>
      </c>
      <c r="F17" s="7" t="inlineStr">
        <is>
          <t>高</t>
        </is>
      </c>
      <c r="G17" s="5" t="inlineStr">
        <is>
          <t>普通科</t>
        </is>
      </c>
      <c r="H17" s="8" t="n"/>
      <c r="I17" s="9" t="n"/>
      <c r="J17" s="9" t="inlineStr">
        <is>
          <t>未架電</t>
        </is>
      </c>
      <c r="K17" s="8" t="n"/>
      <c r="L17" s="9" t="n"/>
      <c r="M17" s="10" t="inlineStr">
        <is>
          <t>JS日本の学校とYahoo!マップで一致</t>
        </is>
      </c>
      <c r="N17" s="11" t="inlineStr">
        <is>
          <t>https://school.js88.com/scl_h/22052980 ; https://map.yahoo.co.jp/v3/place/F1bCf-OH6f6</t>
        </is>
      </c>
      <c r="O17" s="12" t="inlineStr">
        <is>
          <t>開く</t>
        </is>
      </c>
    </row>
    <row r="18">
      <c r="A18" s="4" t="n">
        <v>14</v>
      </c>
      <c r="B18" s="5" t="inlineStr">
        <is>
          <t>北海道</t>
        </is>
      </c>
      <c r="C18" s="5" t="inlineStr">
        <is>
          <t>深川市</t>
        </is>
      </c>
      <c r="D18" s="5" t="inlineStr">
        <is>
          <t>クラーク記念国際高等学校</t>
        </is>
      </c>
      <c r="E18" s="6" t="inlineStr">
        <is>
          <t>0164-24-2001</t>
        </is>
      </c>
      <c r="F18" s="13" t="inlineStr">
        <is>
          <t>中</t>
        </is>
      </c>
      <c r="G18" s="5" t="inlineStr">
        <is>
          <t>普通科</t>
        </is>
      </c>
      <c r="H18" s="8" t="n"/>
      <c r="I18" s="9" t="n"/>
      <c r="J18" s="9" t="inlineStr">
        <is>
          <t>未架電</t>
        </is>
      </c>
      <c r="K18" s="8" t="n"/>
      <c r="L18" s="9" t="n"/>
      <c r="M18" s="10" t="inlineStr">
        <is>
          <t>深川市の本校の番号。全国にキャンパスあり</t>
        </is>
      </c>
      <c r="N18" s="11" t="inlineStr">
        <is>
          <t>https://www.minkou.jp/hischool/school/1635/</t>
        </is>
      </c>
      <c r="O18" s="12" t="inlineStr">
        <is>
          <t>開く</t>
        </is>
      </c>
    </row>
    <row r="19">
      <c r="A19" s="4" t="n">
        <v>15</v>
      </c>
      <c r="B19" s="5" t="inlineStr">
        <is>
          <t>北海道</t>
        </is>
      </c>
      <c r="C19" s="5" t="inlineStr">
        <is>
          <t>苫小牧市</t>
        </is>
      </c>
      <c r="D19" s="5" t="inlineStr">
        <is>
          <t>駒澤大学附属苫小牧高等学校</t>
        </is>
      </c>
      <c r="E19" s="6" t="inlineStr">
        <is>
          <t>0144-32-6291</t>
        </is>
      </c>
      <c r="F19" s="13" t="inlineStr">
        <is>
          <t>中</t>
        </is>
      </c>
      <c r="G19" s="5" t="inlineStr">
        <is>
          <t>普通科</t>
        </is>
      </c>
      <c r="H19" s="8" t="n"/>
      <c r="I19" s="9" t="n"/>
      <c r="J19" s="9" t="inlineStr">
        <is>
          <t>未架電</t>
        </is>
      </c>
      <c r="K19" s="8" t="n"/>
      <c r="L19" s="9" t="n"/>
      <c r="M19" s="10" t="inlineStr">
        <is>
          <t>JS日本の学校のみで確認</t>
        </is>
      </c>
      <c r="N19" s="11" t="inlineStr">
        <is>
          <t>https://school.js88.com/scl_h/22053010</t>
        </is>
      </c>
      <c r="O19" s="12" t="inlineStr">
        <is>
          <t>開く</t>
        </is>
      </c>
    </row>
    <row r="20">
      <c r="A20" s="4" t="n">
        <v>16</v>
      </c>
      <c r="B20" s="5" t="inlineStr">
        <is>
          <t>北海道</t>
        </is>
      </c>
      <c r="C20" s="5" t="inlineStr">
        <is>
          <t>札幌市東区</t>
        </is>
      </c>
      <c r="D20" s="5" t="inlineStr">
        <is>
          <t>札幌大谷高等学校</t>
        </is>
      </c>
      <c r="E20" s="6" t="inlineStr">
        <is>
          <t>011-731-2451</t>
        </is>
      </c>
      <c r="F20" s="7" t="inlineStr">
        <is>
          <t>高</t>
        </is>
      </c>
      <c r="G20" s="5" t="inlineStr">
        <is>
          <t>普通科・専門学科</t>
        </is>
      </c>
      <c r="H20" s="8" t="n"/>
      <c r="I20" s="9" t="n"/>
      <c r="J20" s="9" t="inlineStr">
        <is>
          <t>未架電</t>
        </is>
      </c>
      <c r="K20" s="8" t="n"/>
      <c r="L20" s="9" t="n"/>
      <c r="M20" s="10" t="inlineStr">
        <is>
          <t>札幌市の一覧とJS日本の学校で一致。中学校と共通</t>
        </is>
      </c>
      <c r="N20" s="11" t="inlineStr">
        <is>
          <t>https://www.city.sapporo.jp/higashi/about/ins_school.html ; https://school.js88.com/scl_h/22052680</t>
        </is>
      </c>
      <c r="O20" s="12" t="inlineStr">
        <is>
          <t>開く</t>
        </is>
      </c>
    </row>
    <row r="21">
      <c r="A21" s="4" t="n">
        <v>17</v>
      </c>
      <c r="B21" s="5" t="inlineStr">
        <is>
          <t>北海道</t>
        </is>
      </c>
      <c r="C21" s="5" t="inlineStr">
        <is>
          <t>札幌市東区</t>
        </is>
      </c>
      <c r="D21" s="5" t="inlineStr">
        <is>
          <t>札幌光星高等学校</t>
        </is>
      </c>
      <c r="E21" s="6" t="inlineStr">
        <is>
          <t>011-711-7161</t>
        </is>
      </c>
      <c r="F21" s="7" t="inlineStr">
        <is>
          <t>高</t>
        </is>
      </c>
      <c r="G21" s="5" t="inlineStr">
        <is>
          <t>普通科</t>
        </is>
      </c>
      <c r="H21" s="8" t="n"/>
      <c r="I21" s="9" t="n"/>
      <c r="J21" s="9" t="inlineStr">
        <is>
          <t>未架電</t>
        </is>
      </c>
      <c r="K21" s="8" t="n"/>
      <c r="L21" s="9" t="n"/>
      <c r="M21" s="10" t="inlineStr">
        <is>
          <t>公式資料に「代表」と記載</t>
        </is>
      </c>
      <c r="N21" s="11" t="inlineStr">
        <is>
          <t>https://www.sapporokosei.ac.jp/common/img/content/content_20260428_165448.pdf</t>
        </is>
      </c>
      <c r="O21" s="12" t="inlineStr">
        <is>
          <t>開く</t>
        </is>
      </c>
    </row>
    <row r="22">
      <c r="A22" s="4" t="n">
        <v>18</v>
      </c>
      <c r="B22" s="5" t="inlineStr">
        <is>
          <t>北海道</t>
        </is>
      </c>
      <c r="C22" s="5" t="inlineStr">
        <is>
          <t>札幌市南区</t>
        </is>
      </c>
      <c r="D22" s="5" t="inlineStr">
        <is>
          <t>札幌新陽高等学校</t>
        </is>
      </c>
      <c r="E22" s="6" t="inlineStr">
        <is>
          <t>011-821-6161</t>
        </is>
      </c>
      <c r="F22" s="7" t="inlineStr">
        <is>
          <t>高</t>
        </is>
      </c>
      <c r="G22" s="5" t="inlineStr">
        <is>
          <t>普通科</t>
        </is>
      </c>
      <c r="H22" s="8" t="n"/>
      <c r="I22" s="9" t="n"/>
      <c r="J22" s="9" t="inlineStr">
        <is>
          <t>未架電</t>
        </is>
      </c>
      <c r="K22" s="8" t="n"/>
      <c r="L22" s="9" t="n"/>
      <c r="M22" s="10" t="inlineStr">
        <is>
          <t>札幌市の一覧とJS日本の学校で一致</t>
        </is>
      </c>
      <c r="N22" s="11" t="inlineStr">
        <is>
          <t>https://www.city.sapporo.jp/minami/shisetsu/sonota.html ; https://school.js88.com/scl_h/22052720</t>
        </is>
      </c>
      <c r="O22" s="12" t="inlineStr">
        <is>
          <t>開く</t>
        </is>
      </c>
    </row>
    <row r="23">
      <c r="A23" s="4" t="n">
        <v>19</v>
      </c>
      <c r="B23" s="5" t="inlineStr">
        <is>
          <t>北海道</t>
        </is>
      </c>
      <c r="C23" s="5" t="inlineStr">
        <is>
          <t>和寒町</t>
        </is>
      </c>
      <c r="D23" s="5" t="inlineStr">
        <is>
          <t>札幌自由が丘学園三和高等学校</t>
        </is>
      </c>
      <c r="E23" s="14" t="n"/>
      <c r="F23" s="15" t="inlineStr">
        <is>
          <t>要調査</t>
        </is>
      </c>
      <c r="G23" s="5" t="inlineStr">
        <is>
          <t>普通科</t>
        </is>
      </c>
      <c r="H23" s="8" t="n"/>
      <c r="I23" s="9" t="n"/>
      <c r="J23" s="9" t="inlineStr">
        <is>
          <t>未架電</t>
        </is>
      </c>
      <c r="K23" s="8" t="n"/>
      <c r="L23" s="9" t="n"/>
      <c r="M23" s="10" t="inlineStr">
        <is>
          <t>和寒本校の番号を特定できず。候補：011-792-1468（公式では札幌学習センター）／011-743-1267。校名変更の可能性あり</t>
        </is>
      </c>
      <c r="N23" s="11" t="inlineStr">
        <is>
          <t>https://sanwa71.sakura.ne.jp/contact/ ; https://www.mapion.co.jp/phonebook/M11004/01464/ILSP0000041214_ipclm/</t>
        </is>
      </c>
      <c r="O23" s="12" t="inlineStr">
        <is>
          <t>開く</t>
        </is>
      </c>
    </row>
    <row r="24">
      <c r="A24" s="4" t="n">
        <v>20</v>
      </c>
      <c r="B24" s="5" t="inlineStr">
        <is>
          <t>北海道</t>
        </is>
      </c>
      <c r="C24" s="5" t="inlineStr">
        <is>
          <t>札幌市中央区</t>
        </is>
      </c>
      <c r="D24" s="5" t="inlineStr">
        <is>
          <t>札幌静修高等学校</t>
        </is>
      </c>
      <c r="E24" s="6" t="inlineStr">
        <is>
          <t>011-521-0234</t>
        </is>
      </c>
      <c r="F24" s="13" t="inlineStr">
        <is>
          <t>中</t>
        </is>
      </c>
      <c r="G24" s="5" t="inlineStr">
        <is>
          <t>普通科・専門学科</t>
        </is>
      </c>
      <c r="H24" s="8" t="n"/>
      <c r="I24" s="9" t="n"/>
      <c r="J24" s="9" t="inlineStr">
        <is>
          <t>未架電</t>
        </is>
      </c>
      <c r="K24" s="8" t="n"/>
      <c r="L24" s="9" t="n"/>
      <c r="M24" s="10" t="inlineStr">
        <is>
          <t>JS日本の学校のみで確認</t>
        </is>
      </c>
      <c r="N24" s="11" t="inlineStr">
        <is>
          <t>https://school.js88.com/scl_h/22052690</t>
        </is>
      </c>
      <c r="O24" s="12" t="inlineStr">
        <is>
          <t>開く</t>
        </is>
      </c>
    </row>
    <row r="25">
      <c r="A25" s="4" t="n">
        <v>21</v>
      </c>
      <c r="B25" s="5" t="inlineStr">
        <is>
          <t>北海道</t>
        </is>
      </c>
      <c r="C25" s="5" t="inlineStr">
        <is>
          <t>札幌市北区</t>
        </is>
      </c>
      <c r="D25" s="5" t="inlineStr">
        <is>
          <t>札幌創成高等学校</t>
        </is>
      </c>
      <c r="E25" s="6" t="inlineStr">
        <is>
          <t>011-726-1578</t>
        </is>
      </c>
      <c r="F25" s="7" t="inlineStr">
        <is>
          <t>高</t>
        </is>
      </c>
      <c r="G25" s="5" t="inlineStr">
        <is>
          <t>普通科</t>
        </is>
      </c>
      <c r="H25" s="8" t="n"/>
      <c r="I25" s="9" t="n"/>
      <c r="J25" s="9" t="inlineStr">
        <is>
          <t>未架電</t>
        </is>
      </c>
      <c r="K25" s="8" t="n"/>
      <c r="L25" s="9" t="n"/>
      <c r="M25" s="10" t="inlineStr">
        <is>
          <t>道私学協会の資料と札幌市中学校の配布資料で一致</t>
        </is>
      </c>
      <c r="N25" s="11" t="inlineStr">
        <is>
          <t>https://www.doshigaku.jp/pdf/2023_transfe_10.pdf ; https://school.js88.com/scl_h/22049910</t>
        </is>
      </c>
      <c r="O25" s="12" t="inlineStr">
        <is>
          <t>開く</t>
        </is>
      </c>
    </row>
    <row r="26">
      <c r="A26" s="4" t="n">
        <v>22</v>
      </c>
      <c r="B26" s="5" t="inlineStr">
        <is>
          <t>北海道</t>
        </is>
      </c>
      <c r="C26" s="5" t="inlineStr">
        <is>
          <t>札幌市豊平区</t>
        </is>
      </c>
      <c r="D26" s="5" t="inlineStr">
        <is>
          <t>札幌第一高等学校</t>
        </is>
      </c>
      <c r="E26" s="6" t="inlineStr">
        <is>
          <t>011-851-9361</t>
        </is>
      </c>
      <c r="F26" s="7" t="inlineStr">
        <is>
          <t>高</t>
        </is>
      </c>
      <c r="G26" s="5" t="inlineStr">
        <is>
          <t>普通科</t>
        </is>
      </c>
      <c r="H26" s="8" t="n"/>
      <c r="I26" s="9" t="n"/>
      <c r="J26" s="9" t="inlineStr">
        <is>
          <t>未架電</t>
        </is>
      </c>
      <c r="K26" s="8" t="n"/>
      <c r="L26" s="9" t="n"/>
      <c r="M26" s="10" t="inlineStr">
        <is>
          <t>公式サイトで「代表」と確認。入試事務局は011-851-6729</t>
        </is>
      </c>
      <c r="N26" s="11" t="inlineStr">
        <is>
          <t>https://www.kibou.ac.jp/daiichi/introduction/access/</t>
        </is>
      </c>
      <c r="O26" s="12" t="inlineStr">
        <is>
          <t>開く</t>
        </is>
      </c>
    </row>
    <row r="27">
      <c r="A27" s="4" t="n">
        <v>23</v>
      </c>
      <c r="B27" s="5" t="inlineStr">
        <is>
          <t>北海道</t>
        </is>
      </c>
      <c r="C27" s="5" t="inlineStr">
        <is>
          <t>北広島市</t>
        </is>
      </c>
      <c r="D27" s="5" t="inlineStr">
        <is>
          <t>札幌日本大学高等学校</t>
        </is>
      </c>
      <c r="E27" s="6" t="inlineStr">
        <is>
          <t>011-375-2611</t>
        </is>
      </c>
      <c r="F27" s="7" t="inlineStr">
        <is>
          <t>高</t>
        </is>
      </c>
      <c r="G27" s="5" t="inlineStr">
        <is>
          <t>普通科</t>
        </is>
      </c>
      <c r="H27" s="8" t="n"/>
      <c r="I27" s="9" t="n"/>
      <c r="J27" s="9" t="inlineStr">
        <is>
          <t>未架電</t>
        </is>
      </c>
      <c r="K27" s="8" t="n"/>
      <c r="L27" s="9" t="n"/>
      <c r="M27" s="10" t="inlineStr">
        <is>
          <t>複数資料で一致。中高併設</t>
        </is>
      </c>
      <c r="N27" s="11" t="inlineStr">
        <is>
          <t>https://school.js88.com/scl_h/22053100</t>
        </is>
      </c>
      <c r="O27" s="12" t="inlineStr">
        <is>
          <t>開く</t>
        </is>
      </c>
    </row>
    <row r="28">
      <c r="A28" s="4" t="n">
        <v>24</v>
      </c>
      <c r="B28" s="5" t="inlineStr">
        <is>
          <t>北海道</t>
        </is>
      </c>
      <c r="C28" s="5" t="inlineStr">
        <is>
          <t>札幌市東区</t>
        </is>
      </c>
      <c r="D28" s="5" t="inlineStr">
        <is>
          <t>札幌北斗高等学校</t>
        </is>
      </c>
      <c r="E28" s="6" t="inlineStr">
        <is>
          <t>011-711-6121</t>
        </is>
      </c>
      <c r="F28" s="7" t="inlineStr">
        <is>
          <t>高</t>
        </is>
      </c>
      <c r="G28" s="5" t="inlineStr">
        <is>
          <t>普通科</t>
        </is>
      </c>
      <c r="H28" s="8" t="n"/>
      <c r="I28" s="9" t="n"/>
      <c r="J28" s="9" t="inlineStr">
        <is>
          <t>未架電</t>
        </is>
      </c>
      <c r="K28" s="8" t="n"/>
      <c r="L28" s="9" t="n"/>
      <c r="M28" s="10" t="inlineStr">
        <is>
          <t>札幌市東区の学校一覧と地図サイトで一致</t>
        </is>
      </c>
      <c r="N28" s="11" t="inlineStr">
        <is>
          <t>https://www.city.sapporo.jp/higashi/about/ins_school.html</t>
        </is>
      </c>
      <c r="O28" s="12" t="inlineStr">
        <is>
          <t>開く</t>
        </is>
      </c>
    </row>
    <row r="29">
      <c r="A29" s="4" t="n">
        <v>25</v>
      </c>
      <c r="B29" s="5" t="inlineStr">
        <is>
          <t>北海道</t>
        </is>
      </c>
      <c r="C29" s="5" t="inlineStr">
        <is>
          <t>札幌市西区</t>
        </is>
      </c>
      <c r="D29" s="5" t="inlineStr">
        <is>
          <t>札幌山の手高等学校</t>
        </is>
      </c>
      <c r="E29" s="6" t="inlineStr">
        <is>
          <t>011-611-7301</t>
        </is>
      </c>
      <c r="F29" s="7" t="inlineStr">
        <is>
          <t>高</t>
        </is>
      </c>
      <c r="G29" s="5" t="inlineStr">
        <is>
          <t>普通科</t>
        </is>
      </c>
      <c r="H29" s="8" t="n"/>
      <c r="I29" s="9" t="n"/>
      <c r="J29" s="9" t="inlineStr">
        <is>
          <t>未架電</t>
        </is>
      </c>
      <c r="K29" s="8" t="n"/>
      <c r="L29" s="9" t="n"/>
      <c r="M29" s="10" t="inlineStr">
        <is>
          <t>代表番号。札幌市立中学校の配布資料と一致</t>
        </is>
      </c>
      <c r="N29" s="11" t="inlineStr">
        <is>
          <t>https://school.js88.com/scl_h/22052710</t>
        </is>
      </c>
      <c r="O29" s="12" t="inlineStr">
        <is>
          <t>開く</t>
        </is>
      </c>
    </row>
    <row r="30">
      <c r="A30" s="4" t="n">
        <v>26</v>
      </c>
      <c r="B30" s="5" t="inlineStr">
        <is>
          <t>北海道</t>
        </is>
      </c>
      <c r="C30" s="5" t="inlineStr">
        <is>
          <t>札幌市中央区</t>
        </is>
      </c>
      <c r="D30" s="5" t="inlineStr">
        <is>
          <t>札幌龍谷学園高等学校</t>
        </is>
      </c>
      <c r="E30" s="6" t="inlineStr">
        <is>
          <t>011-631-4386</t>
        </is>
      </c>
      <c r="F30" s="13" t="inlineStr">
        <is>
          <t>中</t>
        </is>
      </c>
      <c r="G30" s="5" t="inlineStr">
        <is>
          <t>普通科</t>
        </is>
      </c>
      <c r="H30" s="8" t="n"/>
      <c r="I30" s="9" t="n"/>
      <c r="J30" s="9" t="inlineStr">
        <is>
          <t>未架電</t>
        </is>
      </c>
      <c r="K30" s="8" t="n"/>
      <c r="L30" s="9" t="n"/>
      <c r="M30" s="10" t="inlineStr">
        <is>
          <t>札幌市立中学校の配布チラシで確認。公式サイトでは未確認</t>
        </is>
      </c>
      <c r="N30" s="11" t="inlineStr">
        <is>
          <t>https://www16.sapporo-c.ed.jp/kiyota-j/attach/get2/2208/0</t>
        </is>
      </c>
      <c r="O30" s="12" t="inlineStr">
        <is>
          <t>開く</t>
        </is>
      </c>
    </row>
    <row r="31">
      <c r="A31" s="4" t="n">
        <v>27</v>
      </c>
      <c r="B31" s="5" t="inlineStr">
        <is>
          <t>北海道</t>
        </is>
      </c>
      <c r="C31" s="5" t="inlineStr">
        <is>
          <t>芽室町</t>
        </is>
      </c>
      <c r="D31" s="5" t="inlineStr">
        <is>
          <t>白樺学園高等学校</t>
        </is>
      </c>
      <c r="E31" s="6" t="inlineStr">
        <is>
          <t>0155-62-7411</t>
        </is>
      </c>
      <c r="F31" s="7" t="inlineStr">
        <is>
          <t>高</t>
        </is>
      </c>
      <c r="G31" s="5" t="inlineStr">
        <is>
          <t>普通科</t>
        </is>
      </c>
      <c r="H31" s="8" t="n"/>
      <c r="I31" s="9" t="n"/>
      <c r="J31" s="9" t="inlineStr">
        <is>
          <t>未架電</t>
        </is>
      </c>
      <c r="K31" s="8" t="n"/>
      <c r="L31" s="9" t="n"/>
      <c r="M31" s="10" t="inlineStr">
        <is>
          <t>中高併設</t>
        </is>
      </c>
      <c r="N31" s="11" t="inlineStr">
        <is>
          <t>https://school.js88.com/scl_h/22053060</t>
        </is>
      </c>
      <c r="O31" s="12" t="inlineStr">
        <is>
          <t>開く</t>
        </is>
      </c>
    </row>
    <row r="32">
      <c r="A32" s="4" t="n">
        <v>28</v>
      </c>
      <c r="B32" s="5" t="inlineStr">
        <is>
          <t>北海道</t>
        </is>
      </c>
      <c r="C32" s="5" t="inlineStr">
        <is>
          <t>芦別市</t>
        </is>
      </c>
      <c r="D32" s="5" t="inlineStr">
        <is>
          <t>星槎国際高等学校</t>
        </is>
      </c>
      <c r="E32" s="6" t="inlineStr">
        <is>
          <t>0124-24-6101</t>
        </is>
      </c>
      <c r="F32" s="7" t="inlineStr">
        <is>
          <t>高</t>
        </is>
      </c>
      <c r="G32" s="5" t="inlineStr">
        <is>
          <t>普通科</t>
        </is>
      </c>
      <c r="H32" s="8" t="n"/>
      <c r="I32" s="9" t="n"/>
      <c r="J32" s="9" t="inlineStr">
        <is>
          <t>未架電</t>
        </is>
      </c>
      <c r="K32" s="8" t="n"/>
      <c r="L32" s="9" t="n"/>
      <c r="M32" s="10" t="inlineStr">
        <is>
          <t>芦別の本部校の番号（公式サイト）。全国にキャンパスあり</t>
        </is>
      </c>
      <c r="N32" s="11" t="inlineStr">
        <is>
          <t>https://seisa.ed.jp/ashibetsu/access/</t>
        </is>
      </c>
      <c r="O32" s="12" t="inlineStr">
        <is>
          <t>開く</t>
        </is>
      </c>
    </row>
    <row r="33">
      <c r="A33" s="4" t="n">
        <v>29</v>
      </c>
      <c r="B33" s="5" t="inlineStr">
        <is>
          <t>北海道</t>
        </is>
      </c>
      <c r="C33" s="5" t="inlineStr">
        <is>
          <t>函館市</t>
        </is>
      </c>
      <c r="D33" s="5" t="inlineStr">
        <is>
          <t>清尚学院高等学校</t>
        </is>
      </c>
      <c r="E33" s="6" t="inlineStr">
        <is>
          <t>0138-41-6584</t>
        </is>
      </c>
      <c r="F33" s="13" t="inlineStr">
        <is>
          <t>中</t>
        </is>
      </c>
      <c r="G33" s="5" t="inlineStr">
        <is>
          <t>専門学科</t>
        </is>
      </c>
      <c r="H33" s="8" t="n"/>
      <c r="I33" s="9" t="n"/>
      <c r="J33" s="9" t="inlineStr">
        <is>
          <t>未架電</t>
        </is>
      </c>
      <c r="K33" s="8" t="n"/>
      <c r="L33" s="9" t="n"/>
      <c r="M33" s="10" t="inlineStr">
        <is>
          <t>JS日本の学校のみで確認</t>
        </is>
      </c>
      <c r="N33" s="11" t="inlineStr">
        <is>
          <t>https://school.js88.com/scl_h/22052840</t>
        </is>
      </c>
      <c r="O33" s="12" t="inlineStr">
        <is>
          <t>開く</t>
        </is>
      </c>
    </row>
    <row r="34">
      <c r="A34" s="4" t="n">
        <v>30</v>
      </c>
      <c r="B34" s="5" t="inlineStr">
        <is>
          <t>北海道</t>
        </is>
      </c>
      <c r="C34" s="5" t="inlineStr">
        <is>
          <t>札幌市南区</t>
        </is>
      </c>
      <c r="D34" s="5" t="inlineStr">
        <is>
          <t>東海大学付属札幌高等学校</t>
        </is>
      </c>
      <c r="E34" s="6" t="inlineStr">
        <is>
          <t>011-571-5175</t>
        </is>
      </c>
      <c r="F34" s="7" t="inlineStr">
        <is>
          <t>高</t>
        </is>
      </c>
      <c r="G34" s="5" t="inlineStr">
        <is>
          <t>普通科</t>
        </is>
      </c>
      <c r="H34" s="8" t="n"/>
      <c r="I34" s="9" t="n"/>
      <c r="J34" s="9" t="inlineStr">
        <is>
          <t>未架電</t>
        </is>
      </c>
      <c r="K34" s="8" t="n"/>
      <c r="L34" s="9" t="n"/>
      <c r="M34" s="10" t="inlineStr">
        <is>
          <t>複数資料で一致</t>
        </is>
      </c>
      <c r="N34" s="11" t="inlineStr">
        <is>
          <t>https://school.js88.com/scl_h/22052760/</t>
        </is>
      </c>
      <c r="O34" s="12" t="inlineStr">
        <is>
          <t>開く</t>
        </is>
      </c>
    </row>
    <row r="35">
      <c r="A35" s="4" t="n">
        <v>31</v>
      </c>
      <c r="B35" s="5" t="inlineStr">
        <is>
          <t>北海道</t>
        </is>
      </c>
      <c r="C35" s="5" t="inlineStr">
        <is>
          <t>苫小牧市</t>
        </is>
      </c>
      <c r="D35" s="5" t="inlineStr">
        <is>
          <t>苫小牧中央高等学校</t>
        </is>
      </c>
      <c r="E35" s="6" t="inlineStr">
        <is>
          <t>0144-74-4200</t>
        </is>
      </c>
      <c r="F35" s="7" t="inlineStr">
        <is>
          <t>高</t>
        </is>
      </c>
      <c r="G35" s="5" t="inlineStr">
        <is>
          <t>普通科</t>
        </is>
      </c>
      <c r="H35" s="8" t="n"/>
      <c r="I35" s="9" t="n"/>
      <c r="J35" s="9" t="inlineStr">
        <is>
          <t>未架電</t>
        </is>
      </c>
      <c r="K35" s="8" t="n"/>
      <c r="L35" s="9" t="n"/>
      <c r="M35" s="10" t="inlineStr">
        <is>
          <t>公式サイト：事務室。職員室は0144-74-4300</t>
        </is>
      </c>
      <c r="N35" s="11" t="inlineStr">
        <is>
          <t>https://haragakuen.ac.jp/access/</t>
        </is>
      </c>
      <c r="O35" s="12" t="inlineStr">
        <is>
          <t>開く</t>
        </is>
      </c>
    </row>
    <row r="36">
      <c r="A36" s="4" t="n">
        <v>32</v>
      </c>
      <c r="B36" s="5" t="inlineStr">
        <is>
          <t>北海道</t>
        </is>
      </c>
      <c r="C36" s="5" t="inlineStr">
        <is>
          <t>千歳市</t>
        </is>
      </c>
      <c r="D36" s="5" t="inlineStr">
        <is>
          <t>日本航空高等学校 北海道</t>
        </is>
      </c>
      <c r="E36" s="6" t="inlineStr">
        <is>
          <t>0123-28-1155</t>
        </is>
      </c>
      <c r="F36" s="7" t="inlineStr">
        <is>
          <t>高</t>
        </is>
      </c>
      <c r="G36" s="5" t="inlineStr">
        <is>
          <t>専門学科</t>
        </is>
      </c>
      <c r="H36" s="8" t="n"/>
      <c r="I36" s="9" t="n"/>
      <c r="J36" s="9" t="inlineStr">
        <is>
          <t>未架電</t>
        </is>
      </c>
      <c r="K36" s="8" t="n"/>
      <c r="L36" s="9" t="n"/>
      <c r="M36" s="10" t="inlineStr">
        <is>
          <t>千歳市の北海道キャンパスの番号。日本航空大学校とは別</t>
        </is>
      </c>
      <c r="N36" s="11" t="inlineStr">
        <is>
          <t>https://school.js88.com/scl_h/34055718</t>
        </is>
      </c>
      <c r="O36" s="12" t="inlineStr">
        <is>
          <t>開く</t>
        </is>
      </c>
    </row>
    <row r="37">
      <c r="A37" s="4" t="n">
        <v>33</v>
      </c>
      <c r="B37" s="5" t="inlineStr">
        <is>
          <t>北海道</t>
        </is>
      </c>
      <c r="C37" s="5" t="inlineStr">
        <is>
          <t>函館市</t>
        </is>
      </c>
      <c r="D37" s="5" t="inlineStr">
        <is>
          <t>函館大谷高等学校</t>
        </is>
      </c>
      <c r="E37" s="6" t="inlineStr">
        <is>
          <t>0138-52-1834</t>
        </is>
      </c>
      <c r="F37" s="13" t="inlineStr">
        <is>
          <t>中</t>
        </is>
      </c>
      <c r="G37" s="5" t="inlineStr">
        <is>
          <t>普通科</t>
        </is>
      </c>
      <c r="H37" s="8" t="n"/>
      <c r="I37" s="9" t="n"/>
      <c r="J37" s="9" t="inlineStr">
        <is>
          <t>未架電</t>
        </is>
      </c>
      <c r="K37" s="8" t="n"/>
      <c r="L37" s="9" t="n"/>
      <c r="M37" s="10" t="inlineStr">
        <is>
          <t>JS日本の学校のみで確認</t>
        </is>
      </c>
      <c r="N37" s="11" t="inlineStr">
        <is>
          <t>https://school.js88.com/scl_h/22052800/</t>
        </is>
      </c>
      <c r="O37" s="12" t="inlineStr">
        <is>
          <t>開く</t>
        </is>
      </c>
    </row>
    <row r="38">
      <c r="A38" s="4" t="n">
        <v>34</v>
      </c>
      <c r="B38" s="5" t="inlineStr">
        <is>
          <t>北海道</t>
        </is>
      </c>
      <c r="C38" s="5" t="inlineStr">
        <is>
          <t>函館市</t>
        </is>
      </c>
      <c r="D38" s="5" t="inlineStr">
        <is>
          <t>函館大妻高等学校</t>
        </is>
      </c>
      <c r="E38" s="6" t="inlineStr">
        <is>
          <t>0138-52-1890</t>
        </is>
      </c>
      <c r="F38" s="13" t="inlineStr">
        <is>
          <t>中</t>
        </is>
      </c>
      <c r="G38" s="5" t="inlineStr">
        <is>
          <t>普通科・専門学科</t>
        </is>
      </c>
      <c r="H38" s="8" t="n"/>
      <c r="I38" s="9" t="n"/>
      <c r="J38" s="9" t="inlineStr">
        <is>
          <t>未架電</t>
        </is>
      </c>
      <c r="K38" s="8" t="n"/>
      <c r="L38" s="9" t="n"/>
      <c r="M38" s="10" t="inlineStr">
        <is>
          <t>みんなの高校情報のみで確認</t>
        </is>
      </c>
      <c r="N38" s="11" t="inlineStr">
        <is>
          <t>https://www.minkou.jp/hischool/school/deviation/3622/?c=1</t>
        </is>
      </c>
      <c r="O38" s="12" t="inlineStr">
        <is>
          <t>開く</t>
        </is>
      </c>
    </row>
    <row r="39">
      <c r="A39" s="4" t="n">
        <v>35</v>
      </c>
      <c r="B39" s="5" t="inlineStr">
        <is>
          <t>北海道</t>
        </is>
      </c>
      <c r="C39" s="5" t="inlineStr">
        <is>
          <t>函館市</t>
        </is>
      </c>
      <c r="D39" s="5" t="inlineStr">
        <is>
          <t>函館白百合学園高等学校</t>
        </is>
      </c>
      <c r="E39" s="6" t="inlineStr">
        <is>
          <t>0138-55-6682</t>
        </is>
      </c>
      <c r="F39" s="7" t="inlineStr">
        <is>
          <t>高</t>
        </is>
      </c>
      <c r="G39" s="5" t="inlineStr">
        <is>
          <t>普通科</t>
        </is>
      </c>
      <c r="H39" s="8" t="n"/>
      <c r="I39" s="9" t="n"/>
      <c r="J39" s="9" t="inlineStr">
        <is>
          <t>未架電</t>
        </is>
      </c>
      <c r="K39" s="8" t="n"/>
      <c r="L39" s="9" t="n"/>
      <c r="M39" s="10" t="inlineStr">
        <is>
          <t>中高共通の代表番号</t>
        </is>
      </c>
      <c r="N39" s="11" t="inlineStr">
        <is>
          <t>https://school.js88.com/scl_h/22052830</t>
        </is>
      </c>
      <c r="O39" s="12" t="inlineStr">
        <is>
          <t>開く</t>
        </is>
      </c>
    </row>
    <row r="40">
      <c r="A40" s="4" t="n">
        <v>36</v>
      </c>
      <c r="B40" s="5" t="inlineStr">
        <is>
          <t>北海道</t>
        </is>
      </c>
      <c r="C40" s="5" t="inlineStr">
        <is>
          <t>函館市</t>
        </is>
      </c>
      <c r="D40" s="5" t="inlineStr">
        <is>
          <t>函館大学付属柏稜高等学校</t>
        </is>
      </c>
      <c r="E40" s="6" t="inlineStr">
        <is>
          <t>0138-51-1481</t>
        </is>
      </c>
      <c r="F40" s="7" t="inlineStr">
        <is>
          <t>高</t>
        </is>
      </c>
      <c r="G40" s="5" t="inlineStr">
        <is>
          <t>普通科・専門学科</t>
        </is>
      </c>
      <c r="H40" s="8" t="n"/>
      <c r="I40" s="9" t="n"/>
      <c r="J40" s="9" t="inlineStr">
        <is>
          <t>未架電</t>
        </is>
      </c>
      <c r="K40" s="8" t="n"/>
      <c r="L40" s="9" t="n"/>
      <c r="M40" s="10" t="inlineStr">
        <is>
          <t>JS日本の学校とみんなの高校情報で一致</t>
        </is>
      </c>
      <c r="N40" s="11" t="inlineStr">
        <is>
          <t>https://school.js88.com/scl_h/22052850</t>
        </is>
      </c>
      <c r="O40" s="12" t="inlineStr">
        <is>
          <t>開く</t>
        </is>
      </c>
    </row>
    <row r="41">
      <c r="A41" s="4" t="n">
        <v>37</v>
      </c>
      <c r="B41" s="5" t="inlineStr">
        <is>
          <t>北海道</t>
        </is>
      </c>
      <c r="C41" s="5" t="inlineStr">
        <is>
          <t>函館市</t>
        </is>
      </c>
      <c r="D41" s="5" t="inlineStr">
        <is>
          <t>函館大学付属有斗高等学校</t>
        </is>
      </c>
      <c r="E41" s="6" t="inlineStr">
        <is>
          <t>0138-57-1381</t>
        </is>
      </c>
      <c r="F41" s="7" t="inlineStr">
        <is>
          <t>高</t>
        </is>
      </c>
      <c r="G41" s="5" t="inlineStr">
        <is>
          <t>普通科</t>
        </is>
      </c>
      <c r="H41" s="8" t="n"/>
      <c r="I41" s="9" t="n"/>
      <c r="J41" s="9" t="inlineStr">
        <is>
          <t>未架電</t>
        </is>
      </c>
      <c r="K41" s="8" t="n"/>
      <c r="L41" s="9" t="n"/>
      <c r="M41" s="10" t="inlineStr">
        <is>
          <t>複数の進学情報サイトで一致</t>
        </is>
      </c>
      <c r="N41" s="11" t="inlineStr">
        <is>
          <t>https://school.js88.com/scl_h/22052810</t>
        </is>
      </c>
      <c r="O41" s="12" t="inlineStr">
        <is>
          <t>開く</t>
        </is>
      </c>
    </row>
    <row r="42">
      <c r="A42" s="4" t="n">
        <v>38</v>
      </c>
      <c r="B42" s="5" t="inlineStr">
        <is>
          <t>北海道</t>
        </is>
      </c>
      <c r="C42" s="5" t="inlineStr">
        <is>
          <t>函館市</t>
        </is>
      </c>
      <c r="D42" s="5" t="inlineStr">
        <is>
          <t>函館ラ・サール高等学校</t>
        </is>
      </c>
      <c r="E42" s="6" t="inlineStr">
        <is>
          <t>0138-52-0365</t>
        </is>
      </c>
      <c r="F42" s="7" t="inlineStr">
        <is>
          <t>高</t>
        </is>
      </c>
      <c r="G42" s="5" t="inlineStr">
        <is>
          <t>普通科</t>
        </is>
      </c>
      <c r="H42" s="8" t="n"/>
      <c r="I42" s="9" t="n"/>
      <c r="J42" s="9" t="inlineStr">
        <is>
          <t>未架電</t>
        </is>
      </c>
      <c r="K42" s="8" t="n"/>
      <c r="L42" s="9" t="n"/>
      <c r="M42" s="10" t="inlineStr">
        <is>
          <t>中高共通。複数サイトで一致</t>
        </is>
      </c>
      <c r="N42" s="11" t="inlineStr">
        <is>
          <t>https://school.js88.com/scl_h/22052860?page=6</t>
        </is>
      </c>
      <c r="O42" s="12" t="inlineStr">
        <is>
          <t>開く</t>
        </is>
      </c>
    </row>
    <row r="43">
      <c r="A43" s="4" t="n">
        <v>39</v>
      </c>
      <c r="B43" s="5" t="inlineStr">
        <is>
          <t>北海道</t>
        </is>
      </c>
      <c r="C43" s="5" t="inlineStr">
        <is>
          <t>札幌市北区</t>
        </is>
      </c>
      <c r="D43" s="5" t="inlineStr">
        <is>
          <t>藤女子高等学校</t>
        </is>
      </c>
      <c r="E43" s="6" t="inlineStr">
        <is>
          <t>011-707-5001</t>
        </is>
      </c>
      <c r="F43" s="7" t="inlineStr">
        <is>
          <t>高</t>
        </is>
      </c>
      <c r="G43" s="5" t="inlineStr">
        <is>
          <t>普通科</t>
        </is>
      </c>
      <c r="H43" s="8" t="n"/>
      <c r="I43" s="9" t="n"/>
      <c r="J43" s="9" t="inlineStr">
        <is>
          <t>未架電</t>
        </is>
      </c>
      <c r="K43" s="8" t="n"/>
      <c r="L43" s="9" t="n"/>
      <c r="M43" s="10" t="inlineStr">
        <is>
          <t>公式の募集要項PDFと道私学協会の資料で一致</t>
        </is>
      </c>
      <c r="N43" s="11" t="inlineStr">
        <is>
          <t>https://www.fuji-gjshs.jp/20020/files/2026kou_youkou.pdf</t>
        </is>
      </c>
      <c r="O43" s="12" t="inlineStr">
        <is>
          <t>開く</t>
        </is>
      </c>
    </row>
    <row r="44">
      <c r="A44" s="4" t="n">
        <v>40</v>
      </c>
      <c r="B44" s="5" t="inlineStr">
        <is>
          <t>北海道</t>
        </is>
      </c>
      <c r="C44" s="5" t="inlineStr">
        <is>
          <t>釧路市</t>
        </is>
      </c>
      <c r="D44" s="5" t="inlineStr">
        <is>
          <t>武修館高等学校</t>
        </is>
      </c>
      <c r="E44" s="6" t="inlineStr">
        <is>
          <t>0154-47-3211</t>
        </is>
      </c>
      <c r="F44" s="7" t="inlineStr">
        <is>
          <t>高</t>
        </is>
      </c>
      <c r="G44" s="5" t="inlineStr">
        <is>
          <t>普通科</t>
        </is>
      </c>
      <c r="H44" s="8" t="n"/>
      <c r="I44" s="9" t="n"/>
      <c r="J44" s="9" t="inlineStr">
        <is>
          <t>未架電</t>
        </is>
      </c>
      <c r="K44" s="8" t="n"/>
      <c r="L44" s="9" t="n"/>
      <c r="M44" s="10" t="inlineStr">
        <is>
          <t>JS日本の学校とみんなの高校情報で一致。中学校は別番号（0154-47-3220）</t>
        </is>
      </c>
      <c r="N44" s="11" t="inlineStr">
        <is>
          <t>https://school.js88.com/scl_h/22053090/</t>
        </is>
      </c>
      <c r="O44" s="12" t="inlineStr">
        <is>
          <t>開く</t>
        </is>
      </c>
    </row>
    <row r="45">
      <c r="A45" s="4" t="n">
        <v>41</v>
      </c>
      <c r="B45" s="5" t="inlineStr">
        <is>
          <t>北海道</t>
        </is>
      </c>
      <c r="C45" s="5" t="inlineStr">
        <is>
          <t>小樽市</t>
        </is>
      </c>
      <c r="D45" s="5" t="inlineStr">
        <is>
          <t>北照高等学校</t>
        </is>
      </c>
      <c r="E45" s="6" t="inlineStr">
        <is>
          <t>0134-32-0331</t>
        </is>
      </c>
      <c r="F45" s="7" t="inlineStr">
        <is>
          <t>高</t>
        </is>
      </c>
      <c r="G45" s="5" t="inlineStr">
        <is>
          <t>普通科</t>
        </is>
      </c>
      <c r="H45" s="8" t="n"/>
      <c r="I45" s="9" t="n"/>
      <c r="J45" s="9" t="inlineStr">
        <is>
          <t>未架電</t>
        </is>
      </c>
      <c r="K45" s="8" t="n"/>
      <c r="L45" s="9" t="n"/>
      <c r="M45" s="10" t="inlineStr">
        <is>
          <t>複数サイトと公式PDFで一致</t>
        </is>
      </c>
      <c r="N45" s="11" t="inlineStr">
        <is>
          <t>https://school.js88.com/scl_h/22052870</t>
        </is>
      </c>
      <c r="O45" s="12" t="inlineStr">
        <is>
          <t>開く</t>
        </is>
      </c>
    </row>
    <row r="46">
      <c r="A46" s="4" t="n">
        <v>42</v>
      </c>
      <c r="B46" s="5" t="inlineStr">
        <is>
          <t>北海道</t>
        </is>
      </c>
      <c r="C46" s="5" t="inlineStr">
        <is>
          <t>札幌市中央区</t>
        </is>
      </c>
      <c r="D46" s="5" t="inlineStr">
        <is>
          <t>北星学園女子高等学校</t>
        </is>
      </c>
      <c r="E46" s="6" t="inlineStr">
        <is>
          <t>011-561-7153</t>
        </is>
      </c>
      <c r="F46" s="7" t="inlineStr">
        <is>
          <t>高</t>
        </is>
      </c>
      <c r="G46" s="5" t="inlineStr">
        <is>
          <t>普通科・専門学科</t>
        </is>
      </c>
      <c r="H46" s="8" t="n"/>
      <c r="I46" s="9" t="n"/>
      <c r="J46" s="9" t="inlineStr">
        <is>
          <t>未架電</t>
        </is>
      </c>
      <c r="K46" s="8" t="n"/>
      <c r="L46" s="9" t="n"/>
      <c r="M46" s="10" t="inlineStr">
        <is>
          <t>学校情報サイトと札幌市中学校の掲載資料で一致</t>
        </is>
      </c>
      <c r="N46" s="11" t="inlineStr">
        <is>
          <t>https://school.js88.com/scl_h/22052670?page=9</t>
        </is>
      </c>
      <c r="O46" s="12" t="inlineStr">
        <is>
          <t>開く</t>
        </is>
      </c>
    </row>
    <row r="47">
      <c r="A47" s="4" t="n">
        <v>43</v>
      </c>
      <c r="B47" s="5" t="inlineStr">
        <is>
          <t>北海道</t>
        </is>
      </c>
      <c r="C47" s="5" t="inlineStr">
        <is>
          <t>札幌市厚別区</t>
        </is>
      </c>
      <c r="D47" s="5" t="inlineStr">
        <is>
          <t>北星学園大学附属高等学校</t>
        </is>
      </c>
      <c r="E47" s="6" t="inlineStr">
        <is>
          <t>011-897-2881</t>
        </is>
      </c>
      <c r="F47" s="7" t="inlineStr">
        <is>
          <t>高</t>
        </is>
      </c>
      <c r="G47" s="5" t="inlineStr">
        <is>
          <t>普通科</t>
        </is>
      </c>
      <c r="H47" s="8" t="n"/>
      <c r="I47" s="9" t="n"/>
      <c r="J47" s="9" t="inlineStr">
        <is>
          <t>未架電</t>
        </is>
      </c>
      <c r="K47" s="8" t="n"/>
      <c r="L47" s="9" t="n"/>
      <c r="M47" s="10" t="inlineStr">
        <is>
          <t>JS日本の学校とみんなの高校情報で一致</t>
        </is>
      </c>
      <c r="N47" s="11" t="inlineStr">
        <is>
          <t>https://school.js88.com/scl_h/22052660</t>
        </is>
      </c>
      <c r="O47" s="12" t="inlineStr">
        <is>
          <t>開く</t>
        </is>
      </c>
    </row>
    <row r="48">
      <c r="A48" s="4" t="n">
        <v>44</v>
      </c>
      <c r="B48" s="5" t="inlineStr">
        <is>
          <t>北海道</t>
        </is>
      </c>
      <c r="C48" s="5" t="inlineStr">
        <is>
          <t>余市町</t>
        </is>
      </c>
      <c r="D48" s="5" t="inlineStr">
        <is>
          <t>北星学園余市高等学校</t>
        </is>
      </c>
      <c r="E48" s="6" t="inlineStr">
        <is>
          <t>0135-23-2165</t>
        </is>
      </c>
      <c r="F48" s="13" t="inlineStr">
        <is>
          <t>中</t>
        </is>
      </c>
      <c r="G48" s="5" t="inlineStr">
        <is>
          <t>普通科</t>
        </is>
      </c>
      <c r="H48" s="8" t="n"/>
      <c r="I48" s="9" t="n"/>
      <c r="J48" s="9" t="inlineStr">
        <is>
          <t>未架電</t>
        </is>
      </c>
      <c r="K48" s="8" t="n"/>
      <c r="L48" s="9" t="n"/>
      <c r="M48" s="10" t="inlineStr">
        <is>
          <t>公式PDF（2026年5月）では「事務室 0135-23-2166」の記載あり。要確認</t>
        </is>
      </c>
      <c r="N48" s="11" t="inlineStr">
        <is>
          <t>https://school.js88.com/scl_h/22052900/</t>
        </is>
      </c>
      <c r="O48" s="12" t="inlineStr">
        <is>
          <t>開く</t>
        </is>
      </c>
    </row>
    <row r="49">
      <c r="A49" s="4" t="n">
        <v>45</v>
      </c>
      <c r="B49" s="5" t="inlineStr">
        <is>
          <t>北海道</t>
        </is>
      </c>
      <c r="C49" s="5" t="inlineStr">
        <is>
          <t>札幌市清田区</t>
        </is>
      </c>
      <c r="D49" s="5" t="inlineStr">
        <is>
          <t>北嶺高等学校</t>
        </is>
      </c>
      <c r="E49" s="6" t="inlineStr">
        <is>
          <t>011-883-4651</t>
        </is>
      </c>
      <c r="F49" s="7" t="inlineStr">
        <is>
          <t>高</t>
        </is>
      </c>
      <c r="G49" s="5" t="inlineStr">
        <is>
          <t>普通科</t>
        </is>
      </c>
      <c r="H49" s="8" t="n"/>
      <c r="I49" s="9" t="n"/>
      <c r="J49" s="9" t="inlineStr">
        <is>
          <t>未架電</t>
        </is>
      </c>
      <c r="K49" s="8" t="n"/>
      <c r="L49" s="9" t="n"/>
      <c r="M49" s="10" t="inlineStr">
        <is>
          <t>中高共通。複数サイトで一致</t>
        </is>
      </c>
      <c r="N49" s="11" t="inlineStr">
        <is>
          <t>https://school.js88.com/scl_h/22053110 ; https://www.inter-edu.com/schools/school/321</t>
        </is>
      </c>
      <c r="O49" s="12" t="inlineStr">
        <is>
          <t>開く</t>
        </is>
      </c>
    </row>
    <row r="50">
      <c r="A50" s="4" t="n">
        <v>46</v>
      </c>
      <c r="B50" s="5" t="inlineStr">
        <is>
          <t>北海道</t>
        </is>
      </c>
      <c r="C50" s="5" t="inlineStr">
        <is>
          <t>札幌市豊平区</t>
        </is>
      </c>
      <c r="D50" s="5" t="inlineStr">
        <is>
          <t>北海学園札幌高等学校</t>
        </is>
      </c>
      <c r="E50" s="6" t="inlineStr">
        <is>
          <t>011-841-1161</t>
        </is>
      </c>
      <c r="F50" s="7" t="inlineStr">
        <is>
          <t>高</t>
        </is>
      </c>
      <c r="G50" s="5" t="inlineStr">
        <is>
          <t>普通科</t>
        </is>
      </c>
      <c r="H50" s="8" t="n"/>
      <c r="I50" s="9" t="n"/>
      <c r="J50" s="9" t="inlineStr">
        <is>
          <t>未架電</t>
        </is>
      </c>
      <c r="K50" s="8" t="n"/>
      <c r="L50" s="9" t="n"/>
      <c r="M50" s="10" t="inlineStr">
        <is>
          <t>公式サイトで「代表」と確認。北海高校・北海学園大学と同じ代表番号のため、学校名を伝えて取り次ぎを依頼</t>
        </is>
      </c>
      <c r="N50" s="11" t="inlineStr">
        <is>
          <t>https://www.hgs.ed.jp/about/index.html</t>
        </is>
      </c>
      <c r="O50" s="12" t="inlineStr">
        <is>
          <t>開く</t>
        </is>
      </c>
    </row>
    <row r="51">
      <c r="A51" s="4" t="n">
        <v>47</v>
      </c>
      <c r="B51" s="5" t="inlineStr">
        <is>
          <t>北海道</t>
        </is>
      </c>
      <c r="C51" s="5" t="inlineStr">
        <is>
          <t>札幌市豊平区</t>
        </is>
      </c>
      <c r="D51" s="5" t="inlineStr">
        <is>
          <t>北海高等学校</t>
        </is>
      </c>
      <c r="E51" s="6" t="inlineStr">
        <is>
          <t>011-841-1161</t>
        </is>
      </c>
      <c r="F51" s="13" t="inlineStr">
        <is>
          <t>中</t>
        </is>
      </c>
      <c r="G51" s="5" t="inlineStr">
        <is>
          <t>普通科</t>
        </is>
      </c>
      <c r="H51" s="8" t="n"/>
      <c r="I51" s="9" t="n"/>
      <c r="J51" s="9" t="inlineStr">
        <is>
          <t>未架電</t>
        </is>
      </c>
      <c r="K51" s="8" t="n"/>
      <c r="L51" s="9" t="n"/>
      <c r="M51" s="10" t="inlineStr">
        <is>
          <t>北海学園の共通代表番号。学校名を伝えて取り次ぎを依頼</t>
        </is>
      </c>
      <c r="N51" s="11" t="inlineStr">
        <is>
          <t>https://school.js88.com/scl_h/22052590 ; https://www.hokkai.ed.jp/sub/access.html</t>
        </is>
      </c>
      <c r="O51" s="12" t="inlineStr">
        <is>
          <t>開く</t>
        </is>
      </c>
    </row>
    <row r="52">
      <c r="A52" s="4" t="n">
        <v>48</v>
      </c>
      <c r="B52" s="5" t="inlineStr">
        <is>
          <t>北海道</t>
        </is>
      </c>
      <c r="C52" s="5" t="inlineStr">
        <is>
          <t>室蘭市</t>
        </is>
      </c>
      <c r="D52" s="5" t="inlineStr">
        <is>
          <t>北海道大谷室蘭高等学校</t>
        </is>
      </c>
      <c r="E52" s="6" t="inlineStr">
        <is>
          <t>0143-44-5641</t>
        </is>
      </c>
      <c r="F52" s="13" t="inlineStr">
        <is>
          <t>中</t>
        </is>
      </c>
      <c r="G52" s="5" t="inlineStr">
        <is>
          <t>普通科</t>
        </is>
      </c>
      <c r="H52" s="8" t="n"/>
      <c r="I52" s="9" t="n"/>
      <c r="J52" s="9" t="inlineStr">
        <is>
          <t>未架電</t>
        </is>
      </c>
      <c r="K52" s="8" t="n"/>
      <c r="L52" s="9" t="n"/>
      <c r="M52" s="10" t="inlineStr">
        <is>
          <t>学校情報サイト1件のみで確認</t>
        </is>
      </c>
      <c r="N52" s="11" t="inlineStr">
        <is>
          <t>https://school.js88.com/scl_h/22052990?page=6</t>
        </is>
      </c>
      <c r="O52" s="12" t="inlineStr">
        <is>
          <t>開く</t>
        </is>
      </c>
    </row>
    <row r="53">
      <c r="A53" s="4" t="n">
        <v>49</v>
      </c>
      <c r="B53" s="5" t="inlineStr">
        <is>
          <t>北海道</t>
        </is>
      </c>
      <c r="C53" s="5" t="inlineStr">
        <is>
          <t>札幌市手稲区</t>
        </is>
      </c>
      <c r="D53" s="5" t="inlineStr">
        <is>
          <t>北海道科学大学高等学校</t>
        </is>
      </c>
      <c r="E53" s="6" t="inlineStr">
        <is>
          <t>011-699-6987</t>
        </is>
      </c>
      <c r="F53" s="7" t="inlineStr">
        <is>
          <t>高</t>
        </is>
      </c>
      <c r="G53" s="5" t="inlineStr">
        <is>
          <t>普通科・専門学科</t>
        </is>
      </c>
      <c r="H53" s="8" t="n"/>
      <c r="I53" s="9" t="n"/>
      <c r="J53" s="9" t="inlineStr">
        <is>
          <t>未架電</t>
        </is>
      </c>
      <c r="K53" s="8" t="n"/>
      <c r="L53" s="9" t="n"/>
      <c r="M53" s="10" t="inlineStr">
        <is>
          <t>札幌市の一覧で確認。大学の番号とは別</t>
        </is>
      </c>
      <c r="N53" s="11" t="inlineStr">
        <is>
          <t>https://www.city.sapporo.jp/teine/shisetsu/school.html ; https://school.js88.com/scl_h/22052630/</t>
        </is>
      </c>
      <c r="O53" s="12" t="inlineStr">
        <is>
          <t>開く</t>
        </is>
      </c>
    </row>
    <row r="54">
      <c r="A54" s="4" t="n">
        <v>50</v>
      </c>
      <c r="B54" s="5" t="inlineStr">
        <is>
          <t>北海道</t>
        </is>
      </c>
      <c r="C54" s="5" t="inlineStr">
        <is>
          <t>清水町</t>
        </is>
      </c>
      <c r="D54" s="5" t="inlineStr">
        <is>
          <t>北海道芸術高等学校</t>
        </is>
      </c>
      <c r="E54" s="6" t="inlineStr">
        <is>
          <t>0135-48-5131</t>
        </is>
      </c>
      <c r="F54" s="13" t="inlineStr">
        <is>
          <t>中</t>
        </is>
      </c>
      <c r="G54" s="5" t="inlineStr">
        <is>
          <t>普通科</t>
        </is>
      </c>
      <c r="H54" s="8" t="n"/>
      <c r="I54" s="9" t="n"/>
      <c r="J54" s="9" t="inlineStr">
        <is>
          <t>未架電</t>
        </is>
      </c>
      <c r="K54" s="8" t="n"/>
      <c r="L54" s="9" t="n"/>
      <c r="M54" s="10" t="inlineStr">
        <is>
          <t>【所在地注意】本校は2015年に清水町から仁木町へ移転済み。番号は仁木本校のもの</t>
        </is>
      </c>
      <c r="N54" s="11" t="inlineStr">
        <is>
          <t>https://www.kyokei.ac.jp/contact/</t>
        </is>
      </c>
      <c r="O54" s="12" t="inlineStr">
        <is>
          <t>開く</t>
        </is>
      </c>
    </row>
    <row r="55">
      <c r="A55" s="4" t="n">
        <v>51</v>
      </c>
      <c r="B55" s="5" t="inlineStr">
        <is>
          <t>北海道</t>
        </is>
      </c>
      <c r="C55" s="5" t="inlineStr">
        <is>
          <t>白老町</t>
        </is>
      </c>
      <c r="D55" s="5" t="inlineStr">
        <is>
          <t>北海道栄高等学校</t>
        </is>
      </c>
      <c r="E55" s="6" t="inlineStr">
        <is>
          <t>0144-82-2185</t>
        </is>
      </c>
      <c r="F55" s="13" t="inlineStr">
        <is>
          <t>中</t>
        </is>
      </c>
      <c r="G55" s="5" t="inlineStr">
        <is>
          <t>普通科</t>
        </is>
      </c>
      <c r="H55" s="8" t="n"/>
      <c r="I55" s="9" t="n"/>
      <c r="J55" s="9" t="inlineStr">
        <is>
          <t>未架電</t>
        </is>
      </c>
      <c r="K55" s="8" t="n"/>
      <c r="L55" s="9" t="n"/>
      <c r="M55" s="10" t="inlineStr">
        <is>
          <t>白老町。苫小牧市への移転計画の報道あり（移転後は番号が変わる可能性）</t>
        </is>
      </c>
      <c r="N55" s="11" t="inlineStr">
        <is>
          <t>https://school.js88.com/scl_h/22053020/</t>
        </is>
      </c>
      <c r="O55" s="12" t="inlineStr">
        <is>
          <t>開く</t>
        </is>
      </c>
    </row>
    <row r="56">
      <c r="A56" s="4" t="n">
        <v>52</v>
      </c>
      <c r="B56" s="5" t="inlineStr">
        <is>
          <t>北海道</t>
        </is>
      </c>
      <c r="C56" s="5" t="inlineStr">
        <is>
          <t>恵庭市</t>
        </is>
      </c>
      <c r="D56" s="5" t="inlineStr">
        <is>
          <t>北海道文教大学附属高等学校</t>
        </is>
      </c>
      <c r="E56" s="6" t="inlineStr">
        <is>
          <t>0123-25-5570</t>
        </is>
      </c>
      <c r="F56" s="7" t="inlineStr">
        <is>
          <t>高</t>
        </is>
      </c>
      <c r="G56" s="5" t="inlineStr">
        <is>
          <t>普通科・専門学科</t>
        </is>
      </c>
      <c r="H56" s="8" t="n"/>
      <c r="I56" s="9" t="n"/>
      <c r="J56" s="9" t="inlineStr">
        <is>
          <t>未架電</t>
        </is>
      </c>
      <c r="K56" s="8" t="n"/>
      <c r="L56" s="9" t="n"/>
      <c r="M56" s="10" t="inlineStr">
        <is>
          <t>複数サイトで一致</t>
        </is>
      </c>
      <c r="N56" s="11" t="inlineStr">
        <is>
          <t>https://school.js88.com/scl_h/22052730</t>
        </is>
      </c>
      <c r="O56" s="12" t="inlineStr">
        <is>
          <t>開く</t>
        </is>
      </c>
    </row>
    <row r="57">
      <c r="A57" s="4" t="n">
        <v>53</v>
      </c>
      <c r="B57" s="5" t="inlineStr">
        <is>
          <t>北海道</t>
        </is>
      </c>
      <c r="C57" s="5" t="inlineStr">
        <is>
          <t>江別市</t>
        </is>
      </c>
      <c r="D57" s="5" t="inlineStr">
        <is>
          <t>酪農学園大学附属とわの森三愛高等学校</t>
        </is>
      </c>
      <c r="E57" s="6" t="inlineStr">
        <is>
          <t>011-386-3111</t>
        </is>
      </c>
      <c r="F57" s="13" t="inlineStr">
        <is>
          <t>中</t>
        </is>
      </c>
      <c r="G57" s="5" t="inlineStr">
        <is>
          <t>普通科・専門学科</t>
        </is>
      </c>
      <c r="H57" s="8" t="n"/>
      <c r="I57" s="9" t="n"/>
      <c r="J57" s="9" t="inlineStr">
        <is>
          <t>未架電</t>
        </is>
      </c>
      <c r="K57" s="8" t="n"/>
      <c r="L57" s="9" t="n"/>
      <c r="M57" s="10" t="inlineStr">
        <is>
          <t>代表番号。通信制課程は011-388-4831</t>
        </is>
      </c>
      <c r="N57" s="11" t="inlineStr">
        <is>
          <t>https://school.js88.com/scl_h/22052750/</t>
        </is>
      </c>
      <c r="O57" s="12" t="inlineStr">
        <is>
          <t>開く</t>
        </is>
      </c>
    </row>
    <row r="58">
      <c r="A58" s="4" t="n">
        <v>54</v>
      </c>
      <c r="B58" s="5" t="inlineStr">
        <is>
          <t>北海道</t>
        </is>
      </c>
      <c r="C58" s="5" t="inlineStr">
        <is>
          <t>江別市</t>
        </is>
      </c>
      <c r="D58" s="5" t="inlineStr">
        <is>
          <t>立命館慶祥高等学校</t>
        </is>
      </c>
      <c r="E58" s="6" t="inlineStr">
        <is>
          <t>011-381-8888</t>
        </is>
      </c>
      <c r="F58" s="7" t="inlineStr">
        <is>
          <t>高</t>
        </is>
      </c>
      <c r="G58" s="5" t="inlineStr">
        <is>
          <t>普通科</t>
        </is>
      </c>
      <c r="H58" s="8" t="n"/>
      <c r="I58" s="9" t="n"/>
      <c r="J58" s="9" t="inlineStr">
        <is>
          <t>未架電</t>
        </is>
      </c>
      <c r="K58" s="8" t="n"/>
      <c r="L58" s="9" t="n"/>
      <c r="M58" s="10" t="inlineStr">
        <is>
          <t>中高共通。札幌市立中学校の配布資料と一致</t>
        </is>
      </c>
      <c r="N58" s="11" t="inlineStr">
        <is>
          <t>https://www.minkou.jp/junior/school/6019/</t>
        </is>
      </c>
      <c r="O58" s="12" t="inlineStr">
        <is>
          <t>開く</t>
        </is>
      </c>
    </row>
    <row r="59">
      <c r="A59" s="4" t="n">
        <v>55</v>
      </c>
      <c r="B59" s="5" t="inlineStr">
        <is>
          <t>北海道</t>
        </is>
      </c>
      <c r="C59" s="5" t="inlineStr">
        <is>
          <t>稚内市</t>
        </is>
      </c>
      <c r="D59" s="5" t="inlineStr">
        <is>
          <t>稚内大谷高等学校</t>
        </is>
      </c>
      <c r="E59" s="6" t="inlineStr">
        <is>
          <t>0162-32-2660</t>
        </is>
      </c>
      <c r="F59" s="13" t="inlineStr">
        <is>
          <t>中</t>
        </is>
      </c>
      <c r="G59" s="5" t="inlineStr">
        <is>
          <t>普通科</t>
        </is>
      </c>
      <c r="H59" s="8" t="n"/>
      <c r="I59" s="9" t="n"/>
      <c r="J59" s="9" t="inlineStr">
        <is>
          <t>未架電</t>
        </is>
      </c>
      <c r="K59" s="8" t="n"/>
      <c r="L59" s="9" t="n"/>
      <c r="M59" s="10" t="inlineStr">
        <is>
          <t>学校情報サイト1件のみで確認</t>
        </is>
      </c>
      <c r="N59" s="11" t="inlineStr">
        <is>
          <t>https://school.js88.com/scl_h/22052960</t>
        </is>
      </c>
      <c r="O59" s="12" t="inlineStr">
        <is>
          <t>開く</t>
        </is>
      </c>
    </row>
    <row r="60">
      <c r="A60" s="4" t="n">
        <v>56</v>
      </c>
      <c r="B60" s="5" t="inlineStr">
        <is>
          <t>青森県</t>
        </is>
      </c>
      <c r="C60" s="5" t="inlineStr">
        <is>
          <t>青森市</t>
        </is>
      </c>
      <c r="D60" s="5" t="inlineStr">
        <is>
          <t>青森明の星高等学校</t>
        </is>
      </c>
      <c r="E60" s="6" t="inlineStr">
        <is>
          <t>017-741-0121</t>
        </is>
      </c>
      <c r="F60" s="7" t="inlineStr">
        <is>
          <t>高</t>
        </is>
      </c>
      <c r="G60" s="5" t="inlineStr">
        <is>
          <t>普通科・専門学科</t>
        </is>
      </c>
      <c r="H60" s="8" t="n"/>
      <c r="I60" s="9" t="n"/>
      <c r="J60" s="9" t="inlineStr">
        <is>
          <t>未架電</t>
        </is>
      </c>
      <c r="K60" s="8" t="n"/>
      <c r="L60" s="9" t="n"/>
      <c r="M60" s="10" t="inlineStr">
        <is>
          <t>公式サイトで確認。中学校と共通。017-741-0123は短大の番号なので注意</t>
        </is>
      </c>
      <c r="N60" s="11" t="inlineStr">
        <is>
          <t>https://www.aomoriakenohoshi.ed.jp/ ; https://www.mapion.co.jp/phonebook/M11004/02201/ILSP0000041805_ipclm/</t>
        </is>
      </c>
      <c r="O60" s="12" t="inlineStr">
        <is>
          <t>開く</t>
        </is>
      </c>
    </row>
    <row r="61">
      <c r="A61" s="4" t="n">
        <v>57</v>
      </c>
      <c r="B61" s="5" t="inlineStr">
        <is>
          <t>青森県</t>
        </is>
      </c>
      <c r="C61" s="5" t="inlineStr">
        <is>
          <t>青森市</t>
        </is>
      </c>
      <c r="D61" s="5" t="inlineStr">
        <is>
          <t>青森山田高等学校</t>
        </is>
      </c>
      <c r="E61" s="6" t="inlineStr">
        <is>
          <t>017-739-2001</t>
        </is>
      </c>
      <c r="F61" s="7" t="inlineStr">
        <is>
          <t>高</t>
        </is>
      </c>
      <c r="G61" s="5" t="inlineStr">
        <is>
          <t>普通科・専門学科</t>
        </is>
      </c>
      <c r="H61" s="8" t="n"/>
      <c r="I61" s="9" t="n"/>
      <c r="J61" s="9" t="inlineStr">
        <is>
          <t>未架電</t>
        </is>
      </c>
      <c r="K61" s="8" t="n"/>
      <c r="L61" s="9" t="n"/>
      <c r="M61" s="10" t="inlineStr">
        <is>
          <t>全日制の番号。青森県の一覧ほか複数で一致。通信制は別番号（017-728-5030・未検証）</t>
        </is>
      </c>
      <c r="N61" s="11" t="inlineStr">
        <is>
          <t>https://www.pref.aomori.lg.jp/soshiki/soumu/gakuji/files/R5_kou.pdf ; https://studychain.jp/koukoudb/school/82/</t>
        </is>
      </c>
      <c r="O61" s="12" t="inlineStr">
        <is>
          <t>開く</t>
        </is>
      </c>
    </row>
    <row r="62">
      <c r="A62" s="4" t="n">
        <v>58</v>
      </c>
      <c r="B62" s="5" t="inlineStr">
        <is>
          <t>青森県</t>
        </is>
      </c>
      <c r="C62" s="5" t="inlineStr">
        <is>
          <t>八戸市</t>
        </is>
      </c>
      <c r="D62" s="5" t="inlineStr">
        <is>
          <t>向陵高等学校</t>
        </is>
      </c>
      <c r="E62" s="6" t="inlineStr">
        <is>
          <t>0178-44-3866</t>
        </is>
      </c>
      <c r="F62" s="13" t="inlineStr">
        <is>
          <t>中</t>
        </is>
      </c>
      <c r="G62" s="5" t="inlineStr">
        <is>
          <t>普通科</t>
        </is>
      </c>
      <c r="H62" s="8" t="n"/>
      <c r="I62" s="9" t="n"/>
      <c r="J62" s="9" t="inlineStr">
        <is>
          <t>未架電</t>
        </is>
      </c>
      <c r="K62" s="8" t="n"/>
      <c r="L62" s="9" t="n"/>
      <c r="M62" s="10" t="inlineStr">
        <is>
          <t>JS日本の学校のみで確認。千葉学園と同じ系列</t>
        </is>
      </c>
      <c r="N62" s="11" t="inlineStr">
        <is>
          <t>https://school.js88.com/scl_h/22027860/</t>
        </is>
      </c>
      <c r="O62" s="12" t="inlineStr">
        <is>
          <t>開く</t>
        </is>
      </c>
    </row>
    <row r="63">
      <c r="A63" s="4" t="n">
        <v>59</v>
      </c>
      <c r="B63" s="5" t="inlineStr">
        <is>
          <t>青森県</t>
        </is>
      </c>
      <c r="C63" s="5" t="inlineStr">
        <is>
          <t>五所川原市</t>
        </is>
      </c>
      <c r="D63" s="5" t="inlineStr">
        <is>
          <t>五所川原第一高等学校</t>
        </is>
      </c>
      <c r="E63" s="6" t="inlineStr">
        <is>
          <t>0173-34-2347</t>
        </is>
      </c>
      <c r="F63" s="7" t="inlineStr">
        <is>
          <t>高</t>
        </is>
      </c>
      <c r="G63" s="5" t="inlineStr">
        <is>
          <t>普通科</t>
        </is>
      </c>
      <c r="H63" s="8" t="n"/>
      <c r="I63" s="9" t="n"/>
      <c r="J63" s="9" t="inlineStr">
        <is>
          <t>未架電</t>
        </is>
      </c>
      <c r="K63" s="8" t="n"/>
      <c r="L63" s="9" t="n"/>
      <c r="M63" s="10" t="inlineStr">
        <is>
          <t>全日制の番号。職員室直通は0173-34-3635、通信制課程は0173-26-6662</t>
        </is>
      </c>
      <c r="N63" s="11" t="inlineStr">
        <is>
          <t>https://www.mapion.co.jp/phonebook/M11004/02205/ILSP0000040727_ipclm/ ; https://www.pref.aomori.lg.jp/soshiki/soumu/gakuji/files/R4_kou.pdf</t>
        </is>
      </c>
      <c r="O63" s="12" t="inlineStr">
        <is>
          <t>開く</t>
        </is>
      </c>
    </row>
    <row r="64">
      <c r="A64" s="4" t="n">
        <v>60</v>
      </c>
      <c r="B64" s="5" t="inlineStr">
        <is>
          <t>青森県</t>
        </is>
      </c>
      <c r="C64" s="5" t="inlineStr">
        <is>
          <t>弘前市</t>
        </is>
      </c>
      <c r="D64" s="5" t="inlineStr">
        <is>
          <t>柴田学園大学附属柴田学園高等学校</t>
        </is>
      </c>
      <c r="E64" s="6" t="inlineStr">
        <is>
          <t>0172-32-0135</t>
        </is>
      </c>
      <c r="F64" s="7" t="inlineStr">
        <is>
          <t>高</t>
        </is>
      </c>
      <c r="G64" s="5" t="inlineStr">
        <is>
          <t>普通科・専門学科</t>
        </is>
      </c>
      <c r="H64" s="8" t="n"/>
      <c r="I64" s="9" t="n"/>
      <c r="J64" s="9" t="inlineStr">
        <is>
          <t>未架電</t>
        </is>
      </c>
      <c r="K64" s="8" t="n"/>
      <c r="L64" s="9" t="n"/>
      <c r="M64" s="10" t="inlineStr">
        <is>
          <t>公式サイトで確認。0172-32-6151は短大の番号なので注意</t>
        </is>
      </c>
      <c r="N64" s="11" t="inlineStr">
        <is>
          <t>https://hs.shibata.ac.jp/access/ ; https://school.js88.com/scl_h/22027720</t>
        </is>
      </c>
      <c r="O64" s="12" t="inlineStr">
        <is>
          <t>開く</t>
        </is>
      </c>
    </row>
    <row r="65">
      <c r="A65" s="4" t="n">
        <v>61</v>
      </c>
      <c r="B65" s="5" t="inlineStr">
        <is>
          <t>青森県</t>
        </is>
      </c>
      <c r="C65" s="5" t="inlineStr">
        <is>
          <t>鶴田町</t>
        </is>
      </c>
      <c r="D65" s="5" t="inlineStr">
        <is>
          <t>下山学園高等学校</t>
        </is>
      </c>
      <c r="E65" s="6" t="inlineStr">
        <is>
          <t>0173-23-5541</t>
        </is>
      </c>
      <c r="F65" s="7" t="inlineStr">
        <is>
          <t>高</t>
        </is>
      </c>
      <c r="G65" s="5" t="inlineStr">
        <is>
          <t>普通科・専門学科</t>
        </is>
      </c>
      <c r="H65" s="8" t="n"/>
      <c r="I65" s="9" t="n"/>
      <c r="J65" s="9" t="inlineStr">
        <is>
          <t>未架電</t>
        </is>
      </c>
      <c r="K65" s="8" t="n"/>
      <c r="L65" s="9" t="n"/>
      <c r="M65" s="10" t="inlineStr">
        <is>
          <t>2つの情報源で一致</t>
        </is>
      </c>
      <c r="N65" s="11" t="inlineStr">
        <is>
          <t>https://school.js88.com/scl_h/22027820?page=7 ; https://www.navitime.co.jp/category/0504/02384/</t>
        </is>
      </c>
      <c r="O65" s="12" t="inlineStr">
        <is>
          <t>開く</t>
        </is>
      </c>
    </row>
    <row r="66">
      <c r="A66" s="4" t="n">
        <v>62</v>
      </c>
      <c r="B66" s="5" t="inlineStr">
        <is>
          <t>青森県</t>
        </is>
      </c>
      <c r="C66" s="5" t="inlineStr">
        <is>
          <t>平内町</t>
        </is>
      </c>
      <c r="D66" s="5" t="inlineStr">
        <is>
          <t>松風塾高等学校</t>
        </is>
      </c>
      <c r="E66" s="6" t="inlineStr">
        <is>
          <t>017-756-2817</t>
        </is>
      </c>
      <c r="F66" s="7" t="inlineStr">
        <is>
          <t>高</t>
        </is>
      </c>
      <c r="G66" s="5" t="inlineStr">
        <is>
          <t>普通科</t>
        </is>
      </c>
      <c r="H66" s="8" t="n"/>
      <c r="I66" s="9" t="n"/>
      <c r="J66" s="9" t="inlineStr">
        <is>
          <t>未架電</t>
        </is>
      </c>
      <c r="K66" s="8" t="n"/>
      <c r="L66" s="9" t="n"/>
      <c r="M66" s="10" t="inlineStr">
        <is>
          <t>青森県の一覧（R6）と学校情報サイトで一致</t>
        </is>
      </c>
      <c r="N66" s="11" t="inlineStr">
        <is>
          <t>https://www.pref.aomori.lg.jp/soshiki/kodomo/kenmin/files/R6_kou.pdf ; https://school.js88.com/scl_h/22027830?page=7</t>
        </is>
      </c>
      <c r="O66" s="12" t="inlineStr">
        <is>
          <t>開く</t>
        </is>
      </c>
    </row>
    <row r="67">
      <c r="A67" s="4" t="n">
        <v>63</v>
      </c>
      <c r="B67" s="5" t="inlineStr">
        <is>
          <t>青森県</t>
        </is>
      </c>
      <c r="C67" s="5" t="inlineStr">
        <is>
          <t>八戸市</t>
        </is>
      </c>
      <c r="D67" s="5" t="inlineStr">
        <is>
          <t>千葉学園高等学校</t>
        </is>
      </c>
      <c r="E67" s="6" t="inlineStr">
        <is>
          <t>0178-43-4321</t>
        </is>
      </c>
      <c r="F67" s="7" t="inlineStr">
        <is>
          <t>高</t>
        </is>
      </c>
      <c r="G67" s="5" t="inlineStr">
        <is>
          <t>専門学科</t>
        </is>
      </c>
      <c r="H67" s="8" t="n"/>
      <c r="I67" s="9" t="n"/>
      <c r="J67" s="9" t="inlineStr">
        <is>
          <t>未架電</t>
        </is>
      </c>
      <c r="K67" s="8" t="n"/>
      <c r="L67" s="9" t="n"/>
      <c r="M67" s="10" t="inlineStr">
        <is>
          <t>青森県の一覧・マピオン・学校情報サイトで一致</t>
        </is>
      </c>
      <c r="N67" s="11" t="inlineStr">
        <is>
          <t>https://www.pref.aomori.lg.jp/soshiki/kodomo/kenmin/files/R6_kou.pdf ; https://www.mapion.co.jp/phonebook/M11004/02203/ILSP0000041720_ipclm/</t>
        </is>
      </c>
      <c r="O67" s="12" t="inlineStr">
        <is>
          <t>開く</t>
        </is>
      </c>
    </row>
    <row r="68">
      <c r="A68" s="4" t="n">
        <v>64</v>
      </c>
      <c r="B68" s="5" t="inlineStr">
        <is>
          <t>青森県</t>
        </is>
      </c>
      <c r="C68" s="5" t="inlineStr">
        <is>
          <t>青森市</t>
        </is>
      </c>
      <c r="D68" s="5" t="inlineStr">
        <is>
          <t>東奥学園高等学校</t>
        </is>
      </c>
      <c r="E68" s="6" t="inlineStr">
        <is>
          <t>017-775-2121</t>
        </is>
      </c>
      <c r="F68" s="7" t="inlineStr">
        <is>
          <t>高</t>
        </is>
      </c>
      <c r="G68" s="5" t="inlineStr">
        <is>
          <t>普通科・専門学科</t>
        </is>
      </c>
      <c r="H68" s="8" t="n"/>
      <c r="I68" s="9" t="n"/>
      <c r="J68" s="9" t="inlineStr">
        <is>
          <t>未架電</t>
        </is>
      </c>
      <c r="K68" s="8" t="n"/>
      <c r="L68" s="9" t="n"/>
      <c r="M68" s="10" t="inlineStr">
        <is>
          <t>公式サイトで確認。通信制課程も同じ番号</t>
        </is>
      </c>
      <c r="N68" s="11" t="inlineStr">
        <is>
          <t>https://www.toogakuen.ac.jp/</t>
        </is>
      </c>
      <c r="O68" s="12" t="inlineStr">
        <is>
          <t>開く</t>
        </is>
      </c>
    </row>
    <row r="69">
      <c r="A69" s="4" t="n">
        <v>65</v>
      </c>
      <c r="B69" s="5" t="inlineStr">
        <is>
          <t>青森県</t>
        </is>
      </c>
      <c r="C69" s="5" t="inlineStr">
        <is>
          <t>弘前市</t>
        </is>
      </c>
      <c r="D69" s="5" t="inlineStr">
        <is>
          <t>東奥義塾高等学校</t>
        </is>
      </c>
      <c r="E69" s="6" t="inlineStr">
        <is>
          <t>0172-92-4111</t>
        </is>
      </c>
      <c r="F69" s="7" t="inlineStr">
        <is>
          <t>高</t>
        </is>
      </c>
      <c r="G69" s="5" t="inlineStr">
        <is>
          <t>普通科</t>
        </is>
      </c>
      <c r="H69" s="8" t="n"/>
      <c r="I69" s="9" t="n"/>
      <c r="J69" s="9" t="inlineStr">
        <is>
          <t>未架電</t>
        </is>
      </c>
      <c r="K69" s="8" t="n"/>
      <c r="L69" s="9" t="n"/>
      <c r="M69" s="10" t="inlineStr">
        <is>
          <t>青森県の私立高校一覧と学校情報サイトで一致</t>
        </is>
      </c>
      <c r="N69" s="11" t="inlineStr">
        <is>
          <t>https://www.pref.aomori.lg.jp/soshiki/soumu/gakuji/files/R5_kou.pdf ; https://school.js88.com/scl_h/22027700</t>
        </is>
      </c>
      <c r="O69" s="12" t="inlineStr">
        <is>
          <t>開く</t>
        </is>
      </c>
    </row>
    <row r="70">
      <c r="A70" s="4" t="n">
        <v>66</v>
      </c>
      <c r="B70" s="5" t="inlineStr">
        <is>
          <t>青森県</t>
        </is>
      </c>
      <c r="C70" s="5" t="inlineStr">
        <is>
          <t>八戸市</t>
        </is>
      </c>
      <c r="D70" s="5" t="inlineStr">
        <is>
          <t>八戸学院光星高等学校</t>
        </is>
      </c>
      <c r="E70" s="6" t="inlineStr">
        <is>
          <t>0178-33-4151</t>
        </is>
      </c>
      <c r="F70" s="7" t="inlineStr">
        <is>
          <t>高</t>
        </is>
      </c>
      <c r="G70" s="5" t="inlineStr">
        <is>
          <t>普通科・専門学科</t>
        </is>
      </c>
      <c r="H70" s="8" t="n"/>
      <c r="I70" s="9" t="n"/>
      <c r="J70" s="9" t="inlineStr">
        <is>
          <t>未架電</t>
        </is>
      </c>
      <c r="K70" s="8" t="n"/>
      <c r="L70" s="9" t="n"/>
      <c r="M70" s="10" t="inlineStr">
        <is>
          <t>公式サイトで確認。入試関係（総務部直通）は0178-35-2043</t>
        </is>
      </c>
      <c r="N70" s="11" t="inlineStr">
        <is>
          <t>https://kh.hachinohe-u.ac.jp/scinfo/summary/</t>
        </is>
      </c>
      <c r="O70" s="12" t="inlineStr">
        <is>
          <t>開く</t>
        </is>
      </c>
    </row>
    <row r="71">
      <c r="A71" s="4" t="n">
        <v>67</v>
      </c>
      <c r="B71" s="5" t="inlineStr">
        <is>
          <t>青森県</t>
        </is>
      </c>
      <c r="C71" s="5" t="inlineStr">
        <is>
          <t>野辺地町</t>
        </is>
      </c>
      <c r="D71" s="5" t="inlineStr">
        <is>
          <t>八戸学院野辺地西高等学校</t>
        </is>
      </c>
      <c r="E71" s="6" t="inlineStr">
        <is>
          <t>0175-64-4166</t>
        </is>
      </c>
      <c r="F71" s="13" t="inlineStr">
        <is>
          <t>中</t>
        </is>
      </c>
      <c r="G71" s="5" t="inlineStr">
        <is>
          <t>総合学科</t>
        </is>
      </c>
      <c r="H71" s="8" t="n"/>
      <c r="I71" s="9" t="n"/>
      <c r="J71" s="9" t="inlineStr">
        <is>
          <t>未架電</t>
        </is>
      </c>
      <c r="K71" s="8" t="n"/>
      <c r="L71" s="9" t="n"/>
      <c r="M71" s="10" t="inlineStr">
        <is>
          <t>野辺地町の本校。JS日本の学校のみで確認</t>
        </is>
      </c>
      <c r="N71" s="11" t="inlineStr">
        <is>
          <t>https://school.js88.com/scl_h/22027840</t>
        </is>
      </c>
      <c r="O71" s="12" t="inlineStr">
        <is>
          <t>開く</t>
        </is>
      </c>
    </row>
    <row r="72">
      <c r="A72" s="4" t="n">
        <v>68</v>
      </c>
      <c r="B72" s="5" t="inlineStr">
        <is>
          <t>青森県</t>
        </is>
      </c>
      <c r="C72" s="5" t="inlineStr">
        <is>
          <t>八戸市</t>
        </is>
      </c>
      <c r="D72" s="5" t="inlineStr">
        <is>
          <t>八戸工業大学第一高等学校</t>
        </is>
      </c>
      <c r="E72" s="6" t="inlineStr">
        <is>
          <t>0178-33-5121</t>
        </is>
      </c>
      <c r="F72" s="7" t="inlineStr">
        <is>
          <t>高</t>
        </is>
      </c>
      <c r="G72" s="5" t="inlineStr">
        <is>
          <t>普通科・専門学科</t>
        </is>
      </c>
      <c r="H72" s="8" t="n"/>
      <c r="I72" s="9" t="n"/>
      <c r="J72" s="9" t="inlineStr">
        <is>
          <t>未架電</t>
        </is>
      </c>
      <c r="K72" s="8" t="n"/>
      <c r="L72" s="9" t="n"/>
      <c r="M72" s="10" t="inlineStr">
        <is>
          <t>代表番号。2つの情報源で一致</t>
        </is>
      </c>
      <c r="N72" s="11" t="inlineStr">
        <is>
          <t>https://school.js88.com/scl_h/22027800 ; https://map.yahoo.co.jp/v3/place/dGZMNK1nstI</t>
        </is>
      </c>
      <c r="O72" s="12" t="inlineStr">
        <is>
          <t>開く</t>
        </is>
      </c>
    </row>
    <row r="73">
      <c r="A73" s="4" t="n">
        <v>69</v>
      </c>
      <c r="B73" s="5" t="inlineStr">
        <is>
          <t>青森県</t>
        </is>
      </c>
      <c r="C73" s="5" t="inlineStr">
        <is>
          <t>八戸市</t>
        </is>
      </c>
      <c r="D73" s="5" t="inlineStr">
        <is>
          <t>八戸工業大学第二高等学校</t>
        </is>
      </c>
      <c r="E73" s="6" t="inlineStr">
        <is>
          <t>0178-25-4311</t>
        </is>
      </c>
      <c r="F73" s="7" t="inlineStr">
        <is>
          <t>高</t>
        </is>
      </c>
      <c r="G73" s="5" t="inlineStr">
        <is>
          <t>普通科</t>
        </is>
      </c>
      <c r="H73" s="8" t="n"/>
      <c r="I73" s="9" t="n"/>
      <c r="J73" s="9" t="inlineStr">
        <is>
          <t>未架電</t>
        </is>
      </c>
      <c r="K73" s="8" t="n"/>
      <c r="L73" s="9" t="n"/>
      <c r="M73" s="10" t="inlineStr">
        <is>
          <t>公式サイトで確認。附属中学校と共通</t>
        </is>
      </c>
      <c r="N73" s="11" t="inlineStr">
        <is>
          <t>https://www.kodai2-h.ed.jp/access</t>
        </is>
      </c>
      <c r="O73" s="12" t="inlineStr">
        <is>
          <t>開く</t>
        </is>
      </c>
    </row>
    <row r="74">
      <c r="A74" s="4" t="n">
        <v>70</v>
      </c>
      <c r="B74" s="5" t="inlineStr">
        <is>
          <t>青森県</t>
        </is>
      </c>
      <c r="C74" s="5" t="inlineStr">
        <is>
          <t>八戸市</t>
        </is>
      </c>
      <c r="D74" s="5" t="inlineStr">
        <is>
          <t>八戸聖ウルスラ学院高等学校</t>
        </is>
      </c>
      <c r="E74" s="6" t="inlineStr">
        <is>
          <t>0178-27-2245</t>
        </is>
      </c>
      <c r="F74" s="7" t="inlineStr">
        <is>
          <t>高</t>
        </is>
      </c>
      <c r="G74" s="5" t="inlineStr">
        <is>
          <t>普通科・専門学科</t>
        </is>
      </c>
      <c r="H74" s="8" t="n"/>
      <c r="I74" s="9" t="n"/>
      <c r="J74" s="9" t="inlineStr">
        <is>
          <t>未架電</t>
        </is>
      </c>
      <c r="K74" s="8" t="n"/>
      <c r="L74" s="9" t="n"/>
      <c r="M74" s="10" t="inlineStr">
        <is>
          <t>中高共通の番号</t>
        </is>
      </c>
      <c r="N74" s="11" t="inlineStr">
        <is>
          <t>https://unesco-sdgs.mext.go.jp/stakeholders/hachinohe-st-ursula-junior-and-senior-high-school ; https://studychain.jp/koukoudb/school/4086/</t>
        </is>
      </c>
      <c r="O74" s="12" t="inlineStr">
        <is>
          <t>開く</t>
        </is>
      </c>
    </row>
    <row r="75">
      <c r="A75" s="4" t="n">
        <v>71</v>
      </c>
      <c r="B75" s="5" t="inlineStr">
        <is>
          <t>青森県</t>
        </is>
      </c>
      <c r="C75" s="5" t="inlineStr">
        <is>
          <t>弘前市</t>
        </is>
      </c>
      <c r="D75" s="5" t="inlineStr">
        <is>
          <t>弘前学院聖愛高等学校</t>
        </is>
      </c>
      <c r="E75" s="6" t="inlineStr">
        <is>
          <t>0172-87-1411</t>
        </is>
      </c>
      <c r="F75" s="7" t="inlineStr">
        <is>
          <t>高</t>
        </is>
      </c>
      <c r="G75" s="5" t="inlineStr">
        <is>
          <t>普通科</t>
        </is>
      </c>
      <c r="H75" s="8" t="n"/>
      <c r="I75" s="9" t="n"/>
      <c r="J75" s="9" t="inlineStr">
        <is>
          <t>未架電</t>
        </is>
      </c>
      <c r="K75" s="8" t="n"/>
      <c r="L75" s="9" t="n"/>
      <c r="M75" s="10" t="inlineStr">
        <is>
          <t>青森県の私立高校一覧（R4・R6版）で確認</t>
        </is>
      </c>
      <c r="N75" s="11" t="inlineStr">
        <is>
          <t>https://www.pref.aomori.lg.jp/soshiki/kodomo/kenmin/files/R6_kou.pdf</t>
        </is>
      </c>
      <c r="O75" s="12" t="inlineStr">
        <is>
          <t>開く</t>
        </is>
      </c>
    </row>
    <row r="76">
      <c r="A76" s="4" t="n">
        <v>72</v>
      </c>
      <c r="B76" s="5" t="inlineStr">
        <is>
          <t>青森県</t>
        </is>
      </c>
      <c r="C76" s="5" t="inlineStr">
        <is>
          <t>弘前市</t>
        </is>
      </c>
      <c r="D76" s="5" t="inlineStr">
        <is>
          <t>弘前東高等学校</t>
        </is>
      </c>
      <c r="E76" s="6" t="inlineStr">
        <is>
          <t>0172-27-6487</t>
        </is>
      </c>
      <c r="F76" s="7" t="inlineStr">
        <is>
          <t>高</t>
        </is>
      </c>
      <c r="G76" s="5" t="inlineStr">
        <is>
          <t>普通科・専門学科</t>
        </is>
      </c>
      <c r="H76" s="8" t="n"/>
      <c r="I76" s="9" t="n"/>
      <c r="J76" s="9" t="inlineStr">
        <is>
          <t>未架電</t>
        </is>
      </c>
      <c r="K76" s="8" t="n"/>
      <c r="L76" s="9" t="n"/>
      <c r="M76" s="10" t="inlineStr">
        <is>
          <t>公式サイトと青森県の一覧で一致</t>
        </is>
      </c>
      <c r="N76" s="11" t="inlineStr">
        <is>
          <t>https://hirosakihigashi-th.ed.jp/ ; https://www.pref.aomori.lg.jp/soshiki/soumu/gakuji/files/R5_kou.pdf</t>
        </is>
      </c>
      <c r="O76" s="12" t="inlineStr">
        <is>
          <t>開く</t>
        </is>
      </c>
    </row>
    <row r="77">
      <c r="A77" s="4" t="n">
        <v>73</v>
      </c>
      <c r="B77" s="5" t="inlineStr">
        <is>
          <t>岩手県</t>
        </is>
      </c>
      <c r="C77" s="5" t="inlineStr">
        <is>
          <t>一関市</t>
        </is>
      </c>
      <c r="D77" s="5" t="inlineStr">
        <is>
          <t>一関学院高等学校</t>
        </is>
      </c>
      <c r="E77" s="6" t="inlineStr">
        <is>
          <t>0191-23-4240</t>
        </is>
      </c>
      <c r="F77" s="7" t="inlineStr">
        <is>
          <t>高</t>
        </is>
      </c>
      <c r="G77" s="5" t="inlineStr">
        <is>
          <t>普通科</t>
        </is>
      </c>
      <c r="H77" s="8" t="n"/>
      <c r="I77" s="9" t="n"/>
      <c r="J77" s="9" t="inlineStr">
        <is>
          <t>未架電</t>
        </is>
      </c>
      <c r="K77" s="8" t="n"/>
      <c r="L77" s="9" t="n"/>
      <c r="M77" s="10" t="inlineStr">
        <is>
          <t>公式サイトで確認（全日制・通信制共通、受付8:30〜17:00）。職員室は0191-23-3906</t>
        </is>
      </c>
      <c r="N77" s="11" t="inlineStr">
        <is>
          <t>https://ichinoseki-gakuin.jp/contact/index.html ; https://www.mapion.co.jp/phonebook/M11004/03209/ILSP0000041169_ipclm/</t>
        </is>
      </c>
      <c r="O77" s="12" t="inlineStr">
        <is>
          <t>開く</t>
        </is>
      </c>
    </row>
    <row r="78">
      <c r="A78" s="4" t="n">
        <v>74</v>
      </c>
      <c r="B78" s="5" t="inlineStr">
        <is>
          <t>岩手県</t>
        </is>
      </c>
      <c r="C78" s="5" t="inlineStr">
        <is>
          <t>一関市</t>
        </is>
      </c>
      <c r="D78" s="5" t="inlineStr">
        <is>
          <t>一関修紅高等学校</t>
        </is>
      </c>
      <c r="E78" s="6" t="inlineStr">
        <is>
          <t>0191-23-3096</t>
        </is>
      </c>
      <c r="F78" s="7" t="inlineStr">
        <is>
          <t>高</t>
        </is>
      </c>
      <c r="G78" s="5" t="inlineStr">
        <is>
          <t>普通科</t>
        </is>
      </c>
      <c r="H78" s="8" t="n"/>
      <c r="I78" s="9" t="n"/>
      <c r="J78" s="9" t="inlineStr">
        <is>
          <t>未架電</t>
        </is>
      </c>
      <c r="K78" s="8" t="n"/>
      <c r="L78" s="9" t="n"/>
      <c r="M78" s="10" t="inlineStr">
        <is>
          <t>公式サイトで確認。一部サイトの0191-23-3271は旧番号の可能性あり</t>
        </is>
      </c>
      <c r="N78" s="11" t="inlineStr">
        <is>
          <t>https://shuko.ed.jp/profile/ ; https://www.mapion.co.jp/phonebook/M11004/03209/ILSP0000041931_ipclm/</t>
        </is>
      </c>
      <c r="O78" s="12" t="inlineStr">
        <is>
          <t>開く</t>
        </is>
      </c>
    </row>
    <row r="79">
      <c r="A79" s="4" t="n">
        <v>75</v>
      </c>
      <c r="B79" s="5" t="inlineStr">
        <is>
          <t>岩手県</t>
        </is>
      </c>
      <c r="C79" s="5" t="inlineStr">
        <is>
          <t>盛岡市</t>
        </is>
      </c>
      <c r="D79" s="5" t="inlineStr">
        <is>
          <t>岩手高等学校</t>
        </is>
      </c>
      <c r="E79" s="6" t="inlineStr">
        <is>
          <t>019-624-4445</t>
        </is>
      </c>
      <c r="F79" s="7" t="inlineStr">
        <is>
          <t>高</t>
        </is>
      </c>
      <c r="G79" s="5" t="inlineStr">
        <is>
          <t>普通科</t>
        </is>
      </c>
      <c r="H79" s="8" t="n"/>
      <c r="I79" s="9" t="n"/>
      <c r="J79" s="9" t="inlineStr">
        <is>
          <t>未架電</t>
        </is>
      </c>
      <c r="K79" s="8" t="n"/>
      <c r="L79" s="9" t="n"/>
      <c r="M79" s="10" t="inlineStr">
        <is>
          <t>公式サイトで確認。中高共通の番号。男子校</t>
        </is>
      </c>
      <c r="N79" s="11" t="inlineStr">
        <is>
          <t>https://iwate-jh.ed.jp/ ; https://map.yahoo.co.jp/v3/place/RvEksJmg4Wo</t>
        </is>
      </c>
      <c r="O79" s="12" t="inlineStr">
        <is>
          <t>開く</t>
        </is>
      </c>
    </row>
    <row r="80">
      <c r="A80" s="4" t="n">
        <v>76</v>
      </c>
      <c r="B80" s="5" t="inlineStr">
        <is>
          <t>岩手県</t>
        </is>
      </c>
      <c r="C80" s="5" t="inlineStr">
        <is>
          <t>盛岡市</t>
        </is>
      </c>
      <c r="D80" s="5" t="inlineStr">
        <is>
          <t>岩手女子高等学校</t>
        </is>
      </c>
      <c r="E80" s="6" t="inlineStr">
        <is>
          <t>019-623-6467</t>
        </is>
      </c>
      <c r="F80" s="7" t="inlineStr">
        <is>
          <t>高</t>
        </is>
      </c>
      <c r="G80" s="5" t="inlineStr">
        <is>
          <t>普通科・専門学科</t>
        </is>
      </c>
      <c r="H80" s="8" t="n"/>
      <c r="I80" s="9" t="n"/>
      <c r="J80" s="9" t="inlineStr">
        <is>
          <t>未架電</t>
        </is>
      </c>
      <c r="K80" s="8" t="n"/>
      <c r="L80" s="9" t="n"/>
      <c r="M80" s="10" t="inlineStr">
        <is>
          <t>公式サイトで確認</t>
        </is>
      </c>
      <c r="N80" s="11" t="inlineStr">
        <is>
          <t>https://iwatejoshi-h.ed.jp/access/index.html ; https://school.js88.com/scl_h/22028650</t>
        </is>
      </c>
      <c r="O80" s="12" t="inlineStr">
        <is>
          <t>開く</t>
        </is>
      </c>
    </row>
    <row r="81">
      <c r="A81" s="4" t="n">
        <v>77</v>
      </c>
      <c r="B81" s="5" t="inlineStr">
        <is>
          <t>岩手県</t>
        </is>
      </c>
      <c r="C81" s="5" t="inlineStr">
        <is>
          <t>盛岡市</t>
        </is>
      </c>
      <c r="D81" s="5" t="inlineStr">
        <is>
          <t>江南義塾盛岡高等学校</t>
        </is>
      </c>
      <c r="E81" s="6" t="inlineStr">
        <is>
          <t>019-646-1866</t>
        </is>
      </c>
      <c r="F81" s="7" t="inlineStr">
        <is>
          <t>高</t>
        </is>
      </c>
      <c r="G81" s="5" t="inlineStr">
        <is>
          <t>普通科</t>
        </is>
      </c>
      <c r="H81" s="8" t="n"/>
      <c r="I81" s="9" t="n"/>
      <c r="J81" s="9" t="inlineStr">
        <is>
          <t>未架電</t>
        </is>
      </c>
      <c r="K81" s="8" t="n"/>
      <c r="L81" s="9" t="n"/>
      <c r="M81" s="10" t="inlineStr">
        <is>
          <t>公式サイトの事務室の番号（通信制・盛岡本校）。職員室は019-656-1550</t>
        </is>
      </c>
      <c r="N81" s="11" t="inlineStr">
        <is>
          <t>http://kounan-h.jp/ ; https://school.js88.com/scl_h/22028670/</t>
        </is>
      </c>
      <c r="O81" s="12" t="inlineStr">
        <is>
          <t>開く</t>
        </is>
      </c>
    </row>
    <row r="82">
      <c r="A82" s="4" t="n">
        <v>78</v>
      </c>
      <c r="B82" s="5" t="inlineStr">
        <is>
          <t>岩手県</t>
        </is>
      </c>
      <c r="C82" s="5" t="inlineStr">
        <is>
          <t>北上市</t>
        </is>
      </c>
      <c r="D82" s="5" t="inlineStr">
        <is>
          <t>専修大学北上高等学校</t>
        </is>
      </c>
      <c r="E82" s="6" t="inlineStr">
        <is>
          <t>0197-63-2341</t>
        </is>
      </c>
      <c r="F82" s="7" t="inlineStr">
        <is>
          <t>高</t>
        </is>
      </c>
      <c r="G82" s="5" t="inlineStr">
        <is>
          <t>普通科・専門学科</t>
        </is>
      </c>
      <c r="H82" s="8" t="n"/>
      <c r="I82" s="9" t="n"/>
      <c r="J82" s="9" t="inlineStr">
        <is>
          <t>未架電</t>
        </is>
      </c>
      <c r="K82" s="8" t="n"/>
      <c r="L82" s="9" t="n"/>
      <c r="M82" s="10" t="inlineStr">
        <is>
          <t>公式サイトに「代表」と記載</t>
        </is>
      </c>
      <c r="N82" s="11" t="inlineStr">
        <is>
          <t>https://www.minkou.jp/hischool/school/2478/ ; https://school.js88.com/scl_h/22028730</t>
        </is>
      </c>
      <c r="O82" s="12" t="inlineStr">
        <is>
          <t>開く</t>
        </is>
      </c>
    </row>
    <row r="83">
      <c r="A83" s="4" t="n">
        <v>79</v>
      </c>
      <c r="B83" s="5" t="inlineStr">
        <is>
          <t>岩手県</t>
        </is>
      </c>
      <c r="C83" s="5" t="inlineStr">
        <is>
          <t>花巻市</t>
        </is>
      </c>
      <c r="D83" s="5" t="inlineStr">
        <is>
          <t>花巻東高等学校</t>
        </is>
      </c>
      <c r="E83" s="6" t="inlineStr">
        <is>
          <t>0198-41-1135</t>
        </is>
      </c>
      <c r="F83" s="7" t="inlineStr">
        <is>
          <t>高</t>
        </is>
      </c>
      <c r="G83" s="5" t="inlineStr">
        <is>
          <t>普通科</t>
        </is>
      </c>
      <c r="H83" s="8" t="n"/>
      <c r="I83" s="9" t="n"/>
      <c r="J83" s="9" t="inlineStr">
        <is>
          <t>未架電</t>
        </is>
      </c>
      <c r="K83" s="8" t="n"/>
      <c r="L83" s="9" t="n"/>
      <c r="M83" s="10" t="inlineStr">
        <is>
          <t>公式サイトの事務室の番号。職員室は0198-24-2825</t>
        </is>
      </c>
      <c r="N83" s="11" t="inlineStr">
        <is>
          <t>https://www.hanamakihigashi-h.jp/contact/index.php ; https://www.mapion.co.jp/phonebook/M11004/03205/ILSP0000041838_ipclm/</t>
        </is>
      </c>
      <c r="O83" s="12" t="inlineStr">
        <is>
          <t>開く</t>
        </is>
      </c>
    </row>
    <row r="84">
      <c r="A84" s="4" t="n">
        <v>80</v>
      </c>
      <c r="B84" s="5" t="inlineStr">
        <is>
          <t>岩手県</t>
        </is>
      </c>
      <c r="C84" s="5" t="inlineStr">
        <is>
          <t>奥州市</t>
        </is>
      </c>
      <c r="D84" s="5" t="inlineStr">
        <is>
          <t>水沢第一高等学校</t>
        </is>
      </c>
      <c r="E84" s="6" t="inlineStr">
        <is>
          <t>0197-24-6171</t>
        </is>
      </c>
      <c r="F84" s="7" t="inlineStr">
        <is>
          <t>高</t>
        </is>
      </c>
      <c r="G84" s="5" t="inlineStr">
        <is>
          <t>普通科・専門学科</t>
        </is>
      </c>
      <c r="H84" s="8" t="n"/>
      <c r="I84" s="9" t="n"/>
      <c r="J84" s="9" t="inlineStr">
        <is>
          <t>未架電</t>
        </is>
      </c>
      <c r="K84" s="8" t="n"/>
      <c r="L84" s="9" t="n"/>
      <c r="M84" s="10" t="inlineStr">
        <is>
          <t>公式サイトで確認。県立水沢高校（0197-24-3152）とは別の学校なので注意</t>
        </is>
      </c>
      <c r="N84" s="11" t="inlineStr">
        <is>
          <t>https://mizuichi.ed.jp/contact/index.html ; https://www.mapion.co.jp/phonebook/M11004/03215/ILSP0000041877_ipclm/</t>
        </is>
      </c>
      <c r="O84" s="12" t="inlineStr">
        <is>
          <t>開く</t>
        </is>
      </c>
    </row>
    <row r="85">
      <c r="A85" s="4" t="n">
        <v>81</v>
      </c>
      <c r="B85" s="5" t="inlineStr">
        <is>
          <t>岩手県</t>
        </is>
      </c>
      <c r="C85" s="5" t="inlineStr">
        <is>
          <t>盛岡市</t>
        </is>
      </c>
      <c r="D85" s="5" t="inlineStr">
        <is>
          <t>盛岡白百合学園高等学校</t>
        </is>
      </c>
      <c r="E85" s="6" t="inlineStr">
        <is>
          <t>019-661-6330</t>
        </is>
      </c>
      <c r="F85" s="7" t="inlineStr">
        <is>
          <t>高</t>
        </is>
      </c>
      <c r="G85" s="5" t="inlineStr">
        <is>
          <t>普通科</t>
        </is>
      </c>
      <c r="H85" s="8" t="n"/>
      <c r="I85" s="9" t="n"/>
      <c r="J85" s="9" t="inlineStr">
        <is>
          <t>未架電</t>
        </is>
      </c>
      <c r="K85" s="8" t="n"/>
      <c r="L85" s="9" t="n"/>
      <c r="M85" s="10" t="inlineStr">
        <is>
          <t>中高共通の代表番号。共学化の可能性あり（校名・体制を要確認）</t>
        </is>
      </c>
      <c r="N85" s="11" t="inlineStr">
        <is>
          <t>https://msgsp.jp/admission/ ; https://www.mapion.co.jp/phonebook/M11004/03201/ILSP0000040814_ipclm/</t>
        </is>
      </c>
      <c r="O85" s="12" t="inlineStr">
        <is>
          <t>開く</t>
        </is>
      </c>
    </row>
    <row r="86">
      <c r="A86" s="4" t="n">
        <v>82</v>
      </c>
      <c r="B86" s="5" t="inlineStr">
        <is>
          <t>岩手県</t>
        </is>
      </c>
      <c r="C86" s="5" t="inlineStr">
        <is>
          <t>盛岡市</t>
        </is>
      </c>
      <c r="D86" s="5" t="inlineStr">
        <is>
          <t>盛岡スコーレ高等学校</t>
        </is>
      </c>
      <c r="E86" s="6" t="inlineStr">
        <is>
          <t>019-636-0827</t>
        </is>
      </c>
      <c r="F86" s="13" t="inlineStr">
        <is>
          <t>中</t>
        </is>
      </c>
      <c r="G86" s="5" t="inlineStr">
        <is>
          <t>総合学科</t>
        </is>
      </c>
      <c r="H86" s="8" t="n"/>
      <c r="I86" s="9" t="n"/>
      <c r="J86" s="9" t="inlineStr">
        <is>
          <t>未架電</t>
        </is>
      </c>
      <c r="K86" s="8" t="n"/>
      <c r="L86" s="9" t="n"/>
      <c r="M86" s="10" t="inlineStr">
        <is>
          <t>JS日本の学校のみで確認。019-681-0831は高校生レストラン専用の番号</t>
        </is>
      </c>
      <c r="N86" s="11" t="inlineStr">
        <is>
          <t>https://school.js88.com/scl_h/22028690?page=7</t>
        </is>
      </c>
      <c r="O86" s="12" t="inlineStr">
        <is>
          <t>開く</t>
        </is>
      </c>
    </row>
    <row r="87">
      <c r="A87" s="4" t="n">
        <v>83</v>
      </c>
      <c r="B87" s="5" t="inlineStr">
        <is>
          <t>岩手県</t>
        </is>
      </c>
      <c r="C87" s="5" t="inlineStr">
        <is>
          <t>盛岡市</t>
        </is>
      </c>
      <c r="D87" s="5" t="inlineStr">
        <is>
          <t>盛岡誠桜高等学校</t>
        </is>
      </c>
      <c r="E87" s="6" t="inlineStr">
        <is>
          <t>019-661-3633</t>
        </is>
      </c>
      <c r="F87" s="7" t="inlineStr">
        <is>
          <t>高</t>
        </is>
      </c>
      <c r="G87" s="5" t="inlineStr">
        <is>
          <t>普通科・専門学科</t>
        </is>
      </c>
      <c r="H87" s="8" t="n"/>
      <c r="I87" s="9" t="n"/>
      <c r="J87" s="9" t="inlineStr">
        <is>
          <t>未架電</t>
        </is>
      </c>
      <c r="K87" s="8" t="n"/>
      <c r="L87" s="9" t="n"/>
      <c r="M87" s="10" t="inlineStr">
        <is>
          <t>公式サイトで確認</t>
        </is>
      </c>
      <c r="N87" s="11" t="inlineStr">
        <is>
          <t>https://www.morioka-seio.ed.jp/about_school/ ; https://www.mapion.co.jp/phonebook/M11004/03201/ILSP0000040690_ipclm/</t>
        </is>
      </c>
      <c r="O87" s="12" t="inlineStr">
        <is>
          <t>開く</t>
        </is>
      </c>
    </row>
    <row r="88">
      <c r="A88" s="4" t="n">
        <v>84</v>
      </c>
      <c r="B88" s="5" t="inlineStr">
        <is>
          <t>岩手県</t>
        </is>
      </c>
      <c r="C88" s="5" t="inlineStr">
        <is>
          <t>盛岡市</t>
        </is>
      </c>
      <c r="D88" s="5" t="inlineStr">
        <is>
          <t>盛岡大学附属高等学校</t>
        </is>
      </c>
      <c r="E88" s="6" t="inlineStr">
        <is>
          <t>019-641-1121</t>
        </is>
      </c>
      <c r="F88" s="13" t="inlineStr">
        <is>
          <t>中</t>
        </is>
      </c>
      <c r="G88" s="5" t="inlineStr">
        <is>
          <t>普通科</t>
        </is>
      </c>
      <c r="H88" s="8" t="n"/>
      <c r="I88" s="9" t="n"/>
      <c r="J88" s="9" t="inlineStr">
        <is>
          <t>未架電</t>
        </is>
      </c>
      <c r="K88" s="8" t="n"/>
      <c r="L88" s="9" t="n"/>
      <c r="M88" s="10" t="inlineStr">
        <is>
          <t>JS日本の学校のみで確認。019-688-5656は法人本部の番号</t>
        </is>
      </c>
      <c r="N88" s="11" t="inlineStr">
        <is>
          <t>https://school.js88.com/scl_h/22028680/</t>
        </is>
      </c>
      <c r="O88" s="12" t="inlineStr">
        <is>
          <t>開く</t>
        </is>
      </c>
    </row>
    <row r="89">
      <c r="A89" s="4" t="n">
        <v>85</v>
      </c>
      <c r="B89" s="5" t="inlineStr">
        <is>
          <t>岩手県</t>
        </is>
      </c>
      <c r="C89" s="5" t="inlineStr">
        <is>
          <t>盛岡市</t>
        </is>
      </c>
      <c r="D89" s="5" t="inlineStr">
        <is>
          <t>盛岡中央高等学校</t>
        </is>
      </c>
      <c r="E89" s="6" t="inlineStr">
        <is>
          <t>019-641-0458</t>
        </is>
      </c>
      <c r="F89" s="7" t="inlineStr">
        <is>
          <t>高</t>
        </is>
      </c>
      <c r="G89" s="5" t="inlineStr">
        <is>
          <t>普通科</t>
        </is>
      </c>
      <c r="H89" s="8" t="n"/>
      <c r="I89" s="9" t="n"/>
      <c r="J89" s="9" t="inlineStr">
        <is>
          <t>未架電</t>
        </is>
      </c>
      <c r="K89" s="8" t="n"/>
      <c r="L89" s="9" t="n"/>
      <c r="M89" s="10" t="inlineStr">
        <is>
          <t>2つの情報源で一致。附属中学校は別番号（019-641-0505）</t>
        </is>
      </c>
      <c r="N89" s="11" t="inlineStr">
        <is>
          <t>https://school.js88.com/scl_h/22028700?page=9 ; https://www.inter-edu.com/schools/school/1760</t>
        </is>
      </c>
      <c r="O89" s="12" t="inlineStr">
        <is>
          <t>開く</t>
        </is>
      </c>
    </row>
    <row r="90">
      <c r="A90" s="4" t="n">
        <v>86</v>
      </c>
      <c r="B90" s="5" t="inlineStr">
        <is>
          <t>宮城県</t>
        </is>
      </c>
      <c r="C90" s="5" t="inlineStr">
        <is>
          <t>大崎市</t>
        </is>
      </c>
      <c r="D90" s="5" t="inlineStr">
        <is>
          <t>大崎中央高等学校</t>
        </is>
      </c>
      <c r="E90" s="6" t="inlineStr">
        <is>
          <t>0229-22-2030</t>
        </is>
      </c>
      <c r="F90" s="7" t="inlineStr">
        <is>
          <t>高</t>
        </is>
      </c>
      <c r="G90" s="5" t="inlineStr">
        <is>
          <t>普通科</t>
        </is>
      </c>
      <c r="H90" s="8" t="n"/>
      <c r="I90" s="9" t="n"/>
      <c r="J90" s="9" t="inlineStr">
        <is>
          <t>未架電</t>
        </is>
      </c>
      <c r="K90" s="8" t="n"/>
      <c r="L90" s="9" t="n"/>
      <c r="M90" s="10" t="inlineStr">
        <is>
          <t>公式サイトで確認</t>
        </is>
      </c>
      <c r="N90" s="11" t="inlineStr">
        <is>
          <t>http://www.osakichuo.ed.jp/access.html ; https://www.pref.miyagi.jp/documents/6697/r6_meibo.pdf</t>
        </is>
      </c>
      <c r="O90" s="12" t="inlineStr">
        <is>
          <t>開く</t>
        </is>
      </c>
    </row>
    <row r="91">
      <c r="A91" s="4" t="n">
        <v>87</v>
      </c>
      <c r="B91" s="5" t="inlineStr">
        <is>
          <t>宮城県</t>
        </is>
      </c>
      <c r="C91" s="5" t="inlineStr">
        <is>
          <t>仙台市青葉区</t>
        </is>
      </c>
      <c r="D91" s="5" t="inlineStr">
        <is>
          <t>尚絅学院高等学校</t>
        </is>
      </c>
      <c r="E91" s="6" t="inlineStr">
        <is>
          <t>022-264-5881</t>
        </is>
      </c>
      <c r="F91" s="7" t="inlineStr">
        <is>
          <t>高</t>
        </is>
      </c>
      <c r="G91" s="5" t="inlineStr">
        <is>
          <t>普通科</t>
        </is>
      </c>
      <c r="H91" s="8" t="n"/>
      <c r="I91" s="9" t="n"/>
      <c r="J91" s="9" t="inlineStr">
        <is>
          <t>未架電</t>
        </is>
      </c>
      <c r="K91" s="8" t="n"/>
      <c r="L91" s="9" t="n"/>
      <c r="M91" s="10" t="inlineStr">
        <is>
          <t>公式サイトで確認。中高共通。名取市の尚絅学院大学（022-381-3300）とは別</t>
        </is>
      </c>
      <c r="N91" s="11" t="inlineStr">
        <is>
          <t>https://ap.shokei.jp/access/ ; https://school.js88.com/scl_h/22029620</t>
        </is>
      </c>
      <c r="O91" s="12" t="inlineStr">
        <is>
          <t>開く</t>
        </is>
      </c>
    </row>
    <row r="92">
      <c r="A92" s="4" t="n">
        <v>88</v>
      </c>
      <c r="B92" s="5" t="inlineStr">
        <is>
          <t>宮城県</t>
        </is>
      </c>
      <c r="C92" s="5" t="inlineStr">
        <is>
          <t>仙台市若林区</t>
        </is>
      </c>
      <c r="D92" s="5" t="inlineStr">
        <is>
          <t>聖ウルスラ学院英智高等学校</t>
        </is>
      </c>
      <c r="E92" s="6" t="inlineStr">
        <is>
          <t>022-286-3557</t>
        </is>
      </c>
      <c r="F92" s="7" t="inlineStr">
        <is>
          <t>高</t>
        </is>
      </c>
      <c r="G92" s="5" t="inlineStr">
        <is>
          <t>普通科</t>
        </is>
      </c>
      <c r="H92" s="8" t="n"/>
      <c r="I92" s="9" t="n"/>
      <c r="J92" s="9" t="inlineStr">
        <is>
          <t>未架電</t>
        </is>
      </c>
      <c r="K92" s="8" t="n"/>
      <c r="L92" s="9" t="n"/>
      <c r="M92" s="10" t="inlineStr">
        <is>
          <t>宮城県の名簿（R7）と学校情報サイトで一致。小・中学校課程は別番号（022-286-6461）</t>
        </is>
      </c>
      <c r="N92" s="11" t="inlineStr">
        <is>
          <t>https://www.pref.miyagi.jp/documents/6697/r7_meibo.pdf ; https://school.js88.com/scl_h/22029880/</t>
        </is>
      </c>
      <c r="O92" s="12" t="inlineStr">
        <is>
          <t>開く</t>
        </is>
      </c>
    </row>
    <row r="93">
      <c r="A93" s="4" t="n">
        <v>89</v>
      </c>
      <c r="B93" s="5" t="inlineStr">
        <is>
          <t>宮城県</t>
        </is>
      </c>
      <c r="C93" s="5" t="inlineStr">
        <is>
          <t>仙台市青葉区</t>
        </is>
      </c>
      <c r="D93" s="5" t="inlineStr">
        <is>
          <t>聖ドミニコ学院高等学校</t>
        </is>
      </c>
      <c r="E93" s="6" t="inlineStr">
        <is>
          <t>022-222-6337</t>
        </is>
      </c>
      <c r="F93" s="13" t="inlineStr">
        <is>
          <t>中</t>
        </is>
      </c>
      <c r="G93" s="5" t="inlineStr">
        <is>
          <t>普通科</t>
        </is>
      </c>
      <c r="H93" s="8" t="n"/>
      <c r="I93" s="9" t="n"/>
      <c r="J93" s="9" t="inlineStr">
        <is>
          <t>未架電</t>
        </is>
      </c>
      <c r="K93" s="8" t="n"/>
      <c r="L93" s="9" t="n"/>
      <c r="M93" s="10" t="inlineStr">
        <is>
          <t>JS日本の学校のみで確認。中学校と共通</t>
        </is>
      </c>
      <c r="N93" s="11" t="inlineStr">
        <is>
          <t>https://school.js88.com/scl_h/22029890/</t>
        </is>
      </c>
      <c r="O93" s="12" t="inlineStr">
        <is>
          <t>開く</t>
        </is>
      </c>
    </row>
    <row r="94">
      <c r="A94" s="4" t="n">
        <v>90</v>
      </c>
      <c r="B94" s="5" t="inlineStr">
        <is>
          <t>宮城県</t>
        </is>
      </c>
      <c r="C94" s="5" t="inlineStr">
        <is>
          <t>仙台市若林区</t>
        </is>
      </c>
      <c r="D94" s="5" t="inlineStr">
        <is>
          <t>聖和学園高等学校</t>
        </is>
      </c>
      <c r="E94" s="6" t="inlineStr">
        <is>
          <t>022-257-7777</t>
        </is>
      </c>
      <c r="F94" s="7" t="inlineStr">
        <is>
          <t>高</t>
        </is>
      </c>
      <c r="G94" s="5" t="inlineStr">
        <is>
          <t>普通科</t>
        </is>
      </c>
      <c r="H94" s="8" t="n"/>
      <c r="I94" s="9" t="n"/>
      <c r="J94" s="9" t="inlineStr">
        <is>
          <t>未架電</t>
        </is>
      </c>
      <c r="K94" s="8" t="n"/>
      <c r="L94" s="9" t="n"/>
      <c r="M94" s="10" t="inlineStr">
        <is>
          <t>公式サイトで確認（薬師堂キャンパス）。三神峯キャンパスは022-304-2030</t>
        </is>
      </c>
      <c r="N94" s="11" t="inlineStr">
        <is>
          <t>https://highschool.seiwa.ac.jp/access/</t>
        </is>
      </c>
      <c r="O94" s="12" t="inlineStr">
        <is>
          <t>開く</t>
        </is>
      </c>
    </row>
    <row r="95">
      <c r="A95" s="4" t="n">
        <v>91</v>
      </c>
      <c r="B95" s="5" t="inlineStr">
        <is>
          <t>宮城県</t>
        </is>
      </c>
      <c r="C95" s="5" t="inlineStr">
        <is>
          <t>仙台市宮城野区</t>
        </is>
      </c>
      <c r="D95" s="5" t="inlineStr">
        <is>
          <t>仙台育英学園高等学校</t>
        </is>
      </c>
      <c r="E95" s="6" t="inlineStr">
        <is>
          <t>022-256-4141</t>
        </is>
      </c>
      <c r="F95" s="7" t="inlineStr">
        <is>
          <t>高</t>
        </is>
      </c>
      <c r="G95" s="5" t="inlineStr">
        <is>
          <t>普通科</t>
        </is>
      </c>
      <c r="H95" s="8" t="n"/>
      <c r="I95" s="9" t="n"/>
      <c r="J95" s="9" t="inlineStr">
        <is>
          <t>未架電</t>
        </is>
      </c>
      <c r="K95" s="8" t="n"/>
      <c r="L95" s="9" t="n"/>
      <c r="M95" s="10" t="inlineStr">
        <is>
          <t>公式サイトで確認（宮城野校舎の代表）。多賀城校舎は022-368-4111、入試広報部は022-353-6103</t>
        </is>
      </c>
      <c r="N95" s="11" t="inlineStr">
        <is>
          <t>https://www.sendaiikuei.ed.jp/hs/access/</t>
        </is>
      </c>
      <c r="O95" s="12" t="inlineStr">
        <is>
          <t>開く</t>
        </is>
      </c>
    </row>
    <row r="96">
      <c r="A96" s="4" t="n">
        <v>92</v>
      </c>
      <c r="B96" s="5" t="inlineStr">
        <is>
          <t>宮城県</t>
        </is>
      </c>
      <c r="C96" s="5" t="inlineStr">
        <is>
          <t>仙台市泉区</t>
        </is>
      </c>
      <c r="D96" s="5" t="inlineStr">
        <is>
          <t>仙台白百合学園高等学校</t>
        </is>
      </c>
      <c r="E96" s="6" t="inlineStr">
        <is>
          <t>022-777-5777</t>
        </is>
      </c>
      <c r="F96" s="7" t="inlineStr">
        <is>
          <t>高</t>
        </is>
      </c>
      <c r="G96" s="5" t="inlineStr">
        <is>
          <t>普通科</t>
        </is>
      </c>
      <c r="H96" s="8" t="n"/>
      <c r="I96" s="9" t="n"/>
      <c r="J96" s="9" t="inlineStr">
        <is>
          <t>未架電</t>
        </is>
      </c>
      <c r="K96" s="8" t="n"/>
      <c r="L96" s="9" t="n"/>
      <c r="M96" s="10" t="inlineStr">
        <is>
          <t>公式サイトで確認。中高共通。仙台白百合女子大学とは別</t>
        </is>
      </c>
      <c r="N96" s="11" t="inlineStr">
        <is>
          <t>https://jh.sendaishirayuri.net/ ; https://www.miyagi-chukouren.com/post/</t>
        </is>
      </c>
      <c r="O96" s="12" t="inlineStr">
        <is>
          <t>開く</t>
        </is>
      </c>
    </row>
    <row r="97">
      <c r="A97" s="4" t="n">
        <v>93</v>
      </c>
      <c r="B97" s="5" t="inlineStr">
        <is>
          <t>宮城県</t>
        </is>
      </c>
      <c r="C97" s="5" t="inlineStr">
        <is>
          <t>仙台市太白区</t>
        </is>
      </c>
      <c r="D97" s="5" t="inlineStr">
        <is>
          <t>仙台城南高等学校</t>
        </is>
      </c>
      <c r="E97" s="6" t="inlineStr">
        <is>
          <t>022-305-2111</t>
        </is>
      </c>
      <c r="F97" s="7" t="inlineStr">
        <is>
          <t>高</t>
        </is>
      </c>
      <c r="G97" s="5" t="inlineStr">
        <is>
          <t>普通科・専門学科</t>
        </is>
      </c>
      <c r="H97" s="8" t="n"/>
      <c r="I97" s="9" t="n"/>
      <c r="J97" s="9" t="inlineStr">
        <is>
          <t>未架電</t>
        </is>
      </c>
      <c r="K97" s="8" t="n"/>
      <c r="L97" s="9" t="n"/>
      <c r="M97" s="10" t="inlineStr">
        <is>
          <t>学校情報サイト2件で一致、公式サイトでは未確認</t>
        </is>
      </c>
      <c r="N97" s="11" t="inlineStr">
        <is>
          <t>https://school.js88.com/scl_h/22029900</t>
        </is>
      </c>
      <c r="O97" s="12" t="inlineStr">
        <is>
          <t>開く</t>
        </is>
      </c>
    </row>
    <row r="98">
      <c r="A98" s="4" t="n">
        <v>94</v>
      </c>
      <c r="B98" s="5" t="inlineStr">
        <is>
          <t>宮城県</t>
        </is>
      </c>
      <c r="C98" s="5" t="inlineStr">
        <is>
          <t>仙台市青葉区</t>
        </is>
      </c>
      <c r="D98" s="5" t="inlineStr">
        <is>
          <t>仙台大学附属明成高等学校</t>
        </is>
      </c>
      <c r="E98" s="6" t="inlineStr">
        <is>
          <t>022-278-6131</t>
        </is>
      </c>
      <c r="F98" s="7" t="inlineStr">
        <is>
          <t>高</t>
        </is>
      </c>
      <c r="G98" s="5" t="inlineStr">
        <is>
          <t>普通科・専門学科</t>
        </is>
      </c>
      <c r="H98" s="8" t="n"/>
      <c r="I98" s="9" t="n"/>
      <c r="J98" s="9" t="inlineStr">
        <is>
          <t>未架電</t>
        </is>
      </c>
      <c r="K98" s="8" t="n"/>
      <c r="L98" s="9" t="n"/>
      <c r="M98" s="10" t="inlineStr">
        <is>
          <t>公式の令和8年度募集要項で確認。法人事務所（022-278-9136）とは別</t>
        </is>
      </c>
      <c r="N98" s="11" t="inlineStr">
        <is>
          <t>https://www.hgm.ed.jp/dnt2/_meisei/access/nic_img/7/files/r8bosyuyokopdf.pdf</t>
        </is>
      </c>
      <c r="O98" s="12" t="inlineStr">
        <is>
          <t>開く</t>
        </is>
      </c>
    </row>
    <row r="99">
      <c r="A99" s="4" t="n">
        <v>95</v>
      </c>
      <c r="B99" s="5" t="inlineStr">
        <is>
          <t>宮城県</t>
        </is>
      </c>
      <c r="C99" s="5" t="inlineStr">
        <is>
          <t>仙台市宮城野区</t>
        </is>
      </c>
      <c r="D99" s="5" t="inlineStr">
        <is>
          <t>東北学院高等学校</t>
        </is>
      </c>
      <c r="E99" s="6" t="inlineStr">
        <is>
          <t>022-786-1231</t>
        </is>
      </c>
      <c r="F99" s="7" t="inlineStr">
        <is>
          <t>高</t>
        </is>
      </c>
      <c r="G99" s="5" t="inlineStr">
        <is>
          <t>普通科</t>
        </is>
      </c>
      <c r="H99" s="8" t="n"/>
      <c r="I99" s="9" t="n"/>
      <c r="J99" s="9" t="inlineStr">
        <is>
          <t>未架電</t>
        </is>
      </c>
      <c r="K99" s="8" t="n"/>
      <c r="L99" s="9" t="n"/>
      <c r="M99" s="10" t="inlineStr">
        <is>
          <t>公式資料に「代表」と記載。中学校と共通</t>
        </is>
      </c>
      <c r="N99" s="11" t="inlineStr">
        <is>
          <t>https://www.jhs.tohoku-gakuin.ac.jp/admission/files/guidebook.pdf</t>
        </is>
      </c>
      <c r="O99" s="12" t="inlineStr">
        <is>
          <t>開く</t>
        </is>
      </c>
    </row>
    <row r="100">
      <c r="A100" s="4" t="n">
        <v>96</v>
      </c>
      <c r="B100" s="5" t="inlineStr">
        <is>
          <t>宮城県</t>
        </is>
      </c>
      <c r="C100" s="5" t="inlineStr">
        <is>
          <t>仙台市泉区</t>
        </is>
      </c>
      <c r="D100" s="5" t="inlineStr">
        <is>
          <t>東北学院榴ケ岡高等学校</t>
        </is>
      </c>
      <c r="E100" s="6" t="inlineStr">
        <is>
          <t>022-372-6611</t>
        </is>
      </c>
      <c r="F100" s="7" t="inlineStr">
        <is>
          <t>高</t>
        </is>
      </c>
      <c r="G100" s="5" t="inlineStr">
        <is>
          <t>普通科</t>
        </is>
      </c>
      <c r="H100" s="8" t="n"/>
      <c r="I100" s="9" t="n"/>
      <c r="J100" s="9" t="inlineStr">
        <is>
          <t>未架電</t>
        </is>
      </c>
      <c r="K100" s="8" t="n"/>
      <c r="L100" s="9" t="n"/>
      <c r="M100" s="10" t="inlineStr">
        <is>
          <t>公式パンフレットと入試要項で一致</t>
        </is>
      </c>
      <c r="N100" s="11" t="inlineStr">
        <is>
          <t>https://www.tutuji.tohoku-gakuin.ac.jp/admission/files/pamphlet.pdf ; https://www.tutuji.tohoku-gakuin.ac.jp/admission/data/second/youkou.pdf</t>
        </is>
      </c>
      <c r="O100" s="12" t="inlineStr">
        <is>
          <t>開く</t>
        </is>
      </c>
    </row>
    <row r="101">
      <c r="A101" s="4" t="n">
        <v>97</v>
      </c>
      <c r="B101" s="5" t="inlineStr">
        <is>
          <t>宮城県</t>
        </is>
      </c>
      <c r="C101" s="5" t="inlineStr">
        <is>
          <t>仙台市青葉区</t>
        </is>
      </c>
      <c r="D101" s="5" t="inlineStr">
        <is>
          <t>東北高等学校</t>
        </is>
      </c>
      <c r="E101" s="6" t="inlineStr">
        <is>
          <t>022-234-6361</t>
        </is>
      </c>
      <c r="F101" s="7" t="inlineStr">
        <is>
          <t>高</t>
        </is>
      </c>
      <c r="G101" s="5" t="inlineStr">
        <is>
          <t>普通科</t>
        </is>
      </c>
      <c r="H101" s="8" t="n"/>
      <c r="I101" s="9" t="n"/>
      <c r="J101" s="9" t="inlineStr">
        <is>
          <t>未架電</t>
        </is>
      </c>
      <c r="K101" s="8" t="n"/>
      <c r="L101" s="9" t="n"/>
      <c r="M101" s="10" t="inlineStr">
        <is>
          <t>小松島キャンパスの代表。泉キャンパスは022-379-6001、入試広報センターは022-234-2351</t>
        </is>
      </c>
      <c r="N101" s="11" t="inlineStr">
        <is>
          <t>https://www.tohoku.ed.jp/access/ ; https://school.js88.com/scl_h/22029570</t>
        </is>
      </c>
      <c r="O101" s="12" t="inlineStr">
        <is>
          <t>開く</t>
        </is>
      </c>
    </row>
    <row r="102">
      <c r="A102" s="4" t="n">
        <v>98</v>
      </c>
      <c r="B102" s="5" t="inlineStr">
        <is>
          <t>宮城県</t>
        </is>
      </c>
      <c r="C102" s="5" t="inlineStr">
        <is>
          <t>仙台市泉区</t>
        </is>
      </c>
      <c r="D102" s="5" t="inlineStr">
        <is>
          <t>東北生活文化大学高等学校</t>
        </is>
      </c>
      <c r="E102" s="6" t="inlineStr">
        <is>
          <t>022-272-7511</t>
        </is>
      </c>
      <c r="F102" s="7" t="inlineStr">
        <is>
          <t>高</t>
        </is>
      </c>
      <c r="G102" s="5" t="inlineStr">
        <is>
          <t>普通科・専門学科</t>
        </is>
      </c>
      <c r="H102" s="8" t="n"/>
      <c r="I102" s="9" t="n"/>
      <c r="J102" s="9" t="inlineStr">
        <is>
          <t>未架電</t>
        </is>
      </c>
      <c r="K102" s="8" t="n"/>
      <c r="L102" s="9" t="n"/>
      <c r="M102" s="10" t="inlineStr">
        <is>
          <t>公式サイトに「代表」と記載。入試広報室は022-272-7522</t>
        </is>
      </c>
      <c r="N102" s="11" t="inlineStr">
        <is>
          <t>https://www.seibun.ed.jp/contact/</t>
        </is>
      </c>
      <c r="O102" s="12" t="inlineStr">
        <is>
          <t>開く</t>
        </is>
      </c>
    </row>
    <row r="103">
      <c r="A103" s="4" t="n">
        <v>99</v>
      </c>
      <c r="B103" s="5" t="inlineStr">
        <is>
          <t>宮城県</t>
        </is>
      </c>
      <c r="C103" s="5" t="inlineStr">
        <is>
          <t>気仙沼市</t>
        </is>
      </c>
      <c r="D103" s="5" t="inlineStr">
        <is>
          <t>東陵高等学校</t>
        </is>
      </c>
      <c r="E103" s="6" t="inlineStr">
        <is>
          <t>0226-23-3100</t>
        </is>
      </c>
      <c r="F103" s="7" t="inlineStr">
        <is>
          <t>高</t>
        </is>
      </c>
      <c r="G103" s="5" t="inlineStr">
        <is>
          <t>普通科</t>
        </is>
      </c>
      <c r="H103" s="8" t="n"/>
      <c r="I103" s="9" t="n"/>
      <c r="J103" s="9" t="inlineStr">
        <is>
          <t>未架電</t>
        </is>
      </c>
      <c r="K103" s="8" t="n"/>
      <c r="L103" s="9" t="n"/>
      <c r="M103" s="10" t="inlineStr">
        <is>
          <t>宮城県の資料と学校情報サイトで一致</t>
        </is>
      </c>
      <c r="N103" s="11" t="inlineStr">
        <is>
          <t>https://www.pref.miyagi.jp/documents/17663/09kannaigakkouitiran.pdf ; https://school.js88.com/scl_h/22029940</t>
        </is>
      </c>
      <c r="O103" s="12" t="inlineStr">
        <is>
          <t>開く</t>
        </is>
      </c>
    </row>
    <row r="104">
      <c r="A104" s="4" t="n">
        <v>100</v>
      </c>
      <c r="B104" s="5" t="inlineStr">
        <is>
          <t>宮城県</t>
        </is>
      </c>
      <c r="C104" s="5" t="inlineStr">
        <is>
          <t>仙台市青葉区</t>
        </is>
      </c>
      <c r="D104" s="5" t="inlineStr">
        <is>
          <t>常盤木学園高等学校</t>
        </is>
      </c>
      <c r="E104" s="6" t="inlineStr">
        <is>
          <t>022-263-1755</t>
        </is>
      </c>
      <c r="F104" s="13" t="inlineStr">
        <is>
          <t>中</t>
        </is>
      </c>
      <c r="G104" s="5" t="inlineStr">
        <is>
          <t>普通科・専門学科</t>
        </is>
      </c>
      <c r="H104" s="8" t="n"/>
      <c r="I104" s="9" t="n"/>
      <c r="J104" s="9" t="inlineStr">
        <is>
          <t>未架電</t>
        </is>
      </c>
      <c r="K104" s="8" t="n"/>
      <c r="L104" s="9" t="n"/>
      <c r="M104" s="10" t="inlineStr">
        <is>
          <t>公式サイトでは職員室の番号。事務室（法人）は022-263-1751で、こちらを代表とするサイトもあり</t>
        </is>
      </c>
      <c r="N104" s="11" t="inlineStr">
        <is>
          <t>https://www.tokiwagi.ed.jp/ ; https://www.mapion.co.jp/phonebook/M11004/04101/ILSP0000041493_ipclm/</t>
        </is>
      </c>
      <c r="O104" s="12" t="inlineStr">
        <is>
          <t>開く</t>
        </is>
      </c>
    </row>
    <row r="105">
      <c r="A105" s="4" t="n">
        <v>101</v>
      </c>
      <c r="B105" s="5" t="inlineStr">
        <is>
          <t>宮城県</t>
        </is>
      </c>
      <c r="C105" s="5" t="inlineStr">
        <is>
          <t>七ヶ宿町</t>
        </is>
      </c>
      <c r="D105" s="5" t="inlineStr">
        <is>
          <t>西山学院高等学校</t>
        </is>
      </c>
      <c r="E105" s="6" t="inlineStr">
        <is>
          <t>0224-37-2131</t>
        </is>
      </c>
      <c r="F105" s="13" t="inlineStr">
        <is>
          <t>中</t>
        </is>
      </c>
      <c r="G105" s="5" t="inlineStr">
        <is>
          <t>普通科</t>
        </is>
      </c>
      <c r="H105" s="8" t="n"/>
      <c r="I105" s="9" t="n"/>
      <c r="J105" s="9" t="inlineStr">
        <is>
          <t>未架電</t>
        </is>
      </c>
      <c r="K105" s="8" t="n"/>
      <c r="L105" s="9" t="n"/>
      <c r="M105" s="10" t="inlineStr">
        <is>
          <t>七ヶ宿町の本校。学校情報サイト2件で一致、公式サイトでは未確認。全寮制</t>
        </is>
      </c>
      <c r="N105" s="11" t="inlineStr">
        <is>
          <t>https://school.js88.com/scl_h/22029950</t>
        </is>
      </c>
      <c r="O105" s="12" t="inlineStr">
        <is>
          <t>開く</t>
        </is>
      </c>
    </row>
    <row r="106">
      <c r="A106" s="4" t="n">
        <v>102</v>
      </c>
      <c r="B106" s="5" t="inlineStr">
        <is>
          <t>宮城県</t>
        </is>
      </c>
      <c r="C106" s="5" t="inlineStr">
        <is>
          <t>大崎市</t>
        </is>
      </c>
      <c r="D106" s="5" t="inlineStr">
        <is>
          <t>古川学園高等学校</t>
        </is>
      </c>
      <c r="E106" s="6" t="inlineStr">
        <is>
          <t>0229-22-2545</t>
        </is>
      </c>
      <c r="F106" s="13" t="inlineStr">
        <is>
          <t>中</t>
        </is>
      </c>
      <c r="G106" s="5" t="inlineStr">
        <is>
          <t>普通科・専門学科</t>
        </is>
      </c>
      <c r="H106" s="8" t="n"/>
      <c r="I106" s="9" t="n"/>
      <c r="J106" s="9" t="inlineStr">
        <is>
          <t>未架電</t>
        </is>
      </c>
      <c r="K106" s="8" t="n"/>
      <c r="L106" s="9" t="n"/>
      <c r="M106" s="10" t="inlineStr">
        <is>
          <t>学校情報サイト2件で一致、公式サイトでは未確認。中学校と共通</t>
        </is>
      </c>
      <c r="N106" s="11" t="inlineStr">
        <is>
          <t>https://school.js88.com/scl_h/22029920 ; https://www.minkou.jp/hischool/school/university/4189/</t>
        </is>
      </c>
      <c r="O106" s="12" t="inlineStr">
        <is>
          <t>開く</t>
        </is>
      </c>
    </row>
    <row r="107">
      <c r="A107" s="4" t="n">
        <v>103</v>
      </c>
      <c r="B107" s="5" t="inlineStr">
        <is>
          <t>宮城県</t>
        </is>
      </c>
      <c r="C107" s="5" t="inlineStr">
        <is>
          <t>仙台市青葉区</t>
        </is>
      </c>
      <c r="D107" s="5" t="inlineStr">
        <is>
          <t>宮城学院高等学校</t>
        </is>
      </c>
      <c r="E107" s="6" t="inlineStr">
        <is>
          <t>022-279-1331</t>
        </is>
      </c>
      <c r="F107" s="7" t="inlineStr">
        <is>
          <t>高</t>
        </is>
      </c>
      <c r="G107" s="5" t="inlineStr">
        <is>
          <t>普通科</t>
        </is>
      </c>
      <c r="H107" s="8" t="n"/>
      <c r="I107" s="9" t="n"/>
      <c r="J107" s="9" t="inlineStr">
        <is>
          <t>未架電</t>
        </is>
      </c>
      <c r="K107" s="8" t="n"/>
      <c r="L107" s="9" t="n"/>
      <c r="M107" s="10" t="inlineStr">
        <is>
          <t>宮城県私立中学高等学校連合会ほかで「代表」として一致。法人代表（022-279-1311）とは別</t>
        </is>
      </c>
      <c r="N107" s="11" t="inlineStr">
        <is>
          <t>https://www.miyagi-chukouren.com/post/ ; https://www.mapion.co.jp/phonebook/M11004/04101/ILSP0000041377_ipclm/</t>
        </is>
      </c>
      <c r="O107" s="12" t="inlineStr">
        <is>
          <t>開く</t>
        </is>
      </c>
    </row>
    <row r="108">
      <c r="A108" s="4" t="n">
        <v>104</v>
      </c>
      <c r="B108" s="5" t="inlineStr">
        <is>
          <t>秋田県</t>
        </is>
      </c>
      <c r="C108" s="5" t="inlineStr">
        <is>
          <t>大仙市</t>
        </is>
      </c>
      <c r="D108" s="5" t="inlineStr">
        <is>
          <t>秋田修英高等学校</t>
        </is>
      </c>
      <c r="E108" s="6" t="inlineStr">
        <is>
          <t>0187-63-2622</t>
        </is>
      </c>
      <c r="F108" s="7" t="inlineStr">
        <is>
          <t>高</t>
        </is>
      </c>
      <c r="G108" s="5" t="inlineStr">
        <is>
          <t>普通科・総合学科</t>
        </is>
      </c>
      <c r="H108" s="8" t="n"/>
      <c r="I108" s="9" t="n"/>
      <c r="J108" s="9" t="inlineStr">
        <is>
          <t>未架電</t>
        </is>
      </c>
      <c r="K108" s="8" t="n"/>
      <c r="L108" s="9" t="n"/>
      <c r="M108" s="10" t="inlineStr">
        <is>
          <t>Yahoo!マップと学校情報サイトで一致</t>
        </is>
      </c>
      <c r="N108" s="11" t="inlineStr">
        <is>
          <t>https://map.yahoo.co.jp/v3/place/bojoJz7KkxU ; https://school.js88.com/scl_h/22030520</t>
        </is>
      </c>
      <c r="O108" s="12" t="inlineStr">
        <is>
          <t>開く</t>
        </is>
      </c>
    </row>
    <row r="109">
      <c r="A109" s="4" t="n">
        <v>105</v>
      </c>
      <c r="B109" s="5" t="inlineStr">
        <is>
          <t>秋田県</t>
        </is>
      </c>
      <c r="C109" s="5" t="inlineStr">
        <is>
          <t>秋田市</t>
        </is>
      </c>
      <c r="D109" s="5" t="inlineStr">
        <is>
          <t>秋田令和高等学校</t>
        </is>
      </c>
      <c r="E109" s="6" t="inlineStr">
        <is>
          <t>018-833-1353</t>
        </is>
      </c>
      <c r="F109" s="13" t="inlineStr">
        <is>
          <t>中</t>
        </is>
      </c>
      <c r="G109" s="5" t="inlineStr">
        <is>
          <t>普通科</t>
        </is>
      </c>
      <c r="H109" s="8" t="n"/>
      <c r="I109" s="9" t="n"/>
      <c r="J109" s="9" t="inlineStr">
        <is>
          <t>未架電</t>
        </is>
      </c>
      <c r="K109" s="8" t="n"/>
      <c r="L109" s="9" t="n"/>
      <c r="M109" s="10" t="inlineStr">
        <is>
          <t>秋田県の高等学校一覧（R5）で確認。最新版では未確認</t>
        </is>
      </c>
      <c r="N109" s="11" t="inlineStr">
        <is>
          <t>https://www.pref.akita.lg.jp/uploads/public/archive_0000049957_00/R5秋田県高等学校一覧.pdf</t>
        </is>
      </c>
      <c r="O109" s="12" t="inlineStr">
        <is>
          <t>開く</t>
        </is>
      </c>
    </row>
    <row r="110">
      <c r="A110" s="4" t="n">
        <v>106</v>
      </c>
      <c r="B110" s="5" t="inlineStr">
        <is>
          <t>秋田県</t>
        </is>
      </c>
      <c r="C110" s="5" t="inlineStr">
        <is>
          <t>秋田市</t>
        </is>
      </c>
      <c r="D110" s="5" t="inlineStr">
        <is>
          <t>国学館高等学校</t>
        </is>
      </c>
      <c r="E110" s="6" t="inlineStr">
        <is>
          <t>018-833-6361</t>
        </is>
      </c>
      <c r="F110" s="7" t="inlineStr">
        <is>
          <t>高</t>
        </is>
      </c>
      <c r="G110" s="5" t="inlineStr">
        <is>
          <t>普通科・専門学科</t>
        </is>
      </c>
      <c r="H110" s="8" t="n"/>
      <c r="I110" s="9" t="n"/>
      <c r="J110" s="9" t="inlineStr">
        <is>
          <t>未架電</t>
        </is>
      </c>
      <c r="K110" s="8" t="n"/>
      <c r="L110" s="9" t="n"/>
      <c r="M110" s="10" t="inlineStr">
        <is>
          <t>秋田県の高等学校一覧（複数年度）で一致</t>
        </is>
      </c>
      <c r="N110" s="11" t="inlineStr">
        <is>
          <t>https://www.pref.akita.lg.jp/uploads/public/archive_0000049957_00/R5秋田県高等学校一覧.pdf</t>
        </is>
      </c>
      <c r="O110" s="12" t="inlineStr">
        <is>
          <t>開く</t>
        </is>
      </c>
    </row>
    <row r="111">
      <c r="A111" s="4" t="n">
        <v>107</v>
      </c>
      <c r="B111" s="5" t="inlineStr">
        <is>
          <t>秋田県</t>
        </is>
      </c>
      <c r="C111" s="5" t="inlineStr">
        <is>
          <t>秋田市</t>
        </is>
      </c>
      <c r="D111" s="5" t="inlineStr">
        <is>
          <t>聖霊女子短期大学付属高等学校</t>
        </is>
      </c>
      <c r="E111" s="6" t="inlineStr">
        <is>
          <t>018-833-7311</t>
        </is>
      </c>
      <c r="F111" s="7" t="inlineStr">
        <is>
          <t>高</t>
        </is>
      </c>
      <c r="G111" s="5" t="inlineStr">
        <is>
          <t>普通科</t>
        </is>
      </c>
      <c r="H111" s="8" t="n"/>
      <c r="I111" s="9" t="n"/>
      <c r="J111" s="9" t="inlineStr">
        <is>
          <t>未架電</t>
        </is>
      </c>
      <c r="K111" s="8" t="n"/>
      <c r="L111" s="9" t="n"/>
      <c r="M111" s="10" t="inlineStr">
        <is>
          <t>【校名変更】2024年4月から「聖霊学園高等学校」。018-845-4111は短大の番号なので注意</t>
        </is>
      </c>
      <c r="N111" s="11" t="inlineStr">
        <is>
          <t>https://school.js88.com/scl_h/22030490 ; https://akitajet.com/wiki/Seirei_Senior_High_School</t>
        </is>
      </c>
      <c r="O111" s="12" t="inlineStr">
        <is>
          <t>開く</t>
        </is>
      </c>
    </row>
    <row r="112">
      <c r="A112" s="4" t="n">
        <v>108</v>
      </c>
      <c r="B112" s="5" t="inlineStr">
        <is>
          <t>秋田県</t>
        </is>
      </c>
      <c r="C112" s="5" t="inlineStr">
        <is>
          <t>秋田市</t>
        </is>
      </c>
      <c r="D112" s="5" t="inlineStr">
        <is>
          <t>明桜高等学校</t>
        </is>
      </c>
      <c r="E112" s="6" t="inlineStr">
        <is>
          <t>018-836-2471</t>
        </is>
      </c>
      <c r="F112" s="7" t="inlineStr">
        <is>
          <t>高</t>
        </is>
      </c>
      <c r="G112" s="5" t="inlineStr">
        <is>
          <t>普通科</t>
        </is>
      </c>
      <c r="H112" s="8" t="n"/>
      <c r="I112" s="9" t="n"/>
      <c r="J112" s="9" t="inlineStr">
        <is>
          <t>未架電</t>
        </is>
      </c>
      <c r="K112" s="8" t="n"/>
      <c r="L112" s="9" t="n"/>
      <c r="M112" s="10" t="inlineStr">
        <is>
          <t>正式名称は「ノースアジア大学明桜高等学校」。秋田県の一覧（複数年度）で一致</t>
        </is>
      </c>
      <c r="N112" s="11" t="inlineStr">
        <is>
          <t>https://www.pref.akita.lg.jp/uploads/public/archive_0000049957_00/R5秋田県高等学校一覧.pdf</t>
        </is>
      </c>
      <c r="O112" s="12" t="inlineStr">
        <is>
          <t>開く</t>
        </is>
      </c>
    </row>
    <row r="113">
      <c r="A113" s="4" t="n">
        <v>109</v>
      </c>
      <c r="B113" s="5" t="inlineStr">
        <is>
          <t>山形県</t>
        </is>
      </c>
      <c r="C113" s="5" t="inlineStr">
        <is>
          <t>小国町</t>
        </is>
      </c>
      <c r="D113" s="5" t="inlineStr">
        <is>
          <t>基督教独立学園高等学校</t>
        </is>
      </c>
      <c r="E113" s="6" t="inlineStr">
        <is>
          <t>0238-65-2021</t>
        </is>
      </c>
      <c r="F113" s="7" t="inlineStr">
        <is>
          <t>高</t>
        </is>
      </c>
      <c r="G113" s="5" t="inlineStr">
        <is>
          <t>普通科</t>
        </is>
      </c>
      <c r="H113" s="8" t="n"/>
      <c r="I113" s="9" t="n"/>
      <c r="J113" s="9" t="inlineStr">
        <is>
          <t>未架電</t>
        </is>
      </c>
      <c r="K113" s="8" t="n"/>
      <c r="L113" s="9" t="n"/>
      <c r="M113" s="10" t="inlineStr">
        <is>
          <t>複数の情報源で一致</t>
        </is>
      </c>
      <c r="N113" s="11" t="inlineStr">
        <is>
          <t>https://school.js88.com/scl_h/22030920/ ; https://studychain.jp/koukoudb/school/1573/</t>
        </is>
      </c>
      <c r="O113" s="12" t="inlineStr">
        <is>
          <t>開く</t>
        </is>
      </c>
    </row>
    <row r="114">
      <c r="A114" s="4" t="n">
        <v>110</v>
      </c>
      <c r="B114" s="5" t="inlineStr">
        <is>
          <t>山形県</t>
        </is>
      </c>
      <c r="C114" s="5" t="inlineStr">
        <is>
          <t>米沢市</t>
        </is>
      </c>
      <c r="D114" s="5" t="inlineStr">
        <is>
          <t>九里学園高等学校</t>
        </is>
      </c>
      <c r="E114" s="6" t="inlineStr">
        <is>
          <t>0238-22-0091</t>
        </is>
      </c>
      <c r="F114" s="7" t="inlineStr">
        <is>
          <t>高</t>
        </is>
      </c>
      <c r="G114" s="5" t="inlineStr">
        <is>
          <t>普通科</t>
        </is>
      </c>
      <c r="H114" s="8" t="n"/>
      <c r="I114" s="9" t="n"/>
      <c r="J114" s="9" t="inlineStr">
        <is>
          <t>未架電</t>
        </is>
      </c>
      <c r="K114" s="8" t="n"/>
      <c r="L114" s="9" t="n"/>
      <c r="M114" s="10" t="inlineStr">
        <is>
          <t>学校情報サイトと山形県の学校法人名簿で一致</t>
        </is>
      </c>
      <c r="N114" s="11" t="inlineStr">
        <is>
          <t>https://school.js88.com/scl_h/22030900 ; https://www100.pref.yamagata.jp/documents/1101/r5meibo.pdf</t>
        </is>
      </c>
      <c r="O114" s="12" t="inlineStr">
        <is>
          <t>開く</t>
        </is>
      </c>
    </row>
    <row r="115">
      <c r="A115" s="4" t="n">
        <v>111</v>
      </c>
      <c r="B115" s="5" t="inlineStr">
        <is>
          <t>山形県</t>
        </is>
      </c>
      <c r="C115" s="5" t="inlineStr">
        <is>
          <t>酒田市</t>
        </is>
      </c>
      <c r="D115" s="5" t="inlineStr">
        <is>
          <t>酒田南高等学校</t>
        </is>
      </c>
      <c r="E115" s="6" t="inlineStr">
        <is>
          <t>0234-22-4733</t>
        </is>
      </c>
      <c r="F115" s="13" t="inlineStr">
        <is>
          <t>中</t>
        </is>
      </c>
      <c r="G115" s="5" t="inlineStr">
        <is>
          <t>普通科・専門学科</t>
        </is>
      </c>
      <c r="H115" s="8" t="n"/>
      <c r="I115" s="9" t="n"/>
      <c r="J115" s="9" t="inlineStr">
        <is>
          <t>未架電</t>
        </is>
      </c>
      <c r="K115" s="8" t="n"/>
      <c r="L115" s="9" t="n"/>
      <c r="M115" s="10" t="inlineStr">
        <is>
          <t>公式サイトの職員室の番号（浜田キャンパス）。事務室は0234-24-2900。一部サイトの0234-22-7341は旧キャンパスの番号の可能性あり</t>
        </is>
      </c>
      <c r="N115" s="11" t="inlineStr">
        <is>
          <t>https://www.sakataminami-h.ed.jp/contact/</t>
        </is>
      </c>
      <c r="O115" s="12" t="inlineStr">
        <is>
          <t>開く</t>
        </is>
      </c>
    </row>
    <row r="116">
      <c r="A116" s="4" t="n">
        <v>112</v>
      </c>
      <c r="B116" s="5" t="inlineStr">
        <is>
          <t>山形県</t>
        </is>
      </c>
      <c r="C116" s="5" t="inlineStr">
        <is>
          <t>新庄市</t>
        </is>
      </c>
      <c r="D116" s="5" t="inlineStr">
        <is>
          <t>新庄東高等学校</t>
        </is>
      </c>
      <c r="E116" s="6" t="inlineStr">
        <is>
          <t>0233-22-1562</t>
        </is>
      </c>
      <c r="F116" s="7" t="inlineStr">
        <is>
          <t>高</t>
        </is>
      </c>
      <c r="G116" s="5" t="inlineStr">
        <is>
          <t>普通科</t>
        </is>
      </c>
      <c r="H116" s="8" t="n"/>
      <c r="I116" s="9" t="n"/>
      <c r="J116" s="9" t="inlineStr">
        <is>
          <t>未架電</t>
        </is>
      </c>
      <c r="K116" s="8" t="n"/>
      <c r="L116" s="9" t="n"/>
      <c r="M116" s="10" t="inlineStr">
        <is>
          <t>公式サイトに「代表」と記載</t>
        </is>
      </c>
      <c r="N116" s="11" t="inlineStr">
        <is>
          <t>http://shinjo-east.com/access.html ; https://www.mapion.co.jp/phonebook/M11004/06205/ILSP0000041749_ipclm/</t>
        </is>
      </c>
      <c r="O116" s="12" t="inlineStr">
        <is>
          <t>開く</t>
        </is>
      </c>
    </row>
    <row r="117">
      <c r="A117" s="4" t="n">
        <v>113</v>
      </c>
      <c r="B117" s="5" t="inlineStr">
        <is>
          <t>山形県</t>
        </is>
      </c>
      <c r="C117" s="5" t="inlineStr">
        <is>
          <t>天童市</t>
        </is>
      </c>
      <c r="D117" s="5" t="inlineStr">
        <is>
          <t>創学館高等学校</t>
        </is>
      </c>
      <c r="E117" s="6" t="inlineStr">
        <is>
          <t>023-655-2321</t>
        </is>
      </c>
      <c r="F117" s="7" t="inlineStr">
        <is>
          <t>高</t>
        </is>
      </c>
      <c r="G117" s="5" t="inlineStr">
        <is>
          <t>専門学科</t>
        </is>
      </c>
      <c r="H117" s="8" t="n"/>
      <c r="I117" s="9" t="n"/>
      <c r="J117" s="9" t="inlineStr">
        <is>
          <t>未架電</t>
        </is>
      </c>
      <c r="K117" s="8" t="n"/>
      <c r="L117" s="9" t="n"/>
      <c r="M117" s="10" t="inlineStr">
        <is>
          <t>公式サイトと山形県の名簿で一致。023-655-2328は同じ法人の別の学校の番号なので注意</t>
        </is>
      </c>
      <c r="N117" s="11" t="inlineStr">
        <is>
          <t>https://sogaku.ed.jp/introduction/access ; https://www100.pref.yamagata.jp/documents/1101/r5meibo.pdf</t>
        </is>
      </c>
      <c r="O117" s="12" t="inlineStr">
        <is>
          <t>開く</t>
        </is>
      </c>
    </row>
    <row r="118">
      <c r="A118" s="4" t="n">
        <v>114</v>
      </c>
      <c r="B118" s="5" t="inlineStr">
        <is>
          <t>山形県</t>
        </is>
      </c>
      <c r="C118" s="5" t="inlineStr">
        <is>
          <t>鶴岡市</t>
        </is>
      </c>
      <c r="D118" s="5" t="inlineStr">
        <is>
          <t>鶴岡東高等学校</t>
        </is>
      </c>
      <c r="E118" s="6" t="inlineStr">
        <is>
          <t>0235-22-0223</t>
        </is>
      </c>
      <c r="F118" s="7" t="inlineStr">
        <is>
          <t>高</t>
        </is>
      </c>
      <c r="G118" s="5" t="inlineStr">
        <is>
          <t>普通科</t>
        </is>
      </c>
      <c r="H118" s="8" t="n"/>
      <c r="I118" s="9" t="n"/>
      <c r="J118" s="9" t="inlineStr">
        <is>
          <t>未架電</t>
        </is>
      </c>
      <c r="K118" s="8" t="n"/>
      <c r="L118" s="9" t="n"/>
      <c r="M118" s="10" t="inlineStr">
        <is>
          <t>学校情報サイト2件で一致</t>
        </is>
      </c>
      <c r="N118" s="11" t="inlineStr">
        <is>
          <t>https://school.js88.com/scl_h/22030940/</t>
        </is>
      </c>
      <c r="O118" s="12" t="inlineStr">
        <is>
          <t>開く</t>
        </is>
      </c>
    </row>
    <row r="119">
      <c r="A119" s="4" t="n">
        <v>115</v>
      </c>
      <c r="B119" s="5" t="inlineStr">
        <is>
          <t>山形県</t>
        </is>
      </c>
      <c r="C119" s="5" t="inlineStr">
        <is>
          <t>山形市</t>
        </is>
      </c>
      <c r="D119" s="5" t="inlineStr">
        <is>
          <t>東海大学山形高等学校</t>
        </is>
      </c>
      <c r="E119" s="6" t="inlineStr">
        <is>
          <t>023-688-3022</t>
        </is>
      </c>
      <c r="F119" s="7" t="inlineStr">
        <is>
          <t>高</t>
        </is>
      </c>
      <c r="G119" s="5" t="inlineStr">
        <is>
          <t>普通科</t>
        </is>
      </c>
      <c r="H119" s="8" t="n"/>
      <c r="I119" s="9" t="n"/>
      <c r="J119" s="9" t="inlineStr">
        <is>
          <t>未架電</t>
        </is>
      </c>
      <c r="K119" s="8" t="n"/>
      <c r="L119" s="9" t="n"/>
      <c r="M119" s="10" t="inlineStr">
        <is>
          <t>学校情報サイトと山形県の学校法人名簿で一致</t>
        </is>
      </c>
      <c r="N119" s="11" t="inlineStr">
        <is>
          <t>https://www.minkou.jp/hischool/school/2773/ ; https://www200.pref.yamagata.jp/documents/1101/r7meibo.pdf</t>
        </is>
      </c>
      <c r="O119" s="12" t="inlineStr">
        <is>
          <t>開く</t>
        </is>
      </c>
    </row>
    <row r="120">
      <c r="A120" s="4" t="n">
        <v>116</v>
      </c>
      <c r="B120" s="5" t="inlineStr">
        <is>
          <t>山形県</t>
        </is>
      </c>
      <c r="C120" s="5" t="inlineStr">
        <is>
          <t>山形市</t>
        </is>
      </c>
      <c r="D120" s="5" t="inlineStr">
        <is>
          <t>東北文教大学山形城北高等学校</t>
        </is>
      </c>
      <c r="E120" s="6" t="inlineStr">
        <is>
          <t>023-645-3377</t>
        </is>
      </c>
      <c r="F120" s="7" t="inlineStr">
        <is>
          <t>高</t>
        </is>
      </c>
      <c r="G120" s="5" t="inlineStr">
        <is>
          <t>普通科</t>
        </is>
      </c>
      <c r="H120" s="8" t="n"/>
      <c r="I120" s="9" t="n"/>
      <c r="J120" s="9" t="inlineStr">
        <is>
          <t>未架電</t>
        </is>
      </c>
      <c r="K120" s="8" t="n"/>
      <c r="L120" s="9" t="n"/>
      <c r="M120" s="10" t="inlineStr">
        <is>
          <t>公式サイトに「代表」と記載。023-688-2296は短大の番号なので注意</t>
        </is>
      </c>
      <c r="N120" s="11" t="inlineStr">
        <is>
          <t>https://www.johoku.ed.jp/school-life/</t>
        </is>
      </c>
      <c r="O120" s="12" t="inlineStr">
        <is>
          <t>開く</t>
        </is>
      </c>
    </row>
    <row r="121">
      <c r="A121" s="4" t="n">
        <v>117</v>
      </c>
      <c r="B121" s="5" t="inlineStr">
        <is>
          <t>山形県</t>
        </is>
      </c>
      <c r="C121" s="5" t="inlineStr">
        <is>
          <t>山形市</t>
        </is>
      </c>
      <c r="D121" s="5" t="inlineStr">
        <is>
          <t>日本大学山形高等学校</t>
        </is>
      </c>
      <c r="E121" s="6" t="inlineStr">
        <is>
          <t>023-641-6631</t>
        </is>
      </c>
      <c r="F121" s="7" t="inlineStr">
        <is>
          <t>高</t>
        </is>
      </c>
      <c r="G121" s="5" t="inlineStr">
        <is>
          <t>普通科</t>
        </is>
      </c>
      <c r="H121" s="8" t="n"/>
      <c r="I121" s="9" t="n"/>
      <c r="J121" s="9" t="inlineStr">
        <is>
          <t>未架電</t>
        </is>
      </c>
      <c r="K121" s="8" t="n"/>
      <c r="L121" s="9" t="n"/>
      <c r="M121" s="10" t="inlineStr">
        <is>
          <t>公式資料に「代表」と記載</t>
        </is>
      </c>
      <c r="N121" s="11" t="inlineStr">
        <is>
          <t>https://www.ymgt.hs.nihon-u.ac.jp/wp-content/uploads/2025/06/部活体験会2025チラシ.pdf</t>
        </is>
      </c>
      <c r="O121" s="12" t="inlineStr">
        <is>
          <t>開く</t>
        </is>
      </c>
    </row>
    <row r="122">
      <c r="A122" s="4" t="n">
        <v>118</v>
      </c>
      <c r="B122" s="5" t="inlineStr">
        <is>
          <t>山形県</t>
        </is>
      </c>
      <c r="C122" s="5" t="inlineStr">
        <is>
          <t>鶴岡市</t>
        </is>
      </c>
      <c r="D122" s="5" t="inlineStr">
        <is>
          <t>羽黒高等学校</t>
        </is>
      </c>
      <c r="E122" s="6" t="inlineStr">
        <is>
          <t>0235-62-2105</t>
        </is>
      </c>
      <c r="F122" s="7" t="inlineStr">
        <is>
          <t>高</t>
        </is>
      </c>
      <c r="G122" s="5" t="inlineStr">
        <is>
          <t>普通科・専門学科</t>
        </is>
      </c>
      <c r="H122" s="8" t="n"/>
      <c r="I122" s="9" t="n"/>
      <c r="J122" s="9" t="inlineStr">
        <is>
          <t>未架電</t>
        </is>
      </c>
      <c r="K122" s="8" t="n"/>
      <c r="L122" s="9" t="n"/>
      <c r="M122" s="10" t="inlineStr">
        <is>
          <t>公式サイトとマピオンで一致。0235-62-2103は法人の事業部の番号なので注意</t>
        </is>
      </c>
      <c r="N122" s="11" t="inlineStr">
        <is>
          <t>https://www.haguroko.ed.jp/ ; https://www.mapion.co.jp/phonebook/M11004/06203/ILSP0000041869_ipclm/</t>
        </is>
      </c>
      <c r="O122" s="12" t="inlineStr">
        <is>
          <t>開く</t>
        </is>
      </c>
    </row>
    <row r="123">
      <c r="A123" s="4" t="n">
        <v>119</v>
      </c>
      <c r="B123" s="5" t="inlineStr">
        <is>
          <t>山形県</t>
        </is>
      </c>
      <c r="C123" s="5" t="inlineStr">
        <is>
          <t>山形市</t>
        </is>
      </c>
      <c r="D123" s="5" t="inlineStr">
        <is>
          <t>山形学院高等学校</t>
        </is>
      </c>
      <c r="E123" s="6" t="inlineStr">
        <is>
          <t>023-641-4116</t>
        </is>
      </c>
      <c r="F123" s="7" t="inlineStr">
        <is>
          <t>高</t>
        </is>
      </c>
      <c r="G123" s="5" t="inlineStr">
        <is>
          <t>普通科・専門学科</t>
        </is>
      </c>
      <c r="H123" s="8" t="n"/>
      <c r="I123" s="9" t="n"/>
      <c r="J123" s="9" t="inlineStr">
        <is>
          <t>未架電</t>
        </is>
      </c>
      <c r="K123" s="8" t="n"/>
      <c r="L123" s="9" t="n"/>
      <c r="M123" s="10" t="inlineStr">
        <is>
          <t>公式サイトの事務室の番号。職員室は023-641-4115</t>
        </is>
      </c>
      <c r="N123" s="11" t="inlineStr">
        <is>
          <t>https://www.y-gakuin.ac.jp/about/ ; https://www200.pref.yamagata.jp/documents/1101/r7meibo.pdf</t>
        </is>
      </c>
      <c r="O123" s="12" t="inlineStr">
        <is>
          <t>開く</t>
        </is>
      </c>
    </row>
    <row r="124">
      <c r="A124" s="4" t="n">
        <v>120</v>
      </c>
      <c r="B124" s="5" t="inlineStr">
        <is>
          <t>山形県</t>
        </is>
      </c>
      <c r="C124" s="5" t="inlineStr">
        <is>
          <t>山形市</t>
        </is>
      </c>
      <c r="D124" s="5" t="inlineStr">
        <is>
          <t>山形明正高等学校</t>
        </is>
      </c>
      <c r="E124" s="6" t="inlineStr">
        <is>
          <t>023-631-2099</t>
        </is>
      </c>
      <c r="F124" s="7" t="inlineStr">
        <is>
          <t>高</t>
        </is>
      </c>
      <c r="G124" s="5" t="inlineStr">
        <is>
          <t>普通科・専門学科</t>
        </is>
      </c>
      <c r="H124" s="8" t="n"/>
      <c r="I124" s="9" t="n"/>
      <c r="J124" s="9" t="inlineStr">
        <is>
          <t>未架電</t>
        </is>
      </c>
      <c r="K124" s="8" t="n"/>
      <c r="L124" s="9" t="n"/>
      <c r="M124" s="10" t="inlineStr">
        <is>
          <t>山形県の学校法人名簿とYahoo!マップで一致</t>
        </is>
      </c>
      <c r="N124" s="11" t="inlineStr">
        <is>
          <t>https://www100.pref.yamagata.jp/documents/1101/r6meibo.pdf ; https://map.yahoo.co.jp/v3/place/MoZP1zgQvRE</t>
        </is>
      </c>
      <c r="O124" s="12" t="inlineStr">
        <is>
          <t>開く</t>
        </is>
      </c>
    </row>
    <row r="125">
      <c r="A125" s="4" t="n">
        <v>121</v>
      </c>
      <c r="B125" s="5" t="inlineStr">
        <is>
          <t>山形県</t>
        </is>
      </c>
      <c r="C125" s="5" t="inlineStr">
        <is>
          <t>山形市</t>
        </is>
      </c>
      <c r="D125" s="5" t="inlineStr">
        <is>
          <t>惺山高等学校</t>
        </is>
      </c>
      <c r="E125" s="6" t="inlineStr">
        <is>
          <t>023-643-0321</t>
        </is>
      </c>
      <c r="F125" s="7" t="inlineStr">
        <is>
          <t>高</t>
        </is>
      </c>
      <c r="G125" s="5" t="inlineStr">
        <is>
          <t>普通科・専門学科</t>
        </is>
      </c>
      <c r="H125" s="8" t="n"/>
      <c r="I125" s="9" t="n"/>
      <c r="J125" s="9" t="inlineStr">
        <is>
          <t>未架電</t>
        </is>
      </c>
      <c r="K125" s="8" t="n"/>
      <c r="L125" s="9" t="n"/>
      <c r="M125" s="10" t="inlineStr">
        <is>
          <t>【旧校名】2022年4月に山本学園高等学校から改称。通信制課程は023-679-3715</t>
        </is>
      </c>
      <c r="N125" s="11" t="inlineStr">
        <is>
          <t>https://school.js88.com/scl_h/22029820 ; https://www.minkou.jp/hischool/school/4893/</t>
        </is>
      </c>
      <c r="O125" s="12" t="inlineStr">
        <is>
          <t>開く</t>
        </is>
      </c>
    </row>
    <row r="126">
      <c r="A126" s="4" t="n">
        <v>122</v>
      </c>
      <c r="B126" s="5" t="inlineStr">
        <is>
          <t>山形県</t>
        </is>
      </c>
      <c r="C126" s="5" t="inlineStr">
        <is>
          <t>米沢市</t>
        </is>
      </c>
      <c r="D126" s="5" t="inlineStr">
        <is>
          <t>米沢中央高等学校</t>
        </is>
      </c>
      <c r="E126" s="6" t="inlineStr">
        <is>
          <t>0238-22-4223</t>
        </is>
      </c>
      <c r="F126" s="13" t="inlineStr">
        <is>
          <t>中</t>
        </is>
      </c>
      <c r="G126" s="5" t="inlineStr">
        <is>
          <t>普通科</t>
        </is>
      </c>
      <c r="H126" s="8" t="n"/>
      <c r="I126" s="9" t="n"/>
      <c r="J126" s="9" t="inlineStr">
        <is>
          <t>未架電</t>
        </is>
      </c>
      <c r="K126" s="8" t="n"/>
      <c r="L126" s="9" t="n"/>
      <c r="M126" s="10" t="inlineStr">
        <is>
          <t>学校情報サイト複数で一致、公式サイトでは未確認</t>
        </is>
      </c>
      <c r="N126" s="11" t="inlineStr">
        <is>
          <t>https://school.js88.com/scl_h/22030910?page=7 ; https://studychain.jp/koukoudb/school/5290/</t>
        </is>
      </c>
      <c r="O126" s="12" t="inlineStr">
        <is>
          <t>開く</t>
        </is>
      </c>
    </row>
    <row r="127">
      <c r="A127" s="4" t="n">
        <v>123</v>
      </c>
      <c r="B127" s="5" t="inlineStr">
        <is>
          <t>山形県</t>
        </is>
      </c>
      <c r="C127" s="5" t="inlineStr">
        <is>
          <t>酒田市</t>
        </is>
      </c>
      <c r="D127" s="5" t="inlineStr">
        <is>
          <t>和順館高等学校</t>
        </is>
      </c>
      <c r="E127" s="6" t="inlineStr">
        <is>
          <t>0234-26-1670</t>
        </is>
      </c>
      <c r="F127" s="7" t="inlineStr">
        <is>
          <t>高</t>
        </is>
      </c>
      <c r="G127" s="5" t="inlineStr">
        <is>
          <t>普通科</t>
        </is>
      </c>
      <c r="H127" s="8" t="n"/>
      <c r="I127" s="9" t="n"/>
      <c r="J127" s="9" t="inlineStr">
        <is>
          <t>未架電</t>
        </is>
      </c>
      <c r="K127" s="8" t="n"/>
      <c r="L127" s="9" t="n"/>
      <c r="M127" s="10" t="inlineStr">
        <is>
          <t>私立（酒田南高校と同じ学校法人）。通信制・単位制</t>
        </is>
      </c>
      <c r="N127" s="11" t="inlineStr">
        <is>
          <t>https://www.wajun-honbu.ac.jp/wajunkan/1.html ; https://www.mapion.co.jp/phonebook/M11004/06204/ILSP0000040809_ipclm/</t>
        </is>
      </c>
      <c r="O127" s="12" t="inlineStr">
        <is>
          <t>開く</t>
        </is>
      </c>
    </row>
    <row r="128">
      <c r="A128" s="4" t="n">
        <v>124</v>
      </c>
      <c r="B128" s="5" t="inlineStr">
        <is>
          <t>福島県</t>
        </is>
      </c>
      <c r="C128" s="5" t="inlineStr">
        <is>
          <t>会津若松市</t>
        </is>
      </c>
      <c r="D128" s="5" t="inlineStr">
        <is>
          <t>会津北嶺高等学校</t>
        </is>
      </c>
      <c r="E128" s="6" t="inlineStr">
        <is>
          <t>0242-22-1004</t>
        </is>
      </c>
      <c r="F128" s="7" t="inlineStr">
        <is>
          <t>高</t>
        </is>
      </c>
      <c r="G128" s="5" t="inlineStr">
        <is>
          <t>普通科・専門学科</t>
        </is>
      </c>
      <c r="H128" s="8" t="n"/>
      <c r="I128" s="9" t="n"/>
      <c r="J128" s="9" t="inlineStr">
        <is>
          <t>未架電</t>
        </is>
      </c>
      <c r="K128" s="8" t="n"/>
      <c r="L128" s="9" t="n"/>
      <c r="M128" s="10" t="inlineStr">
        <is>
          <t>会津若松市の資料と学校情報サイトで一致。2017年に若松第一高校から改称</t>
        </is>
      </c>
      <c r="N128" s="11" t="inlineStr">
        <is>
          <t>https://www.city.aizuwakamatsu.fukushima.jp/info/2024041000377/ ; https://school.js88.com/scl_h/22031860/</t>
        </is>
      </c>
      <c r="O128" s="12" t="inlineStr">
        <is>
          <t>開く</t>
        </is>
      </c>
    </row>
    <row r="129">
      <c r="A129" s="4" t="n">
        <v>125</v>
      </c>
      <c r="B129" s="5" t="inlineStr">
        <is>
          <t>福島県</t>
        </is>
      </c>
      <c r="C129" s="5" t="inlineStr">
        <is>
          <t>会津若松市</t>
        </is>
      </c>
      <c r="D129" s="5" t="inlineStr">
        <is>
          <t>会津若松ザベリオ学園高等学校</t>
        </is>
      </c>
      <c r="E129" s="6" t="inlineStr">
        <is>
          <t>0242-27-1970</t>
        </is>
      </c>
      <c r="F129" s="7" t="inlineStr">
        <is>
          <t>高</t>
        </is>
      </c>
      <c r="G129" s="5" t="inlineStr">
        <is>
          <t>普通科</t>
        </is>
      </c>
      <c r="H129" s="8" t="n"/>
      <c r="I129" s="9" t="n"/>
      <c r="J129" s="9" t="inlineStr">
        <is>
          <t>未架電</t>
        </is>
      </c>
      <c r="K129" s="8" t="n"/>
      <c r="L129" s="9" t="n"/>
      <c r="M129" s="10" t="inlineStr">
        <is>
          <t>公式サイトで確認。中高共通。一部の地図サイトではFAX（0242-27-3300）が電話番号として誤って載っているので注意</t>
        </is>
      </c>
      <c r="N129" s="11" t="inlineStr">
        <is>
          <t>https://www.aizu-xaverio.ed.jp/ ; https://www.city.aizuwakamatsu.fukushima.jp/info/2024041000384/</t>
        </is>
      </c>
      <c r="O129" s="12" t="inlineStr">
        <is>
          <t>開く</t>
        </is>
      </c>
    </row>
    <row r="130">
      <c r="A130" s="4" t="n">
        <v>126</v>
      </c>
      <c r="B130" s="5" t="inlineStr">
        <is>
          <t>福島県</t>
        </is>
      </c>
      <c r="C130" s="5" t="inlineStr">
        <is>
          <t>石川町</t>
        </is>
      </c>
      <c r="D130" s="5" t="inlineStr">
        <is>
          <t>石川高等学校</t>
        </is>
      </c>
      <c r="E130" s="6" t="inlineStr">
        <is>
          <t>0247-26-5151</t>
        </is>
      </c>
      <c r="F130" s="7" t="inlineStr">
        <is>
          <t>高</t>
        </is>
      </c>
      <c r="G130" s="5" t="inlineStr">
        <is>
          <t>普通科</t>
        </is>
      </c>
      <c r="H130" s="8" t="n"/>
      <c r="I130" s="9" t="n"/>
      <c r="J130" s="9" t="inlineStr">
        <is>
          <t>未架電</t>
        </is>
      </c>
      <c r="K130" s="8" t="n"/>
      <c r="L130" s="9" t="n"/>
      <c r="M130" s="10" t="inlineStr">
        <is>
          <t>私立（通称「学法石川」）。県立石川高校とは別なので注意。石川義塾中学校と共通</t>
        </is>
      </c>
      <c r="N130" s="11" t="inlineStr">
        <is>
          <t>https://ishikawa-gijuku.ac.jp/lp2020/ ; https://school.js88.com/scl_h/22031850</t>
        </is>
      </c>
      <c r="O130" s="12" t="inlineStr">
        <is>
          <t>開く</t>
        </is>
      </c>
    </row>
    <row r="131">
      <c r="A131" s="4" t="n">
        <v>127</v>
      </c>
      <c r="B131" s="5" t="inlineStr">
        <is>
          <t>福島県</t>
        </is>
      </c>
      <c r="C131" s="5" t="inlineStr">
        <is>
          <t>いわき市</t>
        </is>
      </c>
      <c r="D131" s="5" t="inlineStr">
        <is>
          <t>いわき秀英高等学校</t>
        </is>
      </c>
      <c r="E131" s="6" t="inlineStr">
        <is>
          <t>0246-75-2111</t>
        </is>
      </c>
      <c r="F131" s="7" t="inlineStr">
        <is>
          <t>高</t>
        </is>
      </c>
      <c r="G131" s="5" t="inlineStr">
        <is>
          <t>普通科</t>
        </is>
      </c>
      <c r="H131" s="8" t="n"/>
      <c r="I131" s="9" t="n"/>
      <c r="J131" s="9" t="inlineStr">
        <is>
          <t>未架電</t>
        </is>
      </c>
      <c r="K131" s="8" t="n"/>
      <c r="L131" s="9" t="n"/>
      <c r="M131" s="10" t="inlineStr">
        <is>
          <t>福島県の資料と学校情報サイトで一致</t>
        </is>
      </c>
      <c r="N131" s="11" t="inlineStr">
        <is>
          <t>https://www.pref.fukushima.lg.jp/uploaded/attachment/598705.pdf ; https://www.minkou.jp/junior/school/94497/</t>
        </is>
      </c>
      <c r="O131" s="12" t="inlineStr">
        <is>
          <t>開く</t>
        </is>
      </c>
    </row>
    <row r="132">
      <c r="A132" s="4" t="n">
        <v>128</v>
      </c>
      <c r="B132" s="5" t="inlineStr">
        <is>
          <t>福島県</t>
        </is>
      </c>
      <c r="C132" s="5" t="inlineStr">
        <is>
          <t>いわき市</t>
        </is>
      </c>
      <c r="D132" s="5" t="inlineStr">
        <is>
          <t>磐城第一高等学校</t>
        </is>
      </c>
      <c r="E132" s="6" t="inlineStr">
        <is>
          <t>0246-26-1251</t>
        </is>
      </c>
      <c r="F132" s="7" t="inlineStr">
        <is>
          <t>高</t>
        </is>
      </c>
      <c r="G132" s="5" t="inlineStr">
        <is>
          <t>普通科</t>
        </is>
      </c>
      <c r="H132" s="8" t="n"/>
      <c r="I132" s="9" t="n"/>
      <c r="J132" s="9" t="inlineStr">
        <is>
          <t>未架電</t>
        </is>
      </c>
      <c r="K132" s="8" t="n"/>
      <c r="L132" s="9" t="n"/>
      <c r="M132" s="10" t="inlineStr">
        <is>
          <t>公式サイトで確認。私立の女子校。県立磐城高校（0246-23-2566）とは別なので注意</t>
        </is>
      </c>
      <c r="N132" s="11" t="inlineStr">
        <is>
          <t>https://www.iwaki1-h.ed.jp/</t>
        </is>
      </c>
      <c r="O132" s="12" t="inlineStr">
        <is>
          <t>開く</t>
        </is>
      </c>
    </row>
    <row r="133">
      <c r="A133" s="4" t="n">
        <v>129</v>
      </c>
      <c r="B133" s="5" t="inlineStr">
        <is>
          <t>福島県</t>
        </is>
      </c>
      <c r="C133" s="5" t="inlineStr">
        <is>
          <t>いわき市</t>
        </is>
      </c>
      <c r="D133" s="5" t="inlineStr">
        <is>
          <t>磐城緑蔭高等学校</t>
        </is>
      </c>
      <c r="E133" s="6" t="inlineStr">
        <is>
          <t>0246-25-6341</t>
        </is>
      </c>
      <c r="F133" s="7" t="inlineStr">
        <is>
          <t>高</t>
        </is>
      </c>
      <c r="G133" s="5" t="inlineStr">
        <is>
          <t>普通科</t>
        </is>
      </c>
      <c r="H133" s="8" t="n"/>
      <c r="I133" s="9" t="n"/>
      <c r="J133" s="9" t="inlineStr">
        <is>
          <t>未架電</t>
        </is>
      </c>
      <c r="K133" s="8" t="n"/>
      <c r="L133" s="9" t="n"/>
      <c r="M133" s="10" t="inlineStr">
        <is>
          <t>福島県の資料と学校情報サイトで一致</t>
        </is>
      </c>
      <c r="N133" s="11" t="inlineStr">
        <is>
          <t>https://www.pref.fukushima.lg.jp/uploaded/attachment/598705.pdf ; https://school.js88.com/scl_h/22031900</t>
        </is>
      </c>
      <c r="O133" s="12" t="inlineStr">
        <is>
          <t>開く</t>
        </is>
      </c>
    </row>
    <row r="134">
      <c r="A134" s="4" t="n">
        <v>130</v>
      </c>
      <c r="B134" s="5" t="inlineStr">
        <is>
          <t>福島県</t>
        </is>
      </c>
      <c r="C134" s="5" t="inlineStr">
        <is>
          <t>郡山市</t>
        </is>
      </c>
      <c r="D134" s="5" t="inlineStr">
        <is>
          <t>郡山女子大学附属高等学校</t>
        </is>
      </c>
      <c r="E134" s="6" t="inlineStr">
        <is>
          <t>024-932-4848</t>
        </is>
      </c>
      <c r="F134" s="13" t="inlineStr">
        <is>
          <t>中</t>
        </is>
      </c>
      <c r="G134" s="5" t="inlineStr">
        <is>
          <t>普通科・専門学科</t>
        </is>
      </c>
      <c r="H134" s="8" t="n"/>
      <c r="I134" s="9" t="n"/>
      <c r="J134" s="9" t="inlineStr">
        <is>
          <t>未架電</t>
        </is>
      </c>
      <c r="K134" s="8" t="n"/>
      <c r="L134" s="9" t="n"/>
      <c r="M134" s="10" t="inlineStr">
        <is>
          <t>大学と共通の代表番号。高校に取り次いでもらう形になる可能性あり。公式サイトでは未確認</t>
        </is>
      </c>
      <c r="N134" s="11" t="inlineStr">
        <is>
          <t>https://school.js88.com/scl_h/22031810/</t>
        </is>
      </c>
      <c r="O134" s="12" t="inlineStr">
        <is>
          <t>開く</t>
        </is>
      </c>
    </row>
    <row r="135">
      <c r="A135" s="4" t="n">
        <v>131</v>
      </c>
      <c r="B135" s="5" t="inlineStr">
        <is>
          <t>福島県</t>
        </is>
      </c>
      <c r="C135" s="5" t="inlineStr">
        <is>
          <t>福島市</t>
        </is>
      </c>
      <c r="D135" s="5" t="inlineStr">
        <is>
          <t>桜の聖母学院高等学校</t>
        </is>
      </c>
      <c r="E135" s="6" t="inlineStr">
        <is>
          <t>024-535-3141</t>
        </is>
      </c>
      <c r="F135" s="7" t="inlineStr">
        <is>
          <t>高</t>
        </is>
      </c>
      <c r="G135" s="5" t="inlineStr">
        <is>
          <t>普通科・専門学科</t>
        </is>
      </c>
      <c r="H135" s="8" t="n"/>
      <c r="I135" s="9" t="n"/>
      <c r="J135" s="9" t="inlineStr">
        <is>
          <t>未架電</t>
        </is>
      </c>
      <c r="K135" s="8" t="n"/>
      <c r="L135" s="9" t="n"/>
      <c r="M135" s="10" t="inlineStr">
        <is>
          <t>福島県の資料と学校情報サイトで一致</t>
        </is>
      </c>
      <c r="N135" s="11" t="inlineStr">
        <is>
          <t>https://www.pref.fukushima.lg.jp/uploaded/attachment/598705.pdf ; https://school.js88.com/scl_h/22031780</t>
        </is>
      </c>
      <c r="O135" s="12" t="inlineStr">
        <is>
          <t>開く</t>
        </is>
      </c>
    </row>
    <row r="136">
      <c r="A136" s="4" t="n">
        <v>132</v>
      </c>
      <c r="B136" s="5" t="inlineStr">
        <is>
          <t>福島県</t>
        </is>
      </c>
      <c r="C136" s="5" t="inlineStr">
        <is>
          <t>福島市</t>
        </is>
      </c>
      <c r="D136" s="5" t="inlineStr">
        <is>
          <t>松韻学園福島高等学校</t>
        </is>
      </c>
      <c r="E136" s="6" t="inlineStr">
        <is>
          <t>024-534-3480</t>
        </is>
      </c>
      <c r="F136" s="7" t="inlineStr">
        <is>
          <t>高</t>
        </is>
      </c>
      <c r="G136" s="5" t="inlineStr">
        <is>
          <t>普通科</t>
        </is>
      </c>
      <c r="H136" s="8" t="n"/>
      <c r="I136" s="9" t="n"/>
      <c r="J136" s="9" t="inlineStr">
        <is>
          <t>未架電</t>
        </is>
      </c>
      <c r="K136" s="8" t="n"/>
      <c r="L136" s="9" t="n"/>
      <c r="M136" s="10" t="inlineStr">
        <is>
          <t>福島県の資料と学校情報サイトで一致</t>
        </is>
      </c>
      <c r="N136" s="11" t="inlineStr">
        <is>
          <t>https://www.pref.fukushima.lg.jp/uploaded/attachment/598705.pdf ; https://school.js88.com/scl_h/22031760/</t>
        </is>
      </c>
      <c r="O136" s="12" t="inlineStr">
        <is>
          <t>開く</t>
        </is>
      </c>
    </row>
    <row r="137">
      <c r="A137" s="4" t="n">
        <v>133</v>
      </c>
      <c r="B137" s="5" t="inlineStr">
        <is>
          <t>福島県</t>
        </is>
      </c>
      <c r="C137" s="5" t="inlineStr">
        <is>
          <t>郡山市</t>
        </is>
      </c>
      <c r="D137" s="5" t="inlineStr">
        <is>
          <t>尚志高等学校</t>
        </is>
      </c>
      <c r="E137" s="6" t="inlineStr">
        <is>
          <t>024-951-3500</t>
        </is>
      </c>
      <c r="F137" s="7" t="inlineStr">
        <is>
          <t>高</t>
        </is>
      </c>
      <c r="G137" s="5" t="inlineStr">
        <is>
          <t>普通科・専門学科</t>
        </is>
      </c>
      <c r="H137" s="8" t="n"/>
      <c r="I137" s="9" t="n"/>
      <c r="J137" s="9" t="inlineStr">
        <is>
          <t>未架電</t>
        </is>
      </c>
      <c r="K137" s="8" t="n"/>
      <c r="L137" s="9" t="n"/>
      <c r="M137" s="10" t="inlineStr">
        <is>
          <t>公式サイトで確認。学校法人の本部（024-951-1476）とは別</t>
        </is>
      </c>
      <c r="N137" s="11" t="inlineStr">
        <is>
          <t>https://www.shoshi.ed.jp/highschool/traffic/index.html ; https://www.mapion.co.jp/phonebook/M11004/07203/ILSP0000041943_ipclm/</t>
        </is>
      </c>
      <c r="O137" s="12" t="inlineStr">
        <is>
          <t>開く</t>
        </is>
      </c>
    </row>
    <row r="138">
      <c r="A138" s="4" t="n">
        <v>134</v>
      </c>
      <c r="B138" s="5" t="inlineStr">
        <is>
          <t>福島県</t>
        </is>
      </c>
      <c r="C138" s="5" t="inlineStr">
        <is>
          <t>会津若松市</t>
        </is>
      </c>
      <c r="D138" s="5" t="inlineStr">
        <is>
          <t>仁愛高等学校</t>
        </is>
      </c>
      <c r="E138" s="6" t="inlineStr">
        <is>
          <t>0242-25-0581</t>
        </is>
      </c>
      <c r="F138" s="7" t="inlineStr">
        <is>
          <t>高</t>
        </is>
      </c>
      <c r="G138" s="5" t="inlineStr">
        <is>
          <t>専門学科</t>
        </is>
      </c>
      <c r="H138" s="8" t="n"/>
      <c r="I138" s="9" t="n"/>
      <c r="J138" s="9" t="inlineStr">
        <is>
          <t>未架電</t>
        </is>
      </c>
      <c r="K138" s="8" t="n"/>
      <c r="L138" s="9" t="n"/>
      <c r="M138" s="10" t="inlineStr">
        <is>
          <t>福島県の資料と学校情報サイトで一致</t>
        </is>
      </c>
      <c r="N138" s="11" t="inlineStr">
        <is>
          <t>https://school.js88.com/scl_h/34028620/ ; https://www.pref.fukushima.lg.jp/uploaded/attachment/598705.pdf</t>
        </is>
      </c>
      <c r="O138" s="12" t="inlineStr">
        <is>
          <t>開く</t>
        </is>
      </c>
    </row>
    <row r="139">
      <c r="A139" s="4" t="n">
        <v>135</v>
      </c>
      <c r="B139" s="5" t="inlineStr">
        <is>
          <t>福島県</t>
        </is>
      </c>
      <c r="C139" s="5" t="inlineStr">
        <is>
          <t>伊達市</t>
        </is>
      </c>
      <c r="D139" s="5" t="inlineStr">
        <is>
          <t>聖光学院高等学校（福島県）</t>
        </is>
      </c>
      <c r="E139" s="6" t="inlineStr">
        <is>
          <t>024-583-3325</t>
        </is>
      </c>
      <c r="F139" s="7" t="inlineStr">
        <is>
          <t>高</t>
        </is>
      </c>
      <c r="G139" s="5" t="inlineStr">
        <is>
          <t>普通科・専門学科</t>
        </is>
      </c>
      <c r="H139" s="8" t="n"/>
      <c r="I139" s="9" t="n"/>
      <c r="J139" s="9" t="inlineStr">
        <is>
          <t>未架電</t>
        </is>
      </c>
      <c r="K139" s="8" t="n"/>
      <c r="L139" s="9" t="n"/>
      <c r="M139" s="10" t="inlineStr">
        <is>
          <t>公式資料に「代表」と記載（第一校舎・伊達市）。第二校舎（桑折町）は024-583-2168</t>
        </is>
      </c>
      <c r="N139" s="11" t="inlineStr">
        <is>
          <t>https://www.seikogakuin.jp/pdf_file/2023outline.pdf?v=3 ; http://www.seikogakuin.jp/</t>
        </is>
      </c>
      <c r="O139" s="12" t="inlineStr">
        <is>
          <t>開く</t>
        </is>
      </c>
    </row>
    <row r="140">
      <c r="A140" s="4" t="n">
        <v>136</v>
      </c>
      <c r="B140" s="5" t="inlineStr">
        <is>
          <t>福島県</t>
        </is>
      </c>
      <c r="C140" s="5" t="inlineStr">
        <is>
          <t>郡山市</t>
        </is>
      </c>
      <c r="D140" s="5" t="inlineStr">
        <is>
          <t>帝京安積高等学校</t>
        </is>
      </c>
      <c r="E140" s="6" t="inlineStr">
        <is>
          <t>024-941-7755</t>
        </is>
      </c>
      <c r="F140" s="7" t="inlineStr">
        <is>
          <t>高</t>
        </is>
      </c>
      <c r="G140" s="5" t="inlineStr">
        <is>
          <t>普通科・専門学科</t>
        </is>
      </c>
      <c r="H140" s="8" t="n"/>
      <c r="I140" s="9" t="n"/>
      <c r="J140" s="9" t="inlineStr">
        <is>
          <t>未架電</t>
        </is>
      </c>
      <c r="K140" s="8" t="n"/>
      <c r="L140" s="9" t="n"/>
      <c r="M140" s="10" t="inlineStr">
        <is>
          <t>学校情報サイト2件で一致、公式サイトでは未確認</t>
        </is>
      </c>
      <c r="N140" s="11" t="inlineStr">
        <is>
          <t>https://school.js88.com/scl_h/22031820</t>
        </is>
      </c>
      <c r="O140" s="12" t="inlineStr">
        <is>
          <t>開く</t>
        </is>
      </c>
    </row>
    <row r="141">
      <c r="A141" s="4" t="n">
        <v>137</v>
      </c>
      <c r="B141" s="5" t="inlineStr">
        <is>
          <t>福島県</t>
        </is>
      </c>
      <c r="C141" s="5" t="inlineStr">
        <is>
          <t>郡山市</t>
        </is>
      </c>
      <c r="D141" s="5" t="inlineStr">
        <is>
          <t>日本大学東北高等学校</t>
        </is>
      </c>
      <c r="E141" s="6" t="inlineStr">
        <is>
          <t>024-956-8840</t>
        </is>
      </c>
      <c r="F141" s="13" t="inlineStr">
        <is>
          <t>中</t>
        </is>
      </c>
      <c r="G141" s="5" t="inlineStr">
        <is>
          <t>普通科</t>
        </is>
      </c>
      <c r="H141" s="8" t="n"/>
      <c r="I141" s="9" t="n"/>
      <c r="J141" s="9" t="inlineStr">
        <is>
          <t>未架電</t>
        </is>
      </c>
      <c r="K141" s="8" t="n"/>
      <c r="L141" s="9" t="n"/>
      <c r="M141" s="10" t="inlineStr">
        <is>
          <t>公式サイトの住所欄の番号（「代表」の表記なし）。入試・学校案内の問い合わせは024-956-8838、広報部は024-956-8856</t>
        </is>
      </c>
      <c r="N141" s="11" t="inlineStr">
        <is>
          <t>https://www.tohoku.hs.nihon-u.ac.jp/inq/inq.html</t>
        </is>
      </c>
      <c r="O141" s="12" t="inlineStr">
        <is>
          <t>開く</t>
        </is>
      </c>
    </row>
    <row r="142">
      <c r="A142" s="4" t="n">
        <v>138</v>
      </c>
      <c r="B142" s="5" t="inlineStr">
        <is>
          <t>福島県</t>
        </is>
      </c>
      <c r="C142" s="5" t="inlineStr">
        <is>
          <t>いわき市</t>
        </is>
      </c>
      <c r="D142" s="5" t="inlineStr">
        <is>
          <t>東日本国際大学附属昌平高等学校</t>
        </is>
      </c>
      <c r="E142" s="6" t="inlineStr">
        <is>
          <t>0246-57-1123</t>
        </is>
      </c>
      <c r="F142" s="7" t="inlineStr">
        <is>
          <t>高</t>
        </is>
      </c>
      <c r="G142" s="5" t="inlineStr">
        <is>
          <t>普通科・専門学科</t>
        </is>
      </c>
      <c r="H142" s="8" t="n"/>
      <c r="I142" s="9" t="n"/>
      <c r="J142" s="9" t="inlineStr">
        <is>
          <t>未架電</t>
        </is>
      </c>
      <c r="K142" s="8" t="n"/>
      <c r="L142" s="9" t="n"/>
      <c r="M142" s="10" t="inlineStr">
        <is>
          <t>公式サイトに「代表」と記載。中高共通。一部サイトの0246-88-6743は公式と異なるため不採用</t>
        </is>
      </c>
      <c r="N142" s="11" t="inlineStr">
        <is>
          <t>https://shohei-chukou.ac.jp/school_guidance/access/ ; https://shohei-chukou.ac.jp/contact/</t>
        </is>
      </c>
      <c r="O142" s="12" t="inlineStr">
        <is>
          <t>開く</t>
        </is>
      </c>
    </row>
    <row r="143">
      <c r="A143" s="4" t="n">
        <v>139</v>
      </c>
      <c r="B143" s="5" t="inlineStr">
        <is>
          <t>福島県</t>
        </is>
      </c>
      <c r="C143" s="5" t="inlineStr">
        <is>
          <t>福島市</t>
        </is>
      </c>
      <c r="D143" s="5" t="inlineStr">
        <is>
          <t>福島成蹊高等学校</t>
        </is>
      </c>
      <c r="E143" s="6" t="inlineStr">
        <is>
          <t>024-522-2049</t>
        </is>
      </c>
      <c r="F143" s="7" t="inlineStr">
        <is>
          <t>高</t>
        </is>
      </c>
      <c r="G143" s="5" t="inlineStr">
        <is>
          <t>普通科</t>
        </is>
      </c>
      <c r="H143" s="8" t="n"/>
      <c r="I143" s="9" t="n"/>
      <c r="J143" s="9" t="inlineStr">
        <is>
          <t>未架電</t>
        </is>
      </c>
      <c r="K143" s="8" t="n"/>
      <c r="L143" s="9" t="n"/>
      <c r="M143" s="10" t="inlineStr">
        <is>
          <t>福島県・文部科学省の資料と学校情報サイトで一致。中学校は別番号（024-526-2282）</t>
        </is>
      </c>
      <c r="N143" s="11" t="inlineStr">
        <is>
          <t>https://www.pref.fukushima.lg.jp/uploaded/attachment/598705.pdf ; https://school.js88.com/scl_h/22031770?page=5</t>
        </is>
      </c>
      <c r="O143" s="12" t="inlineStr">
        <is>
          <t>開く</t>
        </is>
      </c>
    </row>
    <row r="144">
      <c r="A144" s="4" t="n">
        <v>140</v>
      </c>
      <c r="B144" s="5" t="inlineStr">
        <is>
          <t>福島県</t>
        </is>
      </c>
      <c r="C144" s="5" t="inlineStr">
        <is>
          <t>福島市</t>
        </is>
      </c>
      <c r="D144" s="5" t="inlineStr">
        <is>
          <t>福島東稜高等学校</t>
        </is>
      </c>
      <c r="E144" s="6" t="inlineStr">
        <is>
          <t>024-535-3316</t>
        </is>
      </c>
      <c r="F144" s="7" t="inlineStr">
        <is>
          <t>高</t>
        </is>
      </c>
      <c r="G144" s="5" t="inlineStr">
        <is>
          <t>普通科・専門学科</t>
        </is>
      </c>
      <c r="H144" s="8" t="n"/>
      <c r="I144" s="9" t="n"/>
      <c r="J144" s="9" t="inlineStr">
        <is>
          <t>未架電</t>
        </is>
      </c>
      <c r="K144" s="8" t="n"/>
      <c r="L144" s="9" t="n"/>
      <c r="M144" s="10" t="inlineStr">
        <is>
          <t>公式サイトで確認</t>
        </is>
      </c>
      <c r="N144" s="11" t="inlineStr">
        <is>
          <t>https://www.toryo.ac.jp/ ; https://www.mapion.co.jp/phonebook/M11004/07201/ILSP0000040636_ipclm/</t>
        </is>
      </c>
      <c r="O144" s="12" t="inlineStr">
        <is>
          <t>開く</t>
        </is>
      </c>
    </row>
  </sheetData>
  <autoFilter ref="A4:O144"/>
  <conditionalFormatting sqref="A5:O144">
    <cfRule type="expression" priority="1" dxfId="0">
      <formula>$J5="アポ獲得"</formula>
    </cfRule>
    <cfRule type="expression" priority="2" dxfId="1">
      <formula>$J5="NG"</formula>
    </cfRule>
  </conditionalFormatting>
  <dataValidations count="2">
    <dataValidation sqref="J5:J144" showDropDown="0" showInputMessage="0" showErrorMessage="0" allowBlank="1" type="list">
      <formula1>"未架電,不在・折返し待ち,担当者不在,資料送付,アポ獲得,検討中,NG,番号不明"</formula1>
    </dataValidation>
    <dataValidation sqref="H5:H144 K5:K144" showDropDown="0" showInputMessage="0" showErrorMessage="0" allowBlank="1" errorTitle="日付" error="日付で入力してください（例：2026/10/9）" type="date" operator="greaterThan">
      <formula1>36526</formula1>
    </dataValidation>
  </dataValidations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  <hyperlink xmlns:r="http://schemas.openxmlformats.org/officeDocument/2006/relationships" ref="O10" r:id="rId6"/>
    <hyperlink xmlns:r="http://schemas.openxmlformats.org/officeDocument/2006/relationships" ref="O11" r:id="rId7"/>
    <hyperlink xmlns:r="http://schemas.openxmlformats.org/officeDocument/2006/relationships" ref="O12" r:id="rId8"/>
    <hyperlink xmlns:r="http://schemas.openxmlformats.org/officeDocument/2006/relationships" ref="O13" r:id="rId9"/>
    <hyperlink xmlns:r="http://schemas.openxmlformats.org/officeDocument/2006/relationships" ref="O14" r:id="rId10"/>
    <hyperlink xmlns:r="http://schemas.openxmlformats.org/officeDocument/2006/relationships" ref="O15" r:id="rId11"/>
    <hyperlink xmlns:r="http://schemas.openxmlformats.org/officeDocument/2006/relationships" ref="O16" r:id="rId12"/>
    <hyperlink xmlns:r="http://schemas.openxmlformats.org/officeDocument/2006/relationships" ref="O17" r:id="rId13"/>
    <hyperlink xmlns:r="http://schemas.openxmlformats.org/officeDocument/2006/relationships" ref="O18" r:id="rId14"/>
    <hyperlink xmlns:r="http://schemas.openxmlformats.org/officeDocument/2006/relationships" ref="O19" r:id="rId15"/>
    <hyperlink xmlns:r="http://schemas.openxmlformats.org/officeDocument/2006/relationships" ref="O20" r:id="rId16"/>
    <hyperlink xmlns:r="http://schemas.openxmlformats.org/officeDocument/2006/relationships" ref="O21" r:id="rId17"/>
    <hyperlink xmlns:r="http://schemas.openxmlformats.org/officeDocument/2006/relationships" ref="O22" r:id="rId18"/>
    <hyperlink xmlns:r="http://schemas.openxmlformats.org/officeDocument/2006/relationships" ref="O23" r:id="rId19"/>
    <hyperlink xmlns:r="http://schemas.openxmlformats.org/officeDocument/2006/relationships" ref="O24" r:id="rId20"/>
    <hyperlink xmlns:r="http://schemas.openxmlformats.org/officeDocument/2006/relationships" ref="O25" r:id="rId21"/>
    <hyperlink xmlns:r="http://schemas.openxmlformats.org/officeDocument/2006/relationships" ref="O26" r:id="rId22"/>
    <hyperlink xmlns:r="http://schemas.openxmlformats.org/officeDocument/2006/relationships" ref="O27" r:id="rId23"/>
    <hyperlink xmlns:r="http://schemas.openxmlformats.org/officeDocument/2006/relationships" ref="O28" r:id="rId24"/>
    <hyperlink xmlns:r="http://schemas.openxmlformats.org/officeDocument/2006/relationships" ref="O29" r:id="rId25"/>
    <hyperlink xmlns:r="http://schemas.openxmlformats.org/officeDocument/2006/relationships" ref="O30" r:id="rId26"/>
    <hyperlink xmlns:r="http://schemas.openxmlformats.org/officeDocument/2006/relationships" ref="O31" r:id="rId27"/>
    <hyperlink xmlns:r="http://schemas.openxmlformats.org/officeDocument/2006/relationships" ref="O32" r:id="rId28"/>
    <hyperlink xmlns:r="http://schemas.openxmlformats.org/officeDocument/2006/relationships" ref="O33" r:id="rId29"/>
    <hyperlink xmlns:r="http://schemas.openxmlformats.org/officeDocument/2006/relationships" ref="O34" r:id="rId30"/>
    <hyperlink xmlns:r="http://schemas.openxmlformats.org/officeDocument/2006/relationships" ref="O35" r:id="rId31"/>
    <hyperlink xmlns:r="http://schemas.openxmlformats.org/officeDocument/2006/relationships" ref="O36" r:id="rId32"/>
    <hyperlink xmlns:r="http://schemas.openxmlformats.org/officeDocument/2006/relationships" ref="O37" r:id="rId33"/>
    <hyperlink xmlns:r="http://schemas.openxmlformats.org/officeDocument/2006/relationships" ref="O38" r:id="rId34"/>
    <hyperlink xmlns:r="http://schemas.openxmlformats.org/officeDocument/2006/relationships" ref="O39" r:id="rId35"/>
    <hyperlink xmlns:r="http://schemas.openxmlformats.org/officeDocument/2006/relationships" ref="O40" r:id="rId36"/>
    <hyperlink xmlns:r="http://schemas.openxmlformats.org/officeDocument/2006/relationships" ref="O41" r:id="rId37"/>
    <hyperlink xmlns:r="http://schemas.openxmlformats.org/officeDocument/2006/relationships" ref="O42" r:id="rId38"/>
    <hyperlink xmlns:r="http://schemas.openxmlformats.org/officeDocument/2006/relationships" ref="O43" r:id="rId39"/>
    <hyperlink xmlns:r="http://schemas.openxmlformats.org/officeDocument/2006/relationships" ref="O44" r:id="rId40"/>
    <hyperlink xmlns:r="http://schemas.openxmlformats.org/officeDocument/2006/relationships" ref="O45" r:id="rId41"/>
    <hyperlink xmlns:r="http://schemas.openxmlformats.org/officeDocument/2006/relationships" ref="O46" r:id="rId42"/>
    <hyperlink xmlns:r="http://schemas.openxmlformats.org/officeDocument/2006/relationships" ref="O47" r:id="rId43"/>
    <hyperlink xmlns:r="http://schemas.openxmlformats.org/officeDocument/2006/relationships" ref="O48" r:id="rId44"/>
    <hyperlink xmlns:r="http://schemas.openxmlformats.org/officeDocument/2006/relationships" ref="O49" r:id="rId45"/>
    <hyperlink xmlns:r="http://schemas.openxmlformats.org/officeDocument/2006/relationships" ref="O50" r:id="rId46"/>
    <hyperlink xmlns:r="http://schemas.openxmlformats.org/officeDocument/2006/relationships" ref="O51" r:id="rId47"/>
    <hyperlink xmlns:r="http://schemas.openxmlformats.org/officeDocument/2006/relationships" ref="O52" r:id="rId48"/>
    <hyperlink xmlns:r="http://schemas.openxmlformats.org/officeDocument/2006/relationships" ref="O53" r:id="rId49"/>
    <hyperlink xmlns:r="http://schemas.openxmlformats.org/officeDocument/2006/relationships" ref="O54" r:id="rId50"/>
    <hyperlink xmlns:r="http://schemas.openxmlformats.org/officeDocument/2006/relationships" ref="O55" r:id="rId51"/>
    <hyperlink xmlns:r="http://schemas.openxmlformats.org/officeDocument/2006/relationships" ref="O56" r:id="rId52"/>
    <hyperlink xmlns:r="http://schemas.openxmlformats.org/officeDocument/2006/relationships" ref="O57" r:id="rId53"/>
    <hyperlink xmlns:r="http://schemas.openxmlformats.org/officeDocument/2006/relationships" ref="O58" r:id="rId54"/>
    <hyperlink xmlns:r="http://schemas.openxmlformats.org/officeDocument/2006/relationships" ref="O59" r:id="rId55"/>
    <hyperlink xmlns:r="http://schemas.openxmlformats.org/officeDocument/2006/relationships" ref="O60" r:id="rId56"/>
    <hyperlink xmlns:r="http://schemas.openxmlformats.org/officeDocument/2006/relationships" ref="O61" r:id="rId57"/>
    <hyperlink xmlns:r="http://schemas.openxmlformats.org/officeDocument/2006/relationships" ref="O62" r:id="rId58"/>
    <hyperlink xmlns:r="http://schemas.openxmlformats.org/officeDocument/2006/relationships" ref="O63" r:id="rId59"/>
    <hyperlink xmlns:r="http://schemas.openxmlformats.org/officeDocument/2006/relationships" ref="O64" r:id="rId60"/>
    <hyperlink xmlns:r="http://schemas.openxmlformats.org/officeDocument/2006/relationships" ref="O65" r:id="rId61"/>
    <hyperlink xmlns:r="http://schemas.openxmlformats.org/officeDocument/2006/relationships" ref="O66" r:id="rId62"/>
    <hyperlink xmlns:r="http://schemas.openxmlformats.org/officeDocument/2006/relationships" ref="O67" r:id="rId63"/>
    <hyperlink xmlns:r="http://schemas.openxmlformats.org/officeDocument/2006/relationships" ref="O68" r:id="rId64"/>
    <hyperlink xmlns:r="http://schemas.openxmlformats.org/officeDocument/2006/relationships" ref="O69" r:id="rId65"/>
    <hyperlink xmlns:r="http://schemas.openxmlformats.org/officeDocument/2006/relationships" ref="O70" r:id="rId66"/>
    <hyperlink xmlns:r="http://schemas.openxmlformats.org/officeDocument/2006/relationships" ref="O71" r:id="rId67"/>
    <hyperlink xmlns:r="http://schemas.openxmlformats.org/officeDocument/2006/relationships" ref="O72" r:id="rId68"/>
    <hyperlink xmlns:r="http://schemas.openxmlformats.org/officeDocument/2006/relationships" ref="O73" r:id="rId69"/>
    <hyperlink xmlns:r="http://schemas.openxmlformats.org/officeDocument/2006/relationships" ref="O74" r:id="rId70"/>
    <hyperlink xmlns:r="http://schemas.openxmlformats.org/officeDocument/2006/relationships" ref="O75" r:id="rId71"/>
    <hyperlink xmlns:r="http://schemas.openxmlformats.org/officeDocument/2006/relationships" ref="O76" r:id="rId72"/>
    <hyperlink xmlns:r="http://schemas.openxmlformats.org/officeDocument/2006/relationships" ref="O77" r:id="rId73"/>
    <hyperlink xmlns:r="http://schemas.openxmlformats.org/officeDocument/2006/relationships" ref="O78" r:id="rId74"/>
    <hyperlink xmlns:r="http://schemas.openxmlformats.org/officeDocument/2006/relationships" ref="O79" r:id="rId75"/>
    <hyperlink xmlns:r="http://schemas.openxmlformats.org/officeDocument/2006/relationships" ref="O80" r:id="rId76"/>
    <hyperlink xmlns:r="http://schemas.openxmlformats.org/officeDocument/2006/relationships" ref="O81" r:id="rId77"/>
    <hyperlink xmlns:r="http://schemas.openxmlformats.org/officeDocument/2006/relationships" ref="O82" r:id="rId78"/>
    <hyperlink xmlns:r="http://schemas.openxmlformats.org/officeDocument/2006/relationships" ref="O83" r:id="rId79"/>
    <hyperlink xmlns:r="http://schemas.openxmlformats.org/officeDocument/2006/relationships" ref="O84" r:id="rId80"/>
    <hyperlink xmlns:r="http://schemas.openxmlformats.org/officeDocument/2006/relationships" ref="O85" r:id="rId81"/>
    <hyperlink xmlns:r="http://schemas.openxmlformats.org/officeDocument/2006/relationships" ref="O86" r:id="rId82"/>
    <hyperlink xmlns:r="http://schemas.openxmlformats.org/officeDocument/2006/relationships" ref="O87" r:id="rId83"/>
    <hyperlink xmlns:r="http://schemas.openxmlformats.org/officeDocument/2006/relationships" ref="O88" r:id="rId84"/>
    <hyperlink xmlns:r="http://schemas.openxmlformats.org/officeDocument/2006/relationships" ref="O89" r:id="rId85"/>
    <hyperlink xmlns:r="http://schemas.openxmlformats.org/officeDocument/2006/relationships" ref="O90" r:id="rId86"/>
    <hyperlink xmlns:r="http://schemas.openxmlformats.org/officeDocument/2006/relationships" ref="O91" r:id="rId87"/>
    <hyperlink xmlns:r="http://schemas.openxmlformats.org/officeDocument/2006/relationships" ref="O92" r:id="rId88"/>
    <hyperlink xmlns:r="http://schemas.openxmlformats.org/officeDocument/2006/relationships" ref="O93" r:id="rId89"/>
    <hyperlink xmlns:r="http://schemas.openxmlformats.org/officeDocument/2006/relationships" ref="O94" r:id="rId90"/>
    <hyperlink xmlns:r="http://schemas.openxmlformats.org/officeDocument/2006/relationships" ref="O95" r:id="rId91"/>
    <hyperlink xmlns:r="http://schemas.openxmlformats.org/officeDocument/2006/relationships" ref="O96" r:id="rId92"/>
    <hyperlink xmlns:r="http://schemas.openxmlformats.org/officeDocument/2006/relationships" ref="O97" r:id="rId93"/>
    <hyperlink xmlns:r="http://schemas.openxmlformats.org/officeDocument/2006/relationships" ref="O98" r:id="rId94"/>
    <hyperlink xmlns:r="http://schemas.openxmlformats.org/officeDocument/2006/relationships" ref="O99" r:id="rId95"/>
    <hyperlink xmlns:r="http://schemas.openxmlformats.org/officeDocument/2006/relationships" ref="O100" r:id="rId96"/>
    <hyperlink xmlns:r="http://schemas.openxmlformats.org/officeDocument/2006/relationships" ref="O101" r:id="rId97"/>
    <hyperlink xmlns:r="http://schemas.openxmlformats.org/officeDocument/2006/relationships" ref="O102" r:id="rId98"/>
    <hyperlink xmlns:r="http://schemas.openxmlformats.org/officeDocument/2006/relationships" ref="O103" r:id="rId99"/>
    <hyperlink xmlns:r="http://schemas.openxmlformats.org/officeDocument/2006/relationships" ref="O104" r:id="rId100"/>
    <hyperlink xmlns:r="http://schemas.openxmlformats.org/officeDocument/2006/relationships" ref="O105" r:id="rId101"/>
    <hyperlink xmlns:r="http://schemas.openxmlformats.org/officeDocument/2006/relationships" ref="O106" r:id="rId102"/>
    <hyperlink xmlns:r="http://schemas.openxmlformats.org/officeDocument/2006/relationships" ref="O107" r:id="rId103"/>
    <hyperlink xmlns:r="http://schemas.openxmlformats.org/officeDocument/2006/relationships" ref="O108" r:id="rId104"/>
    <hyperlink xmlns:r="http://schemas.openxmlformats.org/officeDocument/2006/relationships" ref="O109" r:id="rId105"/>
    <hyperlink xmlns:r="http://schemas.openxmlformats.org/officeDocument/2006/relationships" ref="O110" r:id="rId106"/>
    <hyperlink xmlns:r="http://schemas.openxmlformats.org/officeDocument/2006/relationships" ref="O111" r:id="rId107"/>
    <hyperlink xmlns:r="http://schemas.openxmlformats.org/officeDocument/2006/relationships" ref="O112" r:id="rId108"/>
    <hyperlink xmlns:r="http://schemas.openxmlformats.org/officeDocument/2006/relationships" ref="O113" r:id="rId109"/>
    <hyperlink xmlns:r="http://schemas.openxmlformats.org/officeDocument/2006/relationships" ref="O114" r:id="rId110"/>
    <hyperlink xmlns:r="http://schemas.openxmlformats.org/officeDocument/2006/relationships" ref="O115" r:id="rId111"/>
    <hyperlink xmlns:r="http://schemas.openxmlformats.org/officeDocument/2006/relationships" ref="O116" r:id="rId112"/>
    <hyperlink xmlns:r="http://schemas.openxmlformats.org/officeDocument/2006/relationships" ref="O117" r:id="rId113"/>
    <hyperlink xmlns:r="http://schemas.openxmlformats.org/officeDocument/2006/relationships" ref="O118" r:id="rId114"/>
    <hyperlink xmlns:r="http://schemas.openxmlformats.org/officeDocument/2006/relationships" ref="O119" r:id="rId115"/>
    <hyperlink xmlns:r="http://schemas.openxmlformats.org/officeDocument/2006/relationships" ref="O120" r:id="rId116"/>
    <hyperlink xmlns:r="http://schemas.openxmlformats.org/officeDocument/2006/relationships" ref="O121" r:id="rId117"/>
    <hyperlink xmlns:r="http://schemas.openxmlformats.org/officeDocument/2006/relationships" ref="O122" r:id="rId118"/>
    <hyperlink xmlns:r="http://schemas.openxmlformats.org/officeDocument/2006/relationships" ref="O123" r:id="rId119"/>
    <hyperlink xmlns:r="http://schemas.openxmlformats.org/officeDocument/2006/relationships" ref="O124" r:id="rId120"/>
    <hyperlink xmlns:r="http://schemas.openxmlformats.org/officeDocument/2006/relationships" ref="O125" r:id="rId121"/>
    <hyperlink xmlns:r="http://schemas.openxmlformats.org/officeDocument/2006/relationships" ref="O126" r:id="rId122"/>
    <hyperlink xmlns:r="http://schemas.openxmlformats.org/officeDocument/2006/relationships" ref="O127" r:id="rId123"/>
    <hyperlink xmlns:r="http://schemas.openxmlformats.org/officeDocument/2006/relationships" ref="O128" r:id="rId124"/>
    <hyperlink xmlns:r="http://schemas.openxmlformats.org/officeDocument/2006/relationships" ref="O129" r:id="rId125"/>
    <hyperlink xmlns:r="http://schemas.openxmlformats.org/officeDocument/2006/relationships" ref="O130" r:id="rId126"/>
    <hyperlink xmlns:r="http://schemas.openxmlformats.org/officeDocument/2006/relationships" ref="O131" r:id="rId127"/>
    <hyperlink xmlns:r="http://schemas.openxmlformats.org/officeDocument/2006/relationships" ref="O132" r:id="rId128"/>
    <hyperlink xmlns:r="http://schemas.openxmlformats.org/officeDocument/2006/relationships" ref="O133" r:id="rId129"/>
    <hyperlink xmlns:r="http://schemas.openxmlformats.org/officeDocument/2006/relationships" ref="O134" r:id="rId130"/>
    <hyperlink xmlns:r="http://schemas.openxmlformats.org/officeDocument/2006/relationships" ref="O135" r:id="rId131"/>
    <hyperlink xmlns:r="http://schemas.openxmlformats.org/officeDocument/2006/relationships" ref="O136" r:id="rId132"/>
    <hyperlink xmlns:r="http://schemas.openxmlformats.org/officeDocument/2006/relationships" ref="O137" r:id="rId133"/>
    <hyperlink xmlns:r="http://schemas.openxmlformats.org/officeDocument/2006/relationships" ref="O138" r:id="rId134"/>
    <hyperlink xmlns:r="http://schemas.openxmlformats.org/officeDocument/2006/relationships" ref="O139" r:id="rId135"/>
    <hyperlink xmlns:r="http://schemas.openxmlformats.org/officeDocument/2006/relationships" ref="O140" r:id="rId136"/>
    <hyperlink xmlns:r="http://schemas.openxmlformats.org/officeDocument/2006/relationships" ref="O141" r:id="rId137"/>
    <hyperlink xmlns:r="http://schemas.openxmlformats.org/officeDocument/2006/relationships" ref="O142" r:id="rId138"/>
    <hyperlink xmlns:r="http://schemas.openxmlformats.org/officeDocument/2006/relationships" ref="O143" r:id="rId139"/>
    <hyperlink xmlns:r="http://schemas.openxmlformats.org/officeDocument/2006/relationships" ref="O144" r:id="rId140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都道府県別 進捗集計（架電リストの入力に連動して自動計算）</t>
        </is>
      </c>
    </row>
    <row r="3" ht="30" customHeight="1">
      <c r="A3" s="3" t="inlineStr">
        <is>
          <t>都道府県</t>
        </is>
      </c>
      <c r="B3" s="3" t="inlineStr">
        <is>
          <t>学校数</t>
        </is>
      </c>
      <c r="C3" s="3" t="inlineStr">
        <is>
          <t>電話番号入力済</t>
        </is>
      </c>
      <c r="D3" s="3" t="inlineStr">
        <is>
          <t>架電済</t>
        </is>
      </c>
      <c r="E3" s="3" t="inlineStr">
        <is>
          <t>不在・折返し待ち</t>
        </is>
      </c>
      <c r="F3" s="3" t="inlineStr">
        <is>
          <t>担当者不在</t>
        </is>
      </c>
      <c r="G3" s="3" t="inlineStr">
        <is>
          <t>資料送付</t>
        </is>
      </c>
      <c r="H3" s="3" t="inlineStr">
        <is>
          <t>アポ獲得</t>
        </is>
      </c>
      <c r="I3" s="3" t="inlineStr">
        <is>
          <t>検討中</t>
        </is>
      </c>
      <c r="J3" s="3" t="inlineStr">
        <is>
          <t>NG</t>
        </is>
      </c>
      <c r="K3" s="3" t="inlineStr">
        <is>
          <t>番号不明</t>
        </is>
      </c>
    </row>
    <row r="4">
      <c r="A4" s="16" t="inlineStr">
        <is>
          <t>北海道</t>
        </is>
      </c>
      <c r="B4" s="16">
        <f>COUNTIF('架電リスト'!$B$5:$B$144,A4)</f>
        <v/>
      </c>
      <c r="C4" s="16">
        <f>COUNTIFS('架電リスト'!$B$5:$B$144,A4,'架電リスト'!$E$5:$E$144,"&lt;&gt;")</f>
        <v/>
      </c>
      <c r="D4" s="16">
        <f>B4-COUNTIFS('架電リスト'!$B$5:$B$144,A4,'架電リスト'!$J$5:$J$144,"未架電")-COUNTIFS('架電リスト'!$B$5:$B$144,A4,'架電リスト'!$J$5:$J$144,"")</f>
        <v/>
      </c>
      <c r="E4" s="16">
        <f>COUNTIFS('架電リスト'!$B$5:$B$144,$A4,'架電リスト'!$J$5:$J$144,"不在・折返し待ち")</f>
        <v/>
      </c>
      <c r="F4" s="16">
        <f>COUNTIFS('架電リスト'!$B$5:$B$144,$A4,'架電リスト'!$J$5:$J$144,"担当者不在")</f>
        <v/>
      </c>
      <c r="G4" s="16">
        <f>COUNTIFS('架電リスト'!$B$5:$B$144,$A4,'架電リスト'!$J$5:$J$144,"資料送付")</f>
        <v/>
      </c>
      <c r="H4" s="16">
        <f>COUNTIFS('架電リスト'!$B$5:$B$144,$A4,'架電リスト'!$J$5:$J$144,"アポ獲得")</f>
        <v/>
      </c>
      <c r="I4" s="16">
        <f>COUNTIFS('架電リスト'!$B$5:$B$144,$A4,'架電リスト'!$J$5:$J$144,"検討中")</f>
        <v/>
      </c>
      <c r="J4" s="16">
        <f>COUNTIFS('架電リスト'!$B$5:$B$144,$A4,'架電リスト'!$J$5:$J$144,"NG")</f>
        <v/>
      </c>
      <c r="K4" s="16">
        <f>COUNTIFS('架電リスト'!$B$5:$B$144,$A4,'架電リスト'!$J$5:$J$144,"番号不明")</f>
        <v/>
      </c>
    </row>
    <row r="5">
      <c r="A5" s="16" t="inlineStr">
        <is>
          <t>青森県</t>
        </is>
      </c>
      <c r="B5" s="16">
        <f>COUNTIF('架電リスト'!$B$5:$B$144,A5)</f>
        <v/>
      </c>
      <c r="C5" s="16">
        <f>COUNTIFS('架電リスト'!$B$5:$B$144,A5,'架電リスト'!$E$5:$E$144,"&lt;&gt;")</f>
        <v/>
      </c>
      <c r="D5" s="16">
        <f>B5-COUNTIFS('架電リスト'!$B$5:$B$144,A5,'架電リスト'!$J$5:$J$144,"未架電")-COUNTIFS('架電リスト'!$B$5:$B$144,A5,'架電リスト'!$J$5:$J$144,"")</f>
        <v/>
      </c>
      <c r="E5" s="16">
        <f>COUNTIFS('架電リスト'!$B$5:$B$144,$A5,'架電リスト'!$J$5:$J$144,"不在・折返し待ち")</f>
        <v/>
      </c>
      <c r="F5" s="16">
        <f>COUNTIFS('架電リスト'!$B$5:$B$144,$A5,'架電リスト'!$J$5:$J$144,"担当者不在")</f>
        <v/>
      </c>
      <c r="G5" s="16">
        <f>COUNTIFS('架電リスト'!$B$5:$B$144,$A5,'架電リスト'!$J$5:$J$144,"資料送付")</f>
        <v/>
      </c>
      <c r="H5" s="16">
        <f>COUNTIFS('架電リスト'!$B$5:$B$144,$A5,'架電リスト'!$J$5:$J$144,"アポ獲得")</f>
        <v/>
      </c>
      <c r="I5" s="16">
        <f>COUNTIFS('架電リスト'!$B$5:$B$144,$A5,'架電リスト'!$J$5:$J$144,"検討中")</f>
        <v/>
      </c>
      <c r="J5" s="16">
        <f>COUNTIFS('架電リスト'!$B$5:$B$144,$A5,'架電リスト'!$J$5:$J$144,"NG")</f>
        <v/>
      </c>
      <c r="K5" s="16">
        <f>COUNTIFS('架電リスト'!$B$5:$B$144,$A5,'架電リスト'!$J$5:$J$144,"番号不明")</f>
        <v/>
      </c>
    </row>
    <row r="6">
      <c r="A6" s="16" t="inlineStr">
        <is>
          <t>岩手県</t>
        </is>
      </c>
      <c r="B6" s="16">
        <f>COUNTIF('架電リスト'!$B$5:$B$144,A6)</f>
        <v/>
      </c>
      <c r="C6" s="16">
        <f>COUNTIFS('架電リスト'!$B$5:$B$144,A6,'架電リスト'!$E$5:$E$144,"&lt;&gt;")</f>
        <v/>
      </c>
      <c r="D6" s="16">
        <f>B6-COUNTIFS('架電リスト'!$B$5:$B$144,A6,'架電リスト'!$J$5:$J$144,"未架電")-COUNTIFS('架電リスト'!$B$5:$B$144,A6,'架電リスト'!$J$5:$J$144,"")</f>
        <v/>
      </c>
      <c r="E6" s="16">
        <f>COUNTIFS('架電リスト'!$B$5:$B$144,$A6,'架電リスト'!$J$5:$J$144,"不在・折返し待ち")</f>
        <v/>
      </c>
      <c r="F6" s="16">
        <f>COUNTIFS('架電リスト'!$B$5:$B$144,$A6,'架電リスト'!$J$5:$J$144,"担当者不在")</f>
        <v/>
      </c>
      <c r="G6" s="16">
        <f>COUNTIFS('架電リスト'!$B$5:$B$144,$A6,'架電リスト'!$J$5:$J$144,"資料送付")</f>
        <v/>
      </c>
      <c r="H6" s="16">
        <f>COUNTIFS('架電リスト'!$B$5:$B$144,$A6,'架電リスト'!$J$5:$J$144,"アポ獲得")</f>
        <v/>
      </c>
      <c r="I6" s="16">
        <f>COUNTIFS('架電リスト'!$B$5:$B$144,$A6,'架電リスト'!$J$5:$J$144,"検討中")</f>
        <v/>
      </c>
      <c r="J6" s="16">
        <f>COUNTIFS('架電リスト'!$B$5:$B$144,$A6,'架電リスト'!$J$5:$J$144,"NG")</f>
        <v/>
      </c>
      <c r="K6" s="16">
        <f>COUNTIFS('架電リスト'!$B$5:$B$144,$A6,'架電リスト'!$J$5:$J$144,"番号不明")</f>
        <v/>
      </c>
    </row>
    <row r="7">
      <c r="A7" s="16" t="inlineStr">
        <is>
          <t>宮城県</t>
        </is>
      </c>
      <c r="B7" s="16">
        <f>COUNTIF('架電リスト'!$B$5:$B$144,A7)</f>
        <v/>
      </c>
      <c r="C7" s="16">
        <f>COUNTIFS('架電リスト'!$B$5:$B$144,A7,'架電リスト'!$E$5:$E$144,"&lt;&gt;")</f>
        <v/>
      </c>
      <c r="D7" s="16">
        <f>B7-COUNTIFS('架電リスト'!$B$5:$B$144,A7,'架電リスト'!$J$5:$J$144,"未架電")-COUNTIFS('架電リスト'!$B$5:$B$144,A7,'架電リスト'!$J$5:$J$144,"")</f>
        <v/>
      </c>
      <c r="E7" s="16">
        <f>COUNTIFS('架電リスト'!$B$5:$B$144,$A7,'架電リスト'!$J$5:$J$144,"不在・折返し待ち")</f>
        <v/>
      </c>
      <c r="F7" s="16">
        <f>COUNTIFS('架電リスト'!$B$5:$B$144,$A7,'架電リスト'!$J$5:$J$144,"担当者不在")</f>
        <v/>
      </c>
      <c r="G7" s="16">
        <f>COUNTIFS('架電リスト'!$B$5:$B$144,$A7,'架電リスト'!$J$5:$J$144,"資料送付")</f>
        <v/>
      </c>
      <c r="H7" s="16">
        <f>COUNTIFS('架電リスト'!$B$5:$B$144,$A7,'架電リスト'!$J$5:$J$144,"アポ獲得")</f>
        <v/>
      </c>
      <c r="I7" s="16">
        <f>COUNTIFS('架電リスト'!$B$5:$B$144,$A7,'架電リスト'!$J$5:$J$144,"検討中")</f>
        <v/>
      </c>
      <c r="J7" s="16">
        <f>COUNTIFS('架電リスト'!$B$5:$B$144,$A7,'架電リスト'!$J$5:$J$144,"NG")</f>
        <v/>
      </c>
      <c r="K7" s="16">
        <f>COUNTIFS('架電リスト'!$B$5:$B$144,$A7,'架電リスト'!$J$5:$J$144,"番号不明")</f>
        <v/>
      </c>
    </row>
    <row r="8">
      <c r="A8" s="16" t="inlineStr">
        <is>
          <t>秋田県</t>
        </is>
      </c>
      <c r="B8" s="16">
        <f>COUNTIF('架電リスト'!$B$5:$B$144,A8)</f>
        <v/>
      </c>
      <c r="C8" s="16">
        <f>COUNTIFS('架電リスト'!$B$5:$B$144,A8,'架電リスト'!$E$5:$E$144,"&lt;&gt;")</f>
        <v/>
      </c>
      <c r="D8" s="16">
        <f>B8-COUNTIFS('架電リスト'!$B$5:$B$144,A8,'架電リスト'!$J$5:$J$144,"未架電")-COUNTIFS('架電リスト'!$B$5:$B$144,A8,'架電リスト'!$J$5:$J$144,"")</f>
        <v/>
      </c>
      <c r="E8" s="16">
        <f>COUNTIFS('架電リスト'!$B$5:$B$144,$A8,'架電リスト'!$J$5:$J$144,"不在・折返し待ち")</f>
        <v/>
      </c>
      <c r="F8" s="16">
        <f>COUNTIFS('架電リスト'!$B$5:$B$144,$A8,'架電リスト'!$J$5:$J$144,"担当者不在")</f>
        <v/>
      </c>
      <c r="G8" s="16">
        <f>COUNTIFS('架電リスト'!$B$5:$B$144,$A8,'架電リスト'!$J$5:$J$144,"資料送付")</f>
        <v/>
      </c>
      <c r="H8" s="16">
        <f>COUNTIFS('架電リスト'!$B$5:$B$144,$A8,'架電リスト'!$J$5:$J$144,"アポ獲得")</f>
        <v/>
      </c>
      <c r="I8" s="16">
        <f>COUNTIFS('架電リスト'!$B$5:$B$144,$A8,'架電リスト'!$J$5:$J$144,"検討中")</f>
        <v/>
      </c>
      <c r="J8" s="16">
        <f>COUNTIFS('架電リスト'!$B$5:$B$144,$A8,'架電リスト'!$J$5:$J$144,"NG")</f>
        <v/>
      </c>
      <c r="K8" s="16">
        <f>COUNTIFS('架電リスト'!$B$5:$B$144,$A8,'架電リスト'!$J$5:$J$144,"番号不明")</f>
        <v/>
      </c>
    </row>
    <row r="9">
      <c r="A9" s="16" t="inlineStr">
        <is>
          <t>山形県</t>
        </is>
      </c>
      <c r="B9" s="16">
        <f>COUNTIF('架電リスト'!$B$5:$B$144,A9)</f>
        <v/>
      </c>
      <c r="C9" s="16">
        <f>COUNTIFS('架電リスト'!$B$5:$B$144,A9,'架電リスト'!$E$5:$E$144,"&lt;&gt;")</f>
        <v/>
      </c>
      <c r="D9" s="16">
        <f>B9-COUNTIFS('架電リスト'!$B$5:$B$144,A9,'架電リスト'!$J$5:$J$144,"未架電")-COUNTIFS('架電リスト'!$B$5:$B$144,A9,'架電リスト'!$J$5:$J$144,"")</f>
        <v/>
      </c>
      <c r="E9" s="16">
        <f>COUNTIFS('架電リスト'!$B$5:$B$144,$A9,'架電リスト'!$J$5:$J$144,"不在・折返し待ち")</f>
        <v/>
      </c>
      <c r="F9" s="16">
        <f>COUNTIFS('架電リスト'!$B$5:$B$144,$A9,'架電リスト'!$J$5:$J$144,"担当者不在")</f>
        <v/>
      </c>
      <c r="G9" s="16">
        <f>COUNTIFS('架電リスト'!$B$5:$B$144,$A9,'架電リスト'!$J$5:$J$144,"資料送付")</f>
        <v/>
      </c>
      <c r="H9" s="16">
        <f>COUNTIFS('架電リスト'!$B$5:$B$144,$A9,'架電リスト'!$J$5:$J$144,"アポ獲得")</f>
        <v/>
      </c>
      <c r="I9" s="16">
        <f>COUNTIFS('架電リスト'!$B$5:$B$144,$A9,'架電リスト'!$J$5:$J$144,"検討中")</f>
        <v/>
      </c>
      <c r="J9" s="16">
        <f>COUNTIFS('架電リスト'!$B$5:$B$144,$A9,'架電リスト'!$J$5:$J$144,"NG")</f>
        <v/>
      </c>
      <c r="K9" s="16">
        <f>COUNTIFS('架電リスト'!$B$5:$B$144,$A9,'架電リスト'!$J$5:$J$144,"番号不明")</f>
        <v/>
      </c>
    </row>
    <row r="10">
      <c r="A10" s="16" t="inlineStr">
        <is>
          <t>福島県</t>
        </is>
      </c>
      <c r="B10" s="16">
        <f>COUNTIF('架電リスト'!$B$5:$B$144,A10)</f>
        <v/>
      </c>
      <c r="C10" s="16">
        <f>COUNTIFS('架電リスト'!$B$5:$B$144,A10,'架電リスト'!$E$5:$E$144,"&lt;&gt;")</f>
        <v/>
      </c>
      <c r="D10" s="16">
        <f>B10-COUNTIFS('架電リスト'!$B$5:$B$144,A10,'架電リスト'!$J$5:$J$144,"未架電")-COUNTIFS('架電リスト'!$B$5:$B$144,A10,'架電リスト'!$J$5:$J$144,"")</f>
        <v/>
      </c>
      <c r="E10" s="16">
        <f>COUNTIFS('架電リスト'!$B$5:$B$144,$A10,'架電リスト'!$J$5:$J$144,"不在・折返し待ち")</f>
        <v/>
      </c>
      <c r="F10" s="16">
        <f>COUNTIFS('架電リスト'!$B$5:$B$144,$A10,'架電リスト'!$J$5:$J$144,"担当者不在")</f>
        <v/>
      </c>
      <c r="G10" s="16">
        <f>COUNTIFS('架電リスト'!$B$5:$B$144,$A10,'架電リスト'!$J$5:$J$144,"資料送付")</f>
        <v/>
      </c>
      <c r="H10" s="16">
        <f>COUNTIFS('架電リスト'!$B$5:$B$144,$A10,'架電リスト'!$J$5:$J$144,"アポ獲得")</f>
        <v/>
      </c>
      <c r="I10" s="16">
        <f>COUNTIFS('架電リスト'!$B$5:$B$144,$A10,'架電リスト'!$J$5:$J$144,"検討中")</f>
        <v/>
      </c>
      <c r="J10" s="16">
        <f>COUNTIFS('架電リスト'!$B$5:$B$144,$A10,'架電リスト'!$J$5:$J$144,"NG")</f>
        <v/>
      </c>
      <c r="K10" s="16">
        <f>COUNTIFS('架電リスト'!$B$5:$B$144,$A10,'架電リスト'!$J$5:$J$144,"番号不明")</f>
        <v/>
      </c>
    </row>
    <row r="11">
      <c r="A11" s="17" t="inlineStr">
        <is>
          <t>合計</t>
        </is>
      </c>
      <c r="B11" s="17">
        <f>SUM(B4:B10)</f>
        <v/>
      </c>
      <c r="C11" s="17">
        <f>SUM(C4:C10)</f>
        <v/>
      </c>
      <c r="D11" s="17">
        <f>SUM(D4:D10)</f>
        <v/>
      </c>
      <c r="E11" s="17">
        <f>SUM(E4:E10)</f>
        <v/>
      </c>
      <c r="F11" s="17">
        <f>SUM(F4:F10)</f>
        <v/>
      </c>
      <c r="G11" s="17">
        <f>SUM(G4:G10)</f>
        <v/>
      </c>
      <c r="H11" s="17">
        <f>SUM(H4:H10)</f>
        <v/>
      </c>
      <c r="I11" s="17">
        <f>SUM(I4:I10)</f>
        <v/>
      </c>
      <c r="J11" s="17">
        <f>SUM(J4:J10)</f>
        <v/>
      </c>
      <c r="K11" s="17">
        <f>SUM(K4:K10)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8" t="inlineStr">
        <is>
          <t>■ 使い方</t>
        </is>
      </c>
    </row>
    <row r="2">
      <c r="A2" s="19" t="inlineStr">
        <is>
          <t>・「架電リスト」の黄色の列（電話番号・架電日・担当者・架電結果・次回連絡日・メモ）に入力してください。</t>
        </is>
      </c>
    </row>
    <row r="3">
      <c r="A3" s="19" t="inlineStr">
        <is>
          <t>・架電結果はプルダウンから選択します（アポ獲得＝緑、NG＝グレーで行が自動着色）。</t>
        </is>
      </c>
    </row>
    <row r="4">
      <c r="A4" s="19" t="inlineStr">
        <is>
          <t>・「学校情報ページ」の「開く」をクリックすると、学校ネットの各校ページが開きます。</t>
        </is>
      </c>
    </row>
    <row r="5">
      <c r="A5" s="19" t="inlineStr">
        <is>
          <t>・「番号の確度」：高＝公式サイト、または2つ以上の情報源で一致／中＝情報サイト1件のみ、または代表番号と断定できず（補足欄参照）／低・要調査＝特定できず。</t>
        </is>
      </c>
    </row>
    <row r="6">
      <c r="A6" s="19" t="inlineStr">
        <is>
          <t>・「電話番号の補足」に、代表番号の共有・別番号（入試事務局など）・移転などの注意を記載しています。架電前にご確認ください。</t>
        </is>
      </c>
    </row>
    <row r="7">
      <c r="A7" s="19" t="inlineStr">
        <is>
          <t>・都道府県や市区町村で絞り込む場合は、見出し行の▼（フィルター）を使用してください。</t>
        </is>
      </c>
    </row>
    <row r="8">
      <c r="A8" s="19" t="inlineStr">
        <is>
          <t>・集計シートは入力内容に連動して自動で集計されます。</t>
        </is>
      </c>
    </row>
    <row r="9">
      <c r="A9" s="19" t="inlineStr"/>
    </row>
    <row r="10">
      <c r="A10" s="18" t="inlineStr">
        <is>
          <t>■ 元データについての注意</t>
        </is>
      </c>
    </row>
    <row r="11">
      <c r="A11" s="19" t="inlineStr">
        <is>
          <t>・出典：ご提供いただいた学校ネットの検索結果（私立高校・北海道・東北7道県、140校）の貼り付けデータ。並び順は都道府県ごとに元データの掲載順です。</t>
        </is>
      </c>
    </row>
    <row r="12">
      <c r="A12" s="19" t="inlineStr">
        <is>
          <t>・電話番号は元データに記載がないため、2026年10月にWeb検索（学校公式サイト、JS日本の学校、みんなの高校情報、自治体・ハローワーク・各道県の私学協会の資料など）で調査しました。推測による補完はしていません。</t>
        </is>
      </c>
    </row>
    <row r="13">
      <c r="A13" s="19" t="inlineStr">
        <is>
          <t>・通信制（広域通信制）の学校は、所在地・電話番号とも本校のものです。架電先（本校／各キャンパス）にご注意ください。</t>
        </is>
      </c>
    </row>
    <row r="14">
      <c r="A14" s="19" t="inlineStr">
        <is>
          <t>・閉校・統合・校名変更などは反映されていない可能性があります。架電前にご確認ください。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2026-10-09T01:30:21Z</dcterms:created>
  <dcterms:modified xsi:type="dcterms:W3CDTF">2026-10-09T01:30:21Z</dcterms:modified>
</cp:coreProperties>
</file>