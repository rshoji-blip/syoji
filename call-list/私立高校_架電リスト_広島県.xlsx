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'架電リスト'!$A$4:$O$41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020.html" TargetMode="External" Id="rId1" /><Relationship Type="http://schemas.openxmlformats.org/officeDocument/2006/relationships/hyperlink" Target="https://www.gakkou.net/kou/view/index_304938.html" TargetMode="External" Id="rId2" /><Relationship Type="http://schemas.openxmlformats.org/officeDocument/2006/relationships/hyperlink" Target="https://www.gakkou.net/kou/view/index_304959.html" TargetMode="External" Id="rId3" /><Relationship Type="http://schemas.openxmlformats.org/officeDocument/2006/relationships/hyperlink" Target="https://www.gakkou.net/kou/view/index_304963.html" TargetMode="External" Id="rId4" /><Relationship Type="http://schemas.openxmlformats.org/officeDocument/2006/relationships/hyperlink" Target="https://www.gakkou.net/kou/view/index_305103.html" TargetMode="External" Id="rId5" /><Relationship Type="http://schemas.openxmlformats.org/officeDocument/2006/relationships/hyperlink" Target="https://www.gakkou.net/kou/view/index_304947.html" TargetMode="External" Id="rId6" /><Relationship Type="http://schemas.openxmlformats.org/officeDocument/2006/relationships/hyperlink" Target="https://www.gakkou.net/kou/view/index_304958.html" TargetMode="External" Id="rId7" /><Relationship Type="http://schemas.openxmlformats.org/officeDocument/2006/relationships/hyperlink" Target="https://www.gakkou.net/kou/view/index_306447.html" TargetMode="External" Id="rId8" /><Relationship Type="http://schemas.openxmlformats.org/officeDocument/2006/relationships/hyperlink" Target="https://www.gakkou.net/kou/view/index_305034.html" TargetMode="External" Id="rId9" /><Relationship Type="http://schemas.openxmlformats.org/officeDocument/2006/relationships/hyperlink" Target="https://www.gakkou.net/kou/view/index_305074.html" TargetMode="External" Id="rId10" /><Relationship Type="http://schemas.openxmlformats.org/officeDocument/2006/relationships/hyperlink" Target="https://www.gakkou.net/kou/view/index_305049.html" TargetMode="External" Id="rId11" /><Relationship Type="http://schemas.openxmlformats.org/officeDocument/2006/relationships/hyperlink" Target="https://www.gakkou.net/kou/view/index_304937.html" TargetMode="External" Id="rId12" /><Relationship Type="http://schemas.openxmlformats.org/officeDocument/2006/relationships/hyperlink" Target="https://www.gakkou.net/kou/view/index_305071.html" TargetMode="External" Id="rId13" /><Relationship Type="http://schemas.openxmlformats.org/officeDocument/2006/relationships/hyperlink" Target="https://www.gakkou.net/kou/view/index_305016.html" TargetMode="External" Id="rId14" /><Relationship Type="http://schemas.openxmlformats.org/officeDocument/2006/relationships/hyperlink" Target="https://www.gakkou.net/kou/view/index_305059.html" TargetMode="External" Id="rId15" /><Relationship Type="http://schemas.openxmlformats.org/officeDocument/2006/relationships/hyperlink" Target="https://www.gakkou.net/kou/view/index_304974.html" TargetMode="External" Id="rId16" /><Relationship Type="http://schemas.openxmlformats.org/officeDocument/2006/relationships/hyperlink" Target="https://www.gakkou.net/kou/view/index_305046.html" TargetMode="External" Id="rId17" /><Relationship Type="http://schemas.openxmlformats.org/officeDocument/2006/relationships/hyperlink" Target="https://www.gakkou.net/kou/view/index_304979.html" TargetMode="External" Id="rId18" /><Relationship Type="http://schemas.openxmlformats.org/officeDocument/2006/relationships/hyperlink" Target="https://www.gakkou.net/kou/view/index_306435.html" TargetMode="External" Id="rId19" /><Relationship Type="http://schemas.openxmlformats.org/officeDocument/2006/relationships/hyperlink" Target="https://www.gakkou.net/kou/view/index_306471.html" TargetMode="External" Id="rId20" /><Relationship Type="http://schemas.openxmlformats.org/officeDocument/2006/relationships/hyperlink" Target="https://www.gakkou.net/kou/view/index_305050.html" TargetMode="External" Id="rId21" /><Relationship Type="http://schemas.openxmlformats.org/officeDocument/2006/relationships/hyperlink" Target="https://www.gakkou.net/kou/view/index_305062.html" TargetMode="External" Id="rId22" /><Relationship Type="http://schemas.openxmlformats.org/officeDocument/2006/relationships/hyperlink" Target="https://www.gakkou.net/kou/view/index_305055.html" TargetMode="External" Id="rId23" /><Relationship Type="http://schemas.openxmlformats.org/officeDocument/2006/relationships/hyperlink" Target="https://www.gakkou.net/kou/view/index_305054.html" TargetMode="External" Id="rId24" /><Relationship Type="http://schemas.openxmlformats.org/officeDocument/2006/relationships/hyperlink" Target="https://www.gakkou.net/kou/view/index_305064.html" TargetMode="External" Id="rId25" /><Relationship Type="http://schemas.openxmlformats.org/officeDocument/2006/relationships/hyperlink" Target="https://www.gakkou.net/kou/view/index_305044.html" TargetMode="External" Id="rId26" /><Relationship Type="http://schemas.openxmlformats.org/officeDocument/2006/relationships/hyperlink" Target="https://www.gakkou.net/kou/view/index_304998.html" TargetMode="External" Id="rId27" /><Relationship Type="http://schemas.openxmlformats.org/officeDocument/2006/relationships/hyperlink" Target="https://www.gakkou.net/kou/view/index_305053.html" TargetMode="External" Id="rId28" /><Relationship Type="http://schemas.openxmlformats.org/officeDocument/2006/relationships/hyperlink" Target="https://www.gakkou.net/kou/view/index_305037.html" TargetMode="External" Id="rId29" /><Relationship Type="http://schemas.openxmlformats.org/officeDocument/2006/relationships/hyperlink" Target="https://www.gakkou.net/kou/view/index_305031.html" TargetMode="External" Id="rId30" /><Relationship Type="http://schemas.openxmlformats.org/officeDocument/2006/relationships/hyperlink" Target="https://www.gakkou.net/kou/view/index_305041.html" TargetMode="External" Id="rId31" /><Relationship Type="http://schemas.openxmlformats.org/officeDocument/2006/relationships/hyperlink" Target="https://www.gakkou.net/kou/view/index_305012.html" TargetMode="External" Id="rId32" /><Relationship Type="http://schemas.openxmlformats.org/officeDocument/2006/relationships/hyperlink" Target="https://www.gakkou.net/kou/view/index_305043.html" TargetMode="External" Id="rId33" /><Relationship Type="http://schemas.openxmlformats.org/officeDocument/2006/relationships/hyperlink" Target="https://www.gakkou.net/kou/view/index_305039.html" TargetMode="External" Id="rId34" /><Relationship Type="http://schemas.openxmlformats.org/officeDocument/2006/relationships/hyperlink" Target="https://www.gakkou.net/kou/view/index_305026.html" TargetMode="External" Id="rId35" /><Relationship Type="http://schemas.openxmlformats.org/officeDocument/2006/relationships/hyperlink" Target="https://www.gakkou.net/kou/view/index_304960.html" TargetMode="External" Id="rId36" /><Relationship Type="http://schemas.openxmlformats.org/officeDocument/2006/relationships/hyperlink" Target="https://www.gakkou.net/kou/view/index_305010.html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架電リスト（広島県／37校）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広島県</t>
        </is>
      </c>
      <c r="C5" s="5" t="inlineStr">
        <is>
          <t>広島市安佐南区</t>
        </is>
      </c>
      <c r="D5" s="5" t="inlineStr">
        <is>
          <t>AICJ高等学校</t>
        </is>
      </c>
      <c r="E5" s="6" t="inlineStr">
        <is>
          <t>082-832-5037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一部サイトに旧番号らしい082-874-3081の記載あり</t>
        </is>
      </c>
      <c r="N5" s="11" t="inlineStr">
        <is>
          <t>https://aicj.ed.jp/access.html</t>
        </is>
      </c>
      <c r="O5" s="12" t="inlineStr">
        <is>
          <t>開く</t>
        </is>
      </c>
    </row>
    <row r="6">
      <c r="A6" s="4" t="n">
        <v>2</v>
      </c>
      <c r="B6" s="5" t="inlineStr">
        <is>
          <t>広島県</t>
        </is>
      </c>
      <c r="C6" s="5" t="inlineStr">
        <is>
          <t>福山市</t>
        </is>
      </c>
      <c r="D6" s="5" t="inlineStr">
        <is>
          <t>盈進高等学校</t>
        </is>
      </c>
      <c r="E6" s="6" t="inlineStr">
        <is>
          <t>084-955-2333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中高共通の代表番号</t>
        </is>
      </c>
      <c r="N6" s="11" t="inlineStr">
        <is>
          <t>https://www.eishin.ed.jp/access/</t>
        </is>
      </c>
      <c r="O6" s="12" t="inlineStr">
        <is>
          <t>開く</t>
        </is>
      </c>
    </row>
    <row r="7">
      <c r="A7" s="4" t="n">
        <v>3</v>
      </c>
      <c r="B7" s="5" t="inlineStr">
        <is>
          <t>広島県</t>
        </is>
      </c>
      <c r="C7" s="5" t="inlineStr">
        <is>
          <t>福山市</t>
        </is>
      </c>
      <c r="D7" s="5" t="inlineStr">
        <is>
          <t>英数学館高等学校</t>
        </is>
      </c>
      <c r="E7" s="6" t="inlineStr">
        <is>
          <t>084-941-4115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一部サイトに084-941-4117の記載あり（旧番号か）</t>
        </is>
      </c>
      <c r="N7" s="11" t="inlineStr">
        <is>
          <t>https://goto.eisu-ejs.ac.jp/access/</t>
        </is>
      </c>
      <c r="O7" s="12" t="inlineStr">
        <is>
          <t>開く</t>
        </is>
      </c>
    </row>
    <row r="8">
      <c r="A8" s="4" t="n">
        <v>4</v>
      </c>
      <c r="B8" s="5" t="inlineStr">
        <is>
          <t>広島県</t>
        </is>
      </c>
      <c r="C8" s="5" t="inlineStr">
        <is>
          <t>尾道市</t>
        </is>
      </c>
      <c r="D8" s="5" t="inlineStr">
        <is>
          <t>尾道高等学校</t>
        </is>
      </c>
      <c r="E8" s="6" t="inlineStr">
        <is>
          <t>0848-20-6612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2009年に向島町へ移転。旧番号0848-23-2311が残るサイトあり</t>
        </is>
      </c>
      <c r="N8" s="11" t="inlineStr">
        <is>
          <t>https://onomichi.ac.jp/</t>
        </is>
      </c>
      <c r="O8" s="12" t="inlineStr">
        <is>
          <t>開く</t>
        </is>
      </c>
    </row>
    <row r="9">
      <c r="A9" s="4" t="n">
        <v>5</v>
      </c>
      <c r="B9" s="5" t="inlineStr">
        <is>
          <t>広島県</t>
        </is>
      </c>
      <c r="C9" s="5" t="inlineStr">
        <is>
          <t>東広島市</t>
        </is>
      </c>
      <c r="D9" s="5" t="inlineStr">
        <is>
          <t>近畿大学附属広島高等学校東広島校</t>
        </is>
      </c>
      <c r="E9" s="6" t="inlineStr">
        <is>
          <t>082-434-7111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https://hh.kindai.ac.jp/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広島県</t>
        </is>
      </c>
      <c r="C10" s="5" t="inlineStr">
        <is>
          <t>福山市</t>
        </is>
      </c>
      <c r="D10" s="5" t="inlineStr">
        <is>
          <t>近畿大学附属広島高等学校福山校</t>
        </is>
      </c>
      <c r="E10" s="6" t="inlineStr">
        <is>
          <t>084-951-2695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旧称は近畿大学附属福山高等学校</t>
        </is>
      </c>
      <c r="N10" s="11" t="inlineStr">
        <is>
          <t>https://www.fukuyama.kindai.ac.jp/gakko/gakko-shokai.html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広島県</t>
        </is>
      </c>
      <c r="C11" s="5" t="inlineStr">
        <is>
          <t>福山市</t>
        </is>
      </c>
      <c r="D11" s="5" t="inlineStr">
        <is>
          <t>銀河学院高等学校</t>
        </is>
      </c>
      <c r="E11" s="6" t="inlineStr">
        <is>
          <t>084-941-9292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公式（法人事務室）に記載、複数サイトも一致</t>
        </is>
      </c>
      <c r="N11" s="11" t="inlineStr">
        <is>
          <t>https://www.ginga.ac.jp/donationginga/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広島県</t>
        </is>
      </c>
      <c r="C12" s="5" t="inlineStr">
        <is>
          <t>呉市</t>
        </is>
      </c>
      <c r="D12" s="5" t="inlineStr">
        <is>
          <t>呉青山高等学校</t>
        </is>
      </c>
      <c r="E12" s="6" t="inlineStr">
        <is>
          <t>0823-32-1721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2027年4月に「星の杜広島中学校・高等学校」へ校名変更予定</t>
        </is>
      </c>
      <c r="N12" s="11" t="inlineStr">
        <is>
          <t>https://www.kureaoyama.ed.jp/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広島県</t>
        </is>
      </c>
      <c r="C13" s="5" t="inlineStr">
        <is>
          <t>広島市安佐南区</t>
        </is>
      </c>
      <c r="D13" s="5" t="inlineStr">
        <is>
          <t>広陵高等学校</t>
        </is>
      </c>
      <c r="E13" s="6" t="inlineStr">
        <is>
          <t>082-848-1321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n"/>
      <c r="N13" s="11" t="inlineStr">
        <is>
          <t>https://www.koryo.ac.jp/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広島県</t>
        </is>
      </c>
      <c r="C14" s="5" t="inlineStr">
        <is>
          <t>呉市</t>
        </is>
      </c>
      <c r="D14" s="5" t="inlineStr">
        <is>
          <t>呉港高等学校</t>
        </is>
      </c>
      <c r="E14" s="6" t="inlineStr">
        <is>
          <t>0823-71-9163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n"/>
      <c r="N14" s="11" t="inlineStr">
        <is>
          <t>https://www.goko.ac.jp/?page_id=96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広島県</t>
        </is>
      </c>
      <c r="C15" s="5" t="inlineStr">
        <is>
          <t>広島市西区</t>
        </is>
      </c>
      <c r="D15" s="5" t="inlineStr">
        <is>
          <t>山陽高等学校</t>
        </is>
      </c>
      <c r="E15" s="6" t="inlineStr">
        <is>
          <t>082-232-9156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正式名は広島山陽学園山陽高等学校</t>
        </is>
      </c>
      <c r="N15" s="11" t="inlineStr">
        <is>
          <t>https://www.sanyo.ed.jp/gakkou/access/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広島県</t>
        </is>
      </c>
      <c r="C16" s="5" t="inlineStr">
        <is>
          <t>廿日市市</t>
        </is>
      </c>
      <c r="D16" s="5" t="inlineStr">
        <is>
          <t>山陽女学園高等部</t>
        </is>
      </c>
      <c r="E16" s="6" t="inlineStr">
        <is>
          <t>0829-32-2222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通信制リアライズコースは0829-32-3330</t>
        </is>
      </c>
      <c r="N16" s="11" t="inlineStr">
        <is>
          <t>https://sanyo-jogakuen.ed.jp/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広島県</t>
        </is>
      </c>
      <c r="C17" s="5" t="inlineStr">
        <is>
          <t>呉市</t>
        </is>
      </c>
      <c r="D17" s="5" t="inlineStr">
        <is>
          <t>清水ヶ丘高等学校</t>
        </is>
      </c>
      <c r="E17" s="6" t="inlineStr">
        <is>
          <t>0823-23-1520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法人事務局は0823-22-0012</t>
        </is>
      </c>
      <c r="N17" s="11" t="inlineStr">
        <is>
          <t>https://www.shimizugaoka.ed.jp/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広島県</t>
        </is>
      </c>
      <c r="C18" s="5" t="inlineStr">
        <is>
          <t>広島市中区</t>
        </is>
      </c>
      <c r="D18" s="5" t="inlineStr">
        <is>
          <t>修道高等学校</t>
        </is>
      </c>
      <c r="E18" s="6" t="inlineStr">
        <is>
          <t>082-241-8291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中高共通の代表番号</t>
        </is>
      </c>
      <c r="N18" s="11" t="inlineStr">
        <is>
          <t>https://www.shudo-h.ed.jp/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広島県</t>
        </is>
      </c>
      <c r="C19" s="5" t="inlineStr">
        <is>
          <t>広島市南区</t>
        </is>
      </c>
      <c r="D19" s="5" t="inlineStr">
        <is>
          <t>進徳女子高等学校</t>
        </is>
      </c>
      <c r="E19" s="6" t="inlineStr">
        <is>
          <t>082-251-6431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n"/>
      <c r="N19" s="11" t="inlineStr">
        <is>
          <t>https://www.shintoku.ed.jp/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広島県</t>
        </is>
      </c>
      <c r="C20" s="5" t="inlineStr">
        <is>
          <t>三原市</t>
        </is>
      </c>
      <c r="D20" s="5" t="inlineStr">
        <is>
          <t>如水館高等学校</t>
        </is>
      </c>
      <c r="E20" s="6" t="inlineStr">
        <is>
          <t>0848-63-2423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n"/>
      <c r="N20" s="11" t="inlineStr">
        <is>
          <t>https://www.josuikan.ed.jp/about/gaiyou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広島県</t>
        </is>
      </c>
      <c r="C21" s="5" t="inlineStr">
        <is>
          <t>広島市西区</t>
        </is>
      </c>
      <c r="D21" s="5" t="inlineStr">
        <is>
          <t>崇徳高等学校</t>
        </is>
      </c>
      <c r="E21" s="6" t="inlineStr">
        <is>
          <t>082-237-9331</t>
        </is>
      </c>
      <c r="F21" s="7" t="inlineStr">
        <is>
          <t>高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https://www.sotoku.ed.jp/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広島県</t>
        </is>
      </c>
      <c r="C22" s="5" t="inlineStr">
        <is>
          <t>東広島市</t>
        </is>
      </c>
      <c r="D22" s="5" t="inlineStr">
        <is>
          <t>武田高等学校</t>
        </is>
      </c>
      <c r="E22" s="6" t="inlineStr">
        <is>
          <t>0823-82-2331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n"/>
      <c r="N22" s="11" t="inlineStr">
        <is>
          <t>https://takeda.ed.jp/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広島県</t>
        </is>
      </c>
      <c r="C23" s="5" t="inlineStr">
        <is>
          <t>福山市</t>
        </is>
      </c>
      <c r="D23" s="5" t="inlineStr">
        <is>
          <t>東林館高等学校</t>
        </is>
      </c>
      <c r="E23" s="6" t="inlineStr">
        <is>
          <t>084-923-4543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通信制。2010年に本校を神石高原町から福山市へ移転。旧番号0847-85-2041が残るサイトあり</t>
        </is>
      </c>
      <c r="N23" s="11" t="inlineStr">
        <is>
          <t>https://www.tohrinkan.com/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広島県</t>
        </is>
      </c>
      <c r="C24" s="5" t="inlineStr">
        <is>
          <t>広島市中区</t>
        </is>
      </c>
      <c r="D24" s="5" t="inlineStr">
        <is>
          <t>並木学院高等学校</t>
        </is>
      </c>
      <c r="E24" s="6" t="inlineStr">
        <is>
          <t>082-241-9066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FAXは082-241-5211</t>
        </is>
      </c>
      <c r="N24" s="11" t="inlineStr">
        <is>
          <t>https://namikigakuin.ac.jp/school-info/group/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広島県</t>
        </is>
      </c>
      <c r="C25" s="5" t="inlineStr">
        <is>
          <t>広島市西区</t>
        </is>
      </c>
      <c r="D25" s="5" t="inlineStr">
        <is>
          <t>ノートルダム清心高等学校</t>
        </is>
      </c>
      <c r="E25" s="6" t="inlineStr">
        <is>
          <t>082-271-1724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中高共通番号</t>
        </is>
      </c>
      <c r="N25" s="11" t="inlineStr">
        <is>
          <t>https://www.hiro-seishin.ed.jp/contact/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広島県</t>
        </is>
      </c>
      <c r="C26" s="5" t="inlineStr">
        <is>
          <t>広島市南区</t>
        </is>
      </c>
      <c r="D26" s="5" t="inlineStr">
        <is>
          <t>比治山学園高等学校</t>
        </is>
      </c>
      <c r="E26" s="6" t="inlineStr">
        <is>
          <t>082-251-4478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旧・比治山女子。2026年4月に共学化・校名変更。新サイト https://www.hijiyama-h.ed.jp/</t>
        </is>
      </c>
      <c r="N26" s="11" t="inlineStr">
        <is>
          <t>https://www.hijiyamajoshi-h.ed.jp/education/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広島県</t>
        </is>
      </c>
      <c r="C27" s="5" t="inlineStr">
        <is>
          <t>広島市西区</t>
        </is>
      </c>
      <c r="D27" s="5" t="inlineStr">
        <is>
          <t>広島学院高等学校</t>
        </is>
      </c>
      <c r="E27" s="6" t="inlineStr">
        <is>
          <t>082-271-0241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中高共通番号</t>
        </is>
      </c>
      <c r="N27" s="11" t="inlineStr">
        <is>
          <t>https://www.hiroshimagakuin.ed.jp/contact/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広島県</t>
        </is>
      </c>
      <c r="C28" s="5" t="inlineStr">
        <is>
          <t>広島市西区</t>
        </is>
      </c>
      <c r="D28" s="5" t="inlineStr">
        <is>
          <t>広島工業大学高等学校</t>
        </is>
      </c>
      <c r="E28" s="6" t="inlineStr">
        <is>
          <t>082-277-9205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全日制（西区）。通信制（安佐南区）は082-849-6755</t>
        </is>
      </c>
      <c r="N28" s="11" t="inlineStr">
        <is>
          <t>https://www.kodaikoko.ed.jp/zennichi/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広島県</t>
        </is>
      </c>
      <c r="C29" s="5" t="inlineStr">
        <is>
          <t>海田町</t>
        </is>
      </c>
      <c r="D29" s="5" t="inlineStr">
        <is>
          <t>広島国際学院高等学校</t>
        </is>
      </c>
      <c r="E29" s="6" t="inlineStr">
        <is>
          <t>082-823-3401</t>
        </is>
      </c>
      <c r="F29" s="7" t="inlineStr">
        <is>
          <t>高</t>
        </is>
      </c>
      <c r="G29" s="5" t="inlineStr">
        <is>
          <t>普通科・総合学科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全日制（海田町）。通信制の中野キャンパスは082-820-2515</t>
        </is>
      </c>
      <c r="N29" s="11" t="inlineStr">
        <is>
          <t>https://www.hi.hkg.ac.jp/access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広島県</t>
        </is>
      </c>
      <c r="C30" s="5" t="inlineStr">
        <is>
          <t>広島市東区</t>
        </is>
      </c>
      <c r="D30" s="5" t="inlineStr">
        <is>
          <t>広島桜が丘高等学校</t>
        </is>
      </c>
      <c r="E30" s="6" t="inlineStr">
        <is>
          <t>082-262-0128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公式未確認、複数サイトで一致</t>
        </is>
      </c>
      <c r="N30" s="11" t="inlineStr">
        <is>
          <t>https://www.mapion.co.jp/phonebook/M11004/34102/ILSP0000041015_ipclm/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広島県</t>
        </is>
      </c>
      <c r="C31" s="5" t="inlineStr">
        <is>
          <t>三原市</t>
        </is>
      </c>
      <c r="D31" s="5" t="inlineStr">
        <is>
          <t>広島三育学院高等学校</t>
        </is>
      </c>
      <c r="E31" s="6" t="inlineStr">
        <is>
          <t>0847-33-0311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n"/>
      <c r="N31" s="11" t="inlineStr">
        <is>
          <t>https://www.saniku.ac.jp/hiroshima/about/profile.php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広島県</t>
        </is>
      </c>
      <c r="C32" s="5" t="inlineStr">
        <is>
          <t>広島市西区</t>
        </is>
      </c>
      <c r="D32" s="5" t="inlineStr">
        <is>
          <t>広島修道大学ひろしま協創高等学校</t>
        </is>
      </c>
      <c r="E32" s="6" t="inlineStr">
        <is>
          <t>082-278-1101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n"/>
      <c r="N32" s="11" t="inlineStr">
        <is>
          <t>https://www.shudo-u.ac.jp/fuzoku/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広島県</t>
        </is>
      </c>
      <c r="C33" s="5" t="inlineStr">
        <is>
          <t>坂町</t>
        </is>
      </c>
      <c r="D33" s="5" t="inlineStr">
        <is>
          <t>広島翔洋高等学校</t>
        </is>
      </c>
      <c r="E33" s="6" t="inlineStr">
        <is>
          <t>082-884-1616</t>
        </is>
      </c>
      <c r="F33" s="7" t="inlineStr">
        <is>
          <t>高</t>
        </is>
      </c>
      <c r="G33" s="5" t="inlineStr">
        <is>
          <t>普通科・専門学科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n"/>
      <c r="N33" s="11" t="inlineStr">
        <is>
          <t>https://www.h-shoyo.ed.jp/overview/details.php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広島県</t>
        </is>
      </c>
      <c r="C34" s="5" t="inlineStr">
        <is>
          <t>北広島町</t>
        </is>
      </c>
      <c r="D34" s="5" t="inlineStr">
        <is>
          <t>広島新庄高等学校</t>
        </is>
      </c>
      <c r="E34" s="6" t="inlineStr">
        <is>
          <t>0826-82-2323</t>
        </is>
      </c>
      <c r="F34" s="7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n"/>
      <c r="N34" s="11" t="inlineStr">
        <is>
          <t>https://www.shinjou.jp/toiawase/toiawase.html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広島県</t>
        </is>
      </c>
      <c r="C35" s="5" t="inlineStr">
        <is>
          <t>広島市東区</t>
        </is>
      </c>
      <c r="D35" s="5" t="inlineStr">
        <is>
          <t>広島城北高等学校</t>
        </is>
      </c>
      <c r="E35" s="6" t="inlineStr">
        <is>
          <t>082-229-0111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n"/>
      <c r="N35" s="11" t="inlineStr">
        <is>
          <t>https://hiroshimajohoku.ed.jp/school/about/access/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広島県</t>
        </is>
      </c>
      <c r="C36" s="5" t="inlineStr">
        <is>
          <t>広島市中区</t>
        </is>
      </c>
      <c r="D36" s="5" t="inlineStr">
        <is>
          <t>広島女学院高等学校</t>
        </is>
      </c>
      <c r="E36" s="6" t="inlineStr">
        <is>
          <t>082-228-4131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n"/>
      <c r="N36" s="11" t="inlineStr">
        <is>
          <t>https://www.hjs.ed.jp/contact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広島県</t>
        </is>
      </c>
      <c r="C37" s="5" t="inlineStr">
        <is>
          <t>広島市東区</t>
        </is>
      </c>
      <c r="D37" s="5" t="inlineStr">
        <is>
          <t>広島県瀬戸内高等学校</t>
        </is>
      </c>
      <c r="E37" s="6" t="inlineStr">
        <is>
          <t>082-261-1296</t>
        </is>
      </c>
      <c r="F37" s="7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公式では入試広報部の番号として掲載。082-261-1298とするサイトもあり</t>
        </is>
      </c>
      <c r="N37" s="11" t="inlineStr">
        <is>
          <t>https://www.setouchi-h.ed.jp/extrance1.html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広島県</t>
        </is>
      </c>
      <c r="C38" s="5" t="inlineStr">
        <is>
          <t>広島市佐伯区</t>
        </is>
      </c>
      <c r="D38" s="5" t="inlineStr">
        <is>
          <t>広島なぎさ高等学校</t>
        </is>
      </c>
      <c r="E38" s="6" t="inlineStr">
        <is>
          <t>082-921-2137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n"/>
      <c r="N38" s="11" t="inlineStr">
        <is>
          <t>https://www.nagisa.ed.jp/high/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広島県</t>
        </is>
      </c>
      <c r="C39" s="5" t="inlineStr">
        <is>
          <t>広島市安佐北区</t>
        </is>
      </c>
      <c r="D39" s="5" t="inlineStr">
        <is>
          <t>広島文教大学附属高等学校</t>
        </is>
      </c>
      <c r="E39" s="6" t="inlineStr">
        <is>
          <t>082-814-3192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n"/>
      <c r="N39" s="11" t="inlineStr">
        <is>
          <t>https://www.h-bunkyo.ac.jp/highschool/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広島県</t>
        </is>
      </c>
      <c r="C40" s="5" t="inlineStr">
        <is>
          <t>福山市</t>
        </is>
      </c>
      <c r="D40" s="5" t="inlineStr">
        <is>
          <t>福山暁の星女子高等学校</t>
        </is>
      </c>
      <c r="E40" s="6" t="inlineStr">
        <is>
          <t>084-922-1682</t>
        </is>
      </c>
      <c r="F40" s="7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n"/>
      <c r="N40" s="11" t="inlineStr">
        <is>
          <t>https://www.akenohoshi-cyukou.ed.jp/about/access/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広島県</t>
        </is>
      </c>
      <c r="C41" s="5" t="inlineStr">
        <is>
          <t>広島市中区</t>
        </is>
      </c>
      <c r="D41" s="5" t="inlineStr">
        <is>
          <t>安田女子高等学校</t>
        </is>
      </c>
      <c r="E41" s="6" t="inlineStr">
        <is>
          <t>082-221-3304</t>
        </is>
      </c>
      <c r="F41" s="7" t="inlineStr">
        <is>
          <t>高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高校部の番号。中学部は082-221-3362</t>
        </is>
      </c>
      <c r="N41" s="11" t="inlineStr">
        <is>
          <t>https://www.yasuda-u.ac.jp/jh/</t>
        </is>
      </c>
      <c r="O41" s="12" t="inlineStr">
        <is>
          <t>開く</t>
        </is>
      </c>
    </row>
  </sheetData>
  <autoFilter ref="A4:O41"/>
  <conditionalFormatting sqref="A5:O41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41" showDropDown="0" showInputMessage="0" showErrorMessage="0" allowBlank="1" type="list">
      <formula1>"未架電,不在・折返し待ち,担当者不在,資料送付,アポ獲得,検討中,NG,番号不明"</formula1>
    </dataValidation>
    <dataValidation sqref="H5:H41 K5:K41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福山市</t>
        </is>
      </c>
      <c r="B4" s="14">
        <f>COUNTIF('架電リスト'!$C$5:$C$41,A4)</f>
        <v/>
      </c>
      <c r="C4" s="14">
        <f>COUNTIFS('架電リスト'!$C$5:$C$41,A4,'架電リスト'!$E$5:$E$41,"&lt;&gt;")</f>
        <v/>
      </c>
      <c r="D4" s="14">
        <f>B4-COUNTIFS('架電リスト'!$C$5:$C$41,A4,'架電リスト'!$J$5:$J$41,"未架電")-COUNTIFS('架電リスト'!$C$5:$C$41,A4,'架電リスト'!$J$5:$J$41,"")</f>
        <v/>
      </c>
      <c r="E4" s="14">
        <f>COUNTIFS('架電リスト'!$C$5:$C$41,$A4,'架電リスト'!$J$5:$J$41,"不在・折返し待ち")</f>
        <v/>
      </c>
      <c r="F4" s="14">
        <f>COUNTIFS('架電リスト'!$C$5:$C$41,$A4,'架電リスト'!$J$5:$J$41,"担当者不在")</f>
        <v/>
      </c>
      <c r="G4" s="14">
        <f>COUNTIFS('架電リスト'!$C$5:$C$41,$A4,'架電リスト'!$J$5:$J$41,"資料送付")</f>
        <v/>
      </c>
      <c r="H4" s="14">
        <f>COUNTIFS('架電リスト'!$C$5:$C$41,$A4,'架電リスト'!$J$5:$J$41,"アポ獲得")</f>
        <v/>
      </c>
      <c r="I4" s="14">
        <f>COUNTIFS('架電リスト'!$C$5:$C$41,$A4,'架電リスト'!$J$5:$J$41,"検討中")</f>
        <v/>
      </c>
      <c r="J4" s="14">
        <f>COUNTIFS('架電リスト'!$C$5:$C$41,$A4,'架電リスト'!$J$5:$J$41,"NG")</f>
        <v/>
      </c>
      <c r="K4" s="14">
        <f>COUNTIFS('架電リスト'!$C$5:$C$41,$A4,'架電リスト'!$J$5:$J$41,"番号不明")</f>
        <v/>
      </c>
    </row>
    <row r="5">
      <c r="A5" s="14" t="inlineStr">
        <is>
          <t>広島市西区</t>
        </is>
      </c>
      <c r="B5" s="14">
        <f>COUNTIF('架電リスト'!$C$5:$C$41,A5)</f>
        <v/>
      </c>
      <c r="C5" s="14">
        <f>COUNTIFS('架電リスト'!$C$5:$C$41,A5,'架電リスト'!$E$5:$E$41,"&lt;&gt;")</f>
        <v/>
      </c>
      <c r="D5" s="14">
        <f>B5-COUNTIFS('架電リスト'!$C$5:$C$41,A5,'架電リスト'!$J$5:$J$41,"未架電")-COUNTIFS('架電リスト'!$C$5:$C$41,A5,'架電リスト'!$J$5:$J$41,"")</f>
        <v/>
      </c>
      <c r="E5" s="14">
        <f>COUNTIFS('架電リスト'!$C$5:$C$41,$A5,'架電リスト'!$J$5:$J$41,"不在・折返し待ち")</f>
        <v/>
      </c>
      <c r="F5" s="14">
        <f>COUNTIFS('架電リスト'!$C$5:$C$41,$A5,'架電リスト'!$J$5:$J$41,"担当者不在")</f>
        <v/>
      </c>
      <c r="G5" s="14">
        <f>COUNTIFS('架電リスト'!$C$5:$C$41,$A5,'架電リスト'!$J$5:$J$41,"資料送付")</f>
        <v/>
      </c>
      <c r="H5" s="14">
        <f>COUNTIFS('架電リスト'!$C$5:$C$41,$A5,'架電リスト'!$J$5:$J$41,"アポ獲得")</f>
        <v/>
      </c>
      <c r="I5" s="14">
        <f>COUNTIFS('架電リスト'!$C$5:$C$41,$A5,'架電リスト'!$J$5:$J$41,"検討中")</f>
        <v/>
      </c>
      <c r="J5" s="14">
        <f>COUNTIFS('架電リスト'!$C$5:$C$41,$A5,'架電リスト'!$J$5:$J$41,"NG")</f>
        <v/>
      </c>
      <c r="K5" s="14">
        <f>COUNTIFS('架電リスト'!$C$5:$C$41,$A5,'架電リスト'!$J$5:$J$41,"番号不明")</f>
        <v/>
      </c>
    </row>
    <row r="6">
      <c r="A6" s="14" t="inlineStr">
        <is>
          <t>広島市中区</t>
        </is>
      </c>
      <c r="B6" s="14">
        <f>COUNTIF('架電リスト'!$C$5:$C$41,A6)</f>
        <v/>
      </c>
      <c r="C6" s="14">
        <f>COUNTIFS('架電リスト'!$C$5:$C$41,A6,'架電リスト'!$E$5:$E$41,"&lt;&gt;")</f>
        <v/>
      </c>
      <c r="D6" s="14">
        <f>B6-COUNTIFS('架電リスト'!$C$5:$C$41,A6,'架電リスト'!$J$5:$J$41,"未架電")-COUNTIFS('架電リスト'!$C$5:$C$41,A6,'架電リスト'!$J$5:$J$41,"")</f>
        <v/>
      </c>
      <c r="E6" s="14">
        <f>COUNTIFS('架電リスト'!$C$5:$C$41,$A6,'架電リスト'!$J$5:$J$41,"不在・折返し待ち")</f>
        <v/>
      </c>
      <c r="F6" s="14">
        <f>COUNTIFS('架電リスト'!$C$5:$C$41,$A6,'架電リスト'!$J$5:$J$41,"担当者不在")</f>
        <v/>
      </c>
      <c r="G6" s="14">
        <f>COUNTIFS('架電リスト'!$C$5:$C$41,$A6,'架電リスト'!$J$5:$J$41,"資料送付")</f>
        <v/>
      </c>
      <c r="H6" s="14">
        <f>COUNTIFS('架電リスト'!$C$5:$C$41,$A6,'架電リスト'!$J$5:$J$41,"アポ獲得")</f>
        <v/>
      </c>
      <c r="I6" s="14">
        <f>COUNTIFS('架電リスト'!$C$5:$C$41,$A6,'架電リスト'!$J$5:$J$41,"検討中")</f>
        <v/>
      </c>
      <c r="J6" s="14">
        <f>COUNTIFS('架電リスト'!$C$5:$C$41,$A6,'架電リスト'!$J$5:$J$41,"NG")</f>
        <v/>
      </c>
      <c r="K6" s="14">
        <f>COUNTIFS('架電リスト'!$C$5:$C$41,$A6,'架電リスト'!$J$5:$J$41,"番号不明")</f>
        <v/>
      </c>
    </row>
    <row r="7">
      <c r="A7" s="14" t="inlineStr">
        <is>
          <t>呉市</t>
        </is>
      </c>
      <c r="B7" s="14">
        <f>COUNTIF('架電リスト'!$C$5:$C$41,A7)</f>
        <v/>
      </c>
      <c r="C7" s="14">
        <f>COUNTIFS('架電リスト'!$C$5:$C$41,A7,'架電リスト'!$E$5:$E$41,"&lt;&gt;")</f>
        <v/>
      </c>
      <c r="D7" s="14">
        <f>B7-COUNTIFS('架電リスト'!$C$5:$C$41,A7,'架電リスト'!$J$5:$J$41,"未架電")-COUNTIFS('架電リスト'!$C$5:$C$41,A7,'架電リスト'!$J$5:$J$41,"")</f>
        <v/>
      </c>
      <c r="E7" s="14">
        <f>COUNTIFS('架電リスト'!$C$5:$C$41,$A7,'架電リスト'!$J$5:$J$41,"不在・折返し待ち")</f>
        <v/>
      </c>
      <c r="F7" s="14">
        <f>COUNTIFS('架電リスト'!$C$5:$C$41,$A7,'架電リスト'!$J$5:$J$41,"担当者不在")</f>
        <v/>
      </c>
      <c r="G7" s="14">
        <f>COUNTIFS('架電リスト'!$C$5:$C$41,$A7,'架電リスト'!$J$5:$J$41,"資料送付")</f>
        <v/>
      </c>
      <c r="H7" s="14">
        <f>COUNTIFS('架電リスト'!$C$5:$C$41,$A7,'架電リスト'!$J$5:$J$41,"アポ獲得")</f>
        <v/>
      </c>
      <c r="I7" s="14">
        <f>COUNTIFS('架電リスト'!$C$5:$C$41,$A7,'架電リスト'!$J$5:$J$41,"検討中")</f>
        <v/>
      </c>
      <c r="J7" s="14">
        <f>COUNTIFS('架電リスト'!$C$5:$C$41,$A7,'架電リスト'!$J$5:$J$41,"NG")</f>
        <v/>
      </c>
      <c r="K7" s="14">
        <f>COUNTIFS('架電リスト'!$C$5:$C$41,$A7,'架電リスト'!$J$5:$J$41,"番号不明")</f>
        <v/>
      </c>
    </row>
    <row r="8">
      <c r="A8" s="14" t="inlineStr">
        <is>
          <t>広島市東区</t>
        </is>
      </c>
      <c r="B8" s="14">
        <f>COUNTIF('架電リスト'!$C$5:$C$41,A8)</f>
        <v/>
      </c>
      <c r="C8" s="14">
        <f>COUNTIFS('架電リスト'!$C$5:$C$41,A8,'架電リスト'!$E$5:$E$41,"&lt;&gt;")</f>
        <v/>
      </c>
      <c r="D8" s="14">
        <f>B8-COUNTIFS('架電リスト'!$C$5:$C$41,A8,'架電リスト'!$J$5:$J$41,"未架電")-COUNTIFS('架電リスト'!$C$5:$C$41,A8,'架電リスト'!$J$5:$J$41,"")</f>
        <v/>
      </c>
      <c r="E8" s="14">
        <f>COUNTIFS('架電リスト'!$C$5:$C$41,$A8,'架電リスト'!$J$5:$J$41,"不在・折返し待ち")</f>
        <v/>
      </c>
      <c r="F8" s="14">
        <f>COUNTIFS('架電リスト'!$C$5:$C$41,$A8,'架電リスト'!$J$5:$J$41,"担当者不在")</f>
        <v/>
      </c>
      <c r="G8" s="14">
        <f>COUNTIFS('架電リスト'!$C$5:$C$41,$A8,'架電リスト'!$J$5:$J$41,"資料送付")</f>
        <v/>
      </c>
      <c r="H8" s="14">
        <f>COUNTIFS('架電リスト'!$C$5:$C$41,$A8,'架電リスト'!$J$5:$J$41,"アポ獲得")</f>
        <v/>
      </c>
      <c r="I8" s="14">
        <f>COUNTIFS('架電リスト'!$C$5:$C$41,$A8,'架電リスト'!$J$5:$J$41,"検討中")</f>
        <v/>
      </c>
      <c r="J8" s="14">
        <f>COUNTIFS('架電リスト'!$C$5:$C$41,$A8,'架電リスト'!$J$5:$J$41,"NG")</f>
        <v/>
      </c>
      <c r="K8" s="14">
        <f>COUNTIFS('架電リスト'!$C$5:$C$41,$A8,'架電リスト'!$J$5:$J$41,"番号不明")</f>
        <v/>
      </c>
    </row>
    <row r="9">
      <c r="A9" s="14" t="inlineStr">
        <is>
          <t>広島市安佐南区</t>
        </is>
      </c>
      <c r="B9" s="14">
        <f>COUNTIF('架電リスト'!$C$5:$C$41,A9)</f>
        <v/>
      </c>
      <c r="C9" s="14">
        <f>COUNTIFS('架電リスト'!$C$5:$C$41,A9,'架電リスト'!$E$5:$E$41,"&lt;&gt;")</f>
        <v/>
      </c>
      <c r="D9" s="14">
        <f>B9-COUNTIFS('架電リスト'!$C$5:$C$41,A9,'架電リスト'!$J$5:$J$41,"未架電")-COUNTIFS('架電リスト'!$C$5:$C$41,A9,'架電リスト'!$J$5:$J$41,"")</f>
        <v/>
      </c>
      <c r="E9" s="14">
        <f>COUNTIFS('架電リスト'!$C$5:$C$41,$A9,'架電リスト'!$J$5:$J$41,"不在・折返し待ち")</f>
        <v/>
      </c>
      <c r="F9" s="14">
        <f>COUNTIFS('架電リスト'!$C$5:$C$41,$A9,'架電リスト'!$J$5:$J$41,"担当者不在")</f>
        <v/>
      </c>
      <c r="G9" s="14">
        <f>COUNTIFS('架電リスト'!$C$5:$C$41,$A9,'架電リスト'!$J$5:$J$41,"資料送付")</f>
        <v/>
      </c>
      <c r="H9" s="14">
        <f>COUNTIFS('架電リスト'!$C$5:$C$41,$A9,'架電リスト'!$J$5:$J$41,"アポ獲得")</f>
        <v/>
      </c>
      <c r="I9" s="14">
        <f>COUNTIFS('架電リスト'!$C$5:$C$41,$A9,'架電リスト'!$J$5:$J$41,"検討中")</f>
        <v/>
      </c>
      <c r="J9" s="14">
        <f>COUNTIFS('架電リスト'!$C$5:$C$41,$A9,'架電リスト'!$J$5:$J$41,"NG")</f>
        <v/>
      </c>
      <c r="K9" s="14">
        <f>COUNTIFS('架電リスト'!$C$5:$C$41,$A9,'架電リスト'!$J$5:$J$41,"番号不明")</f>
        <v/>
      </c>
    </row>
    <row r="10">
      <c r="A10" s="14" t="inlineStr">
        <is>
          <t>東広島市</t>
        </is>
      </c>
      <c r="B10" s="14">
        <f>COUNTIF('架電リスト'!$C$5:$C$41,A10)</f>
        <v/>
      </c>
      <c r="C10" s="14">
        <f>COUNTIFS('架電リスト'!$C$5:$C$41,A10,'架電リスト'!$E$5:$E$41,"&lt;&gt;")</f>
        <v/>
      </c>
      <c r="D10" s="14">
        <f>B10-COUNTIFS('架電リスト'!$C$5:$C$41,A10,'架電リスト'!$J$5:$J$41,"未架電")-COUNTIFS('架電リスト'!$C$5:$C$41,A10,'架電リスト'!$J$5:$J$41,"")</f>
        <v/>
      </c>
      <c r="E10" s="14">
        <f>COUNTIFS('架電リスト'!$C$5:$C$41,$A10,'架電リスト'!$J$5:$J$41,"不在・折返し待ち")</f>
        <v/>
      </c>
      <c r="F10" s="14">
        <f>COUNTIFS('架電リスト'!$C$5:$C$41,$A10,'架電リスト'!$J$5:$J$41,"担当者不在")</f>
        <v/>
      </c>
      <c r="G10" s="14">
        <f>COUNTIFS('架電リスト'!$C$5:$C$41,$A10,'架電リスト'!$J$5:$J$41,"資料送付")</f>
        <v/>
      </c>
      <c r="H10" s="14">
        <f>COUNTIFS('架電リスト'!$C$5:$C$41,$A10,'架電リスト'!$J$5:$J$41,"アポ獲得")</f>
        <v/>
      </c>
      <c r="I10" s="14">
        <f>COUNTIFS('架電リスト'!$C$5:$C$41,$A10,'架電リスト'!$J$5:$J$41,"検討中")</f>
        <v/>
      </c>
      <c r="J10" s="14">
        <f>COUNTIFS('架電リスト'!$C$5:$C$41,$A10,'架電リスト'!$J$5:$J$41,"NG")</f>
        <v/>
      </c>
      <c r="K10" s="14">
        <f>COUNTIFS('架電リスト'!$C$5:$C$41,$A10,'架電リスト'!$J$5:$J$41,"番号不明")</f>
        <v/>
      </c>
    </row>
    <row r="11">
      <c r="A11" s="14" t="inlineStr">
        <is>
          <t>広島市南区</t>
        </is>
      </c>
      <c r="B11" s="14">
        <f>COUNTIF('架電リスト'!$C$5:$C$41,A11)</f>
        <v/>
      </c>
      <c r="C11" s="14">
        <f>COUNTIFS('架電リスト'!$C$5:$C$41,A11,'架電リスト'!$E$5:$E$41,"&lt;&gt;")</f>
        <v/>
      </c>
      <c r="D11" s="14">
        <f>B11-COUNTIFS('架電リスト'!$C$5:$C$41,A11,'架電リスト'!$J$5:$J$41,"未架電")-COUNTIFS('架電リスト'!$C$5:$C$41,A11,'架電リスト'!$J$5:$J$41,"")</f>
        <v/>
      </c>
      <c r="E11" s="14">
        <f>COUNTIFS('架電リスト'!$C$5:$C$41,$A11,'架電リスト'!$J$5:$J$41,"不在・折返し待ち")</f>
        <v/>
      </c>
      <c r="F11" s="14">
        <f>COUNTIFS('架電リスト'!$C$5:$C$41,$A11,'架電リスト'!$J$5:$J$41,"担当者不在")</f>
        <v/>
      </c>
      <c r="G11" s="14">
        <f>COUNTIFS('架電リスト'!$C$5:$C$41,$A11,'架電リスト'!$J$5:$J$41,"資料送付")</f>
        <v/>
      </c>
      <c r="H11" s="14">
        <f>COUNTIFS('架電リスト'!$C$5:$C$41,$A11,'架電リスト'!$J$5:$J$41,"アポ獲得")</f>
        <v/>
      </c>
      <c r="I11" s="14">
        <f>COUNTIFS('架電リスト'!$C$5:$C$41,$A11,'架電リスト'!$J$5:$J$41,"検討中")</f>
        <v/>
      </c>
      <c r="J11" s="14">
        <f>COUNTIFS('架電リスト'!$C$5:$C$41,$A11,'架電リスト'!$J$5:$J$41,"NG")</f>
        <v/>
      </c>
      <c r="K11" s="14">
        <f>COUNTIFS('架電リスト'!$C$5:$C$41,$A11,'架電リスト'!$J$5:$J$41,"番号不明")</f>
        <v/>
      </c>
    </row>
    <row r="12">
      <c r="A12" s="14" t="inlineStr">
        <is>
          <t>三原市</t>
        </is>
      </c>
      <c r="B12" s="14">
        <f>COUNTIF('架電リスト'!$C$5:$C$41,A12)</f>
        <v/>
      </c>
      <c r="C12" s="14">
        <f>COUNTIFS('架電リスト'!$C$5:$C$41,A12,'架電リスト'!$E$5:$E$41,"&lt;&gt;")</f>
        <v/>
      </c>
      <c r="D12" s="14">
        <f>B12-COUNTIFS('架電リスト'!$C$5:$C$41,A12,'架電リスト'!$J$5:$J$41,"未架電")-COUNTIFS('架電リスト'!$C$5:$C$41,A12,'架電リスト'!$J$5:$J$41,"")</f>
        <v/>
      </c>
      <c r="E12" s="14">
        <f>COUNTIFS('架電リスト'!$C$5:$C$41,$A12,'架電リスト'!$J$5:$J$41,"不在・折返し待ち")</f>
        <v/>
      </c>
      <c r="F12" s="14">
        <f>COUNTIFS('架電リスト'!$C$5:$C$41,$A12,'架電リスト'!$J$5:$J$41,"担当者不在")</f>
        <v/>
      </c>
      <c r="G12" s="14">
        <f>COUNTIFS('架電リスト'!$C$5:$C$41,$A12,'架電リスト'!$J$5:$J$41,"資料送付")</f>
        <v/>
      </c>
      <c r="H12" s="14">
        <f>COUNTIFS('架電リスト'!$C$5:$C$41,$A12,'架電リスト'!$J$5:$J$41,"アポ獲得")</f>
        <v/>
      </c>
      <c r="I12" s="14">
        <f>COUNTIFS('架電リスト'!$C$5:$C$41,$A12,'架電リスト'!$J$5:$J$41,"検討中")</f>
        <v/>
      </c>
      <c r="J12" s="14">
        <f>COUNTIFS('架電リスト'!$C$5:$C$41,$A12,'架電リスト'!$J$5:$J$41,"NG")</f>
        <v/>
      </c>
      <c r="K12" s="14">
        <f>COUNTIFS('架電リスト'!$C$5:$C$41,$A12,'架電リスト'!$J$5:$J$41,"番号不明")</f>
        <v/>
      </c>
    </row>
    <row r="13">
      <c r="A13" s="14" t="inlineStr">
        <is>
          <t>尾道市</t>
        </is>
      </c>
      <c r="B13" s="14">
        <f>COUNTIF('架電リスト'!$C$5:$C$41,A13)</f>
        <v/>
      </c>
      <c r="C13" s="14">
        <f>COUNTIFS('架電リスト'!$C$5:$C$41,A13,'架電リスト'!$E$5:$E$41,"&lt;&gt;")</f>
        <v/>
      </c>
      <c r="D13" s="14">
        <f>B13-COUNTIFS('架電リスト'!$C$5:$C$41,A13,'架電リスト'!$J$5:$J$41,"未架電")-COUNTIFS('架電リスト'!$C$5:$C$41,A13,'架電リスト'!$J$5:$J$41,"")</f>
        <v/>
      </c>
      <c r="E13" s="14">
        <f>COUNTIFS('架電リスト'!$C$5:$C$41,$A13,'架電リスト'!$J$5:$J$41,"不在・折返し待ち")</f>
        <v/>
      </c>
      <c r="F13" s="14">
        <f>COUNTIFS('架電リスト'!$C$5:$C$41,$A13,'架電リスト'!$J$5:$J$41,"担当者不在")</f>
        <v/>
      </c>
      <c r="G13" s="14">
        <f>COUNTIFS('架電リスト'!$C$5:$C$41,$A13,'架電リスト'!$J$5:$J$41,"資料送付")</f>
        <v/>
      </c>
      <c r="H13" s="14">
        <f>COUNTIFS('架電リスト'!$C$5:$C$41,$A13,'架電リスト'!$J$5:$J$41,"アポ獲得")</f>
        <v/>
      </c>
      <c r="I13" s="14">
        <f>COUNTIFS('架電リスト'!$C$5:$C$41,$A13,'架電リスト'!$J$5:$J$41,"検討中")</f>
        <v/>
      </c>
      <c r="J13" s="14">
        <f>COUNTIFS('架電リスト'!$C$5:$C$41,$A13,'架電リスト'!$J$5:$J$41,"NG")</f>
        <v/>
      </c>
      <c r="K13" s="14">
        <f>COUNTIFS('架電リスト'!$C$5:$C$41,$A13,'架電リスト'!$J$5:$J$41,"番号不明")</f>
        <v/>
      </c>
    </row>
    <row r="14">
      <c r="A14" s="14" t="inlineStr">
        <is>
          <t>廿日市市</t>
        </is>
      </c>
      <c r="B14" s="14">
        <f>COUNTIF('架電リスト'!$C$5:$C$41,A14)</f>
        <v/>
      </c>
      <c r="C14" s="14">
        <f>COUNTIFS('架電リスト'!$C$5:$C$41,A14,'架電リスト'!$E$5:$E$41,"&lt;&gt;")</f>
        <v/>
      </c>
      <c r="D14" s="14">
        <f>B14-COUNTIFS('架電リスト'!$C$5:$C$41,A14,'架電リスト'!$J$5:$J$41,"未架電")-COUNTIFS('架電リスト'!$C$5:$C$41,A14,'架電リスト'!$J$5:$J$41,"")</f>
        <v/>
      </c>
      <c r="E14" s="14">
        <f>COUNTIFS('架電リスト'!$C$5:$C$41,$A14,'架電リスト'!$J$5:$J$41,"不在・折返し待ち")</f>
        <v/>
      </c>
      <c r="F14" s="14">
        <f>COUNTIFS('架電リスト'!$C$5:$C$41,$A14,'架電リスト'!$J$5:$J$41,"担当者不在")</f>
        <v/>
      </c>
      <c r="G14" s="14">
        <f>COUNTIFS('架電リスト'!$C$5:$C$41,$A14,'架電リスト'!$J$5:$J$41,"資料送付")</f>
        <v/>
      </c>
      <c r="H14" s="14">
        <f>COUNTIFS('架電リスト'!$C$5:$C$41,$A14,'架電リスト'!$J$5:$J$41,"アポ獲得")</f>
        <v/>
      </c>
      <c r="I14" s="14">
        <f>COUNTIFS('架電リスト'!$C$5:$C$41,$A14,'架電リスト'!$J$5:$J$41,"検討中")</f>
        <v/>
      </c>
      <c r="J14" s="14">
        <f>COUNTIFS('架電リスト'!$C$5:$C$41,$A14,'架電リスト'!$J$5:$J$41,"NG")</f>
        <v/>
      </c>
      <c r="K14" s="14">
        <f>COUNTIFS('架電リスト'!$C$5:$C$41,$A14,'架電リスト'!$J$5:$J$41,"番号不明")</f>
        <v/>
      </c>
    </row>
    <row r="15">
      <c r="A15" s="14" t="inlineStr">
        <is>
          <t>海田町</t>
        </is>
      </c>
      <c r="B15" s="14">
        <f>COUNTIF('架電リスト'!$C$5:$C$41,A15)</f>
        <v/>
      </c>
      <c r="C15" s="14">
        <f>COUNTIFS('架電リスト'!$C$5:$C$41,A15,'架電リスト'!$E$5:$E$41,"&lt;&gt;")</f>
        <v/>
      </c>
      <c r="D15" s="14">
        <f>B15-COUNTIFS('架電リスト'!$C$5:$C$41,A15,'架電リスト'!$J$5:$J$41,"未架電")-COUNTIFS('架電リスト'!$C$5:$C$41,A15,'架電リスト'!$J$5:$J$41,"")</f>
        <v/>
      </c>
      <c r="E15" s="14">
        <f>COUNTIFS('架電リスト'!$C$5:$C$41,$A15,'架電リスト'!$J$5:$J$41,"不在・折返し待ち")</f>
        <v/>
      </c>
      <c r="F15" s="14">
        <f>COUNTIFS('架電リスト'!$C$5:$C$41,$A15,'架電リスト'!$J$5:$J$41,"担当者不在")</f>
        <v/>
      </c>
      <c r="G15" s="14">
        <f>COUNTIFS('架電リスト'!$C$5:$C$41,$A15,'架電リスト'!$J$5:$J$41,"資料送付")</f>
        <v/>
      </c>
      <c r="H15" s="14">
        <f>COUNTIFS('架電リスト'!$C$5:$C$41,$A15,'架電リスト'!$J$5:$J$41,"アポ獲得")</f>
        <v/>
      </c>
      <c r="I15" s="14">
        <f>COUNTIFS('架電リスト'!$C$5:$C$41,$A15,'架電リスト'!$J$5:$J$41,"検討中")</f>
        <v/>
      </c>
      <c r="J15" s="14">
        <f>COUNTIFS('架電リスト'!$C$5:$C$41,$A15,'架電リスト'!$J$5:$J$41,"NG")</f>
        <v/>
      </c>
      <c r="K15" s="14">
        <f>COUNTIFS('架電リスト'!$C$5:$C$41,$A15,'架電リスト'!$J$5:$J$41,"番号不明")</f>
        <v/>
      </c>
    </row>
    <row r="16">
      <c r="A16" s="14" t="inlineStr">
        <is>
          <t>坂町</t>
        </is>
      </c>
      <c r="B16" s="14">
        <f>COUNTIF('架電リスト'!$C$5:$C$41,A16)</f>
        <v/>
      </c>
      <c r="C16" s="14">
        <f>COUNTIFS('架電リスト'!$C$5:$C$41,A16,'架電リスト'!$E$5:$E$41,"&lt;&gt;")</f>
        <v/>
      </c>
      <c r="D16" s="14">
        <f>B16-COUNTIFS('架電リスト'!$C$5:$C$41,A16,'架電リスト'!$J$5:$J$41,"未架電")-COUNTIFS('架電リスト'!$C$5:$C$41,A16,'架電リスト'!$J$5:$J$41,"")</f>
        <v/>
      </c>
      <c r="E16" s="14">
        <f>COUNTIFS('架電リスト'!$C$5:$C$41,$A16,'架電リスト'!$J$5:$J$41,"不在・折返し待ち")</f>
        <v/>
      </c>
      <c r="F16" s="14">
        <f>COUNTIFS('架電リスト'!$C$5:$C$41,$A16,'架電リスト'!$J$5:$J$41,"担当者不在")</f>
        <v/>
      </c>
      <c r="G16" s="14">
        <f>COUNTIFS('架電リスト'!$C$5:$C$41,$A16,'架電リスト'!$J$5:$J$41,"資料送付")</f>
        <v/>
      </c>
      <c r="H16" s="14">
        <f>COUNTIFS('架電リスト'!$C$5:$C$41,$A16,'架電リスト'!$J$5:$J$41,"アポ獲得")</f>
        <v/>
      </c>
      <c r="I16" s="14">
        <f>COUNTIFS('架電リスト'!$C$5:$C$41,$A16,'架電リスト'!$J$5:$J$41,"検討中")</f>
        <v/>
      </c>
      <c r="J16" s="14">
        <f>COUNTIFS('架電リスト'!$C$5:$C$41,$A16,'架電リスト'!$J$5:$J$41,"NG")</f>
        <v/>
      </c>
      <c r="K16" s="14">
        <f>COUNTIFS('架電リスト'!$C$5:$C$41,$A16,'架電リスト'!$J$5:$J$41,"番号不明")</f>
        <v/>
      </c>
    </row>
    <row r="17">
      <c r="A17" s="14" t="inlineStr">
        <is>
          <t>北広島町</t>
        </is>
      </c>
      <c r="B17" s="14">
        <f>COUNTIF('架電リスト'!$C$5:$C$41,A17)</f>
        <v/>
      </c>
      <c r="C17" s="14">
        <f>COUNTIFS('架電リスト'!$C$5:$C$41,A17,'架電リスト'!$E$5:$E$41,"&lt;&gt;")</f>
        <v/>
      </c>
      <c r="D17" s="14">
        <f>B17-COUNTIFS('架電リスト'!$C$5:$C$41,A17,'架電リスト'!$J$5:$J$41,"未架電")-COUNTIFS('架電リスト'!$C$5:$C$41,A17,'架電リスト'!$J$5:$J$41,"")</f>
        <v/>
      </c>
      <c r="E17" s="14">
        <f>COUNTIFS('架電リスト'!$C$5:$C$41,$A17,'架電リスト'!$J$5:$J$41,"不在・折返し待ち")</f>
        <v/>
      </c>
      <c r="F17" s="14">
        <f>COUNTIFS('架電リスト'!$C$5:$C$41,$A17,'架電リスト'!$J$5:$J$41,"担当者不在")</f>
        <v/>
      </c>
      <c r="G17" s="14">
        <f>COUNTIFS('架電リスト'!$C$5:$C$41,$A17,'架電リスト'!$J$5:$J$41,"資料送付")</f>
        <v/>
      </c>
      <c r="H17" s="14">
        <f>COUNTIFS('架電リスト'!$C$5:$C$41,$A17,'架電リスト'!$J$5:$J$41,"アポ獲得")</f>
        <v/>
      </c>
      <c r="I17" s="14">
        <f>COUNTIFS('架電リスト'!$C$5:$C$41,$A17,'架電リスト'!$J$5:$J$41,"検討中")</f>
        <v/>
      </c>
      <c r="J17" s="14">
        <f>COUNTIFS('架電リスト'!$C$5:$C$41,$A17,'架電リスト'!$J$5:$J$41,"NG")</f>
        <v/>
      </c>
      <c r="K17" s="14">
        <f>COUNTIFS('架電リスト'!$C$5:$C$41,$A17,'架電リスト'!$J$5:$J$41,"番号不明")</f>
        <v/>
      </c>
    </row>
    <row r="18">
      <c r="A18" s="14" t="inlineStr">
        <is>
          <t>広島市佐伯区</t>
        </is>
      </c>
      <c r="B18" s="14">
        <f>COUNTIF('架電リスト'!$C$5:$C$41,A18)</f>
        <v/>
      </c>
      <c r="C18" s="14">
        <f>COUNTIFS('架電リスト'!$C$5:$C$41,A18,'架電リスト'!$E$5:$E$41,"&lt;&gt;")</f>
        <v/>
      </c>
      <c r="D18" s="14">
        <f>B18-COUNTIFS('架電リスト'!$C$5:$C$41,A18,'架電リスト'!$J$5:$J$41,"未架電")-COUNTIFS('架電リスト'!$C$5:$C$41,A18,'架電リスト'!$J$5:$J$41,"")</f>
        <v/>
      </c>
      <c r="E18" s="14">
        <f>COUNTIFS('架電リスト'!$C$5:$C$41,$A18,'架電リスト'!$J$5:$J$41,"不在・折返し待ち")</f>
        <v/>
      </c>
      <c r="F18" s="14">
        <f>COUNTIFS('架電リスト'!$C$5:$C$41,$A18,'架電リスト'!$J$5:$J$41,"担当者不在")</f>
        <v/>
      </c>
      <c r="G18" s="14">
        <f>COUNTIFS('架電リスト'!$C$5:$C$41,$A18,'架電リスト'!$J$5:$J$41,"資料送付")</f>
        <v/>
      </c>
      <c r="H18" s="14">
        <f>COUNTIFS('架電リスト'!$C$5:$C$41,$A18,'架電リスト'!$J$5:$J$41,"アポ獲得")</f>
        <v/>
      </c>
      <c r="I18" s="14">
        <f>COUNTIFS('架電リスト'!$C$5:$C$41,$A18,'架電リスト'!$J$5:$J$41,"検討中")</f>
        <v/>
      </c>
      <c r="J18" s="14">
        <f>COUNTIFS('架電リスト'!$C$5:$C$41,$A18,'架電リスト'!$J$5:$J$41,"NG")</f>
        <v/>
      </c>
      <c r="K18" s="14">
        <f>COUNTIFS('架電リスト'!$C$5:$C$41,$A18,'架電リスト'!$J$5:$J$41,"番号不明")</f>
        <v/>
      </c>
    </row>
    <row r="19">
      <c r="A19" s="14" t="inlineStr">
        <is>
          <t>広島市安佐北区</t>
        </is>
      </c>
      <c r="B19" s="14">
        <f>COUNTIF('架電リスト'!$C$5:$C$41,A19)</f>
        <v/>
      </c>
      <c r="C19" s="14">
        <f>COUNTIFS('架電リスト'!$C$5:$C$41,A19,'架電リスト'!$E$5:$E$41,"&lt;&gt;")</f>
        <v/>
      </c>
      <c r="D19" s="14">
        <f>B19-COUNTIFS('架電リスト'!$C$5:$C$41,A19,'架電リスト'!$J$5:$J$41,"未架電")-COUNTIFS('架電リスト'!$C$5:$C$41,A19,'架電リスト'!$J$5:$J$41,"")</f>
        <v/>
      </c>
      <c r="E19" s="14">
        <f>COUNTIFS('架電リスト'!$C$5:$C$41,$A19,'架電リスト'!$J$5:$J$41,"不在・折返し待ち")</f>
        <v/>
      </c>
      <c r="F19" s="14">
        <f>COUNTIFS('架電リスト'!$C$5:$C$41,$A19,'架電リスト'!$J$5:$J$41,"担当者不在")</f>
        <v/>
      </c>
      <c r="G19" s="14">
        <f>COUNTIFS('架電リスト'!$C$5:$C$41,$A19,'架電リスト'!$J$5:$J$41,"資料送付")</f>
        <v/>
      </c>
      <c r="H19" s="14">
        <f>COUNTIFS('架電リスト'!$C$5:$C$41,$A19,'架電リスト'!$J$5:$J$41,"アポ獲得")</f>
        <v/>
      </c>
      <c r="I19" s="14">
        <f>COUNTIFS('架電リスト'!$C$5:$C$41,$A19,'架電リスト'!$J$5:$J$41,"検討中")</f>
        <v/>
      </c>
      <c r="J19" s="14">
        <f>COUNTIFS('架電リスト'!$C$5:$C$41,$A19,'架電リスト'!$J$5:$J$41,"NG")</f>
        <v/>
      </c>
      <c r="K19" s="14">
        <f>COUNTIFS('架電リスト'!$C$5:$C$41,$A19,'架電リスト'!$J$5:$J$41,"番号不明")</f>
        <v/>
      </c>
    </row>
    <row r="20">
      <c r="A20" s="15" t="inlineStr">
        <is>
          <t>合計</t>
        </is>
      </c>
      <c r="B20" s="15">
        <f>SUM(B4:B19)</f>
        <v/>
      </c>
      <c r="C20" s="15">
        <f>SUM(C4:C19)</f>
        <v/>
      </c>
      <c r="D20" s="15">
        <f>SUM(D4:D19)</f>
        <v/>
      </c>
      <c r="E20" s="15">
        <f>SUM(E4:E19)</f>
        <v/>
      </c>
      <c r="F20" s="15">
        <f>SUM(F4:F19)</f>
        <v/>
      </c>
      <c r="G20" s="15">
        <f>SUM(G4:G19)</f>
        <v/>
      </c>
      <c r="H20" s="15">
        <f>SUM(H4:H19)</f>
        <v/>
      </c>
      <c r="I20" s="15">
        <f>SUM(I4:I19)</f>
        <v/>
      </c>
      <c r="J20" s="15">
        <f>SUM(J4:J19)</f>
        <v/>
      </c>
      <c r="K20" s="15">
        <f>SUM(K4:K19)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・出典：ご提供いただいた学校ネットの検索結果（私立高校・広島県、37校）の貼り付けデータ。並び順は都道府県ごとに元データの掲載順です。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2026-10-14T01:38:32Z</dcterms:created>
  <dcterms:modified xsi:type="dcterms:W3CDTF">2026-10-14T01:38:32Z</dcterms:modified>
</cp:coreProperties>
</file>