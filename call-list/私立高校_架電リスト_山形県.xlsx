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'架電リスト'!$A$4:$O$19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0872.html" TargetMode="External" Id="rId1" /><Relationship Type="http://schemas.openxmlformats.org/officeDocument/2006/relationships/hyperlink" Target="https://www.gakkou.net/kou/view/index_300830.html" TargetMode="External" Id="rId2" /><Relationship Type="http://schemas.openxmlformats.org/officeDocument/2006/relationships/hyperlink" Target="https://www.gakkou.net/kou/view/index_300864.html" TargetMode="External" Id="rId3" /><Relationship Type="http://schemas.openxmlformats.org/officeDocument/2006/relationships/hyperlink" Target="https://www.gakkou.net/kou/view/index_300847.html" TargetMode="External" Id="rId4" /><Relationship Type="http://schemas.openxmlformats.org/officeDocument/2006/relationships/hyperlink" Target="https://www.gakkou.net/kou/view/index_300842.html" TargetMode="External" Id="rId5" /><Relationship Type="http://schemas.openxmlformats.org/officeDocument/2006/relationships/hyperlink" Target="https://www.gakkou.net/kou/view/index_300851.html" TargetMode="External" Id="rId6" /><Relationship Type="http://schemas.openxmlformats.org/officeDocument/2006/relationships/hyperlink" Target="https://www.gakkou.net/kou/view/index_300822.html" TargetMode="External" Id="rId7" /><Relationship Type="http://schemas.openxmlformats.org/officeDocument/2006/relationships/hyperlink" Target="https://www.gakkou.net/kou/view/index_300816.html" TargetMode="External" Id="rId8" /><Relationship Type="http://schemas.openxmlformats.org/officeDocument/2006/relationships/hyperlink" Target="https://www.gakkou.net/kou/view/index_300823.html" TargetMode="External" Id="rId9" /><Relationship Type="http://schemas.openxmlformats.org/officeDocument/2006/relationships/hyperlink" Target="https://www.gakkou.net/kou/view/index_300857.html" TargetMode="External" Id="rId10" /><Relationship Type="http://schemas.openxmlformats.org/officeDocument/2006/relationships/hyperlink" Target="https://www.gakkou.net/kou/view/index_300807.html" TargetMode="External" Id="rId11" /><Relationship Type="http://schemas.openxmlformats.org/officeDocument/2006/relationships/hyperlink" Target="https://www.gakkou.net/kou/view/index_300820.html" TargetMode="External" Id="rId12" /><Relationship Type="http://schemas.openxmlformats.org/officeDocument/2006/relationships/hyperlink" Target="https://www.gakkou.net/kou/view/index_300817.html" TargetMode="External" Id="rId13" /><Relationship Type="http://schemas.openxmlformats.org/officeDocument/2006/relationships/hyperlink" Target="https://www.gakkou.net/kou/view/index_300831.html" TargetMode="External" Id="rId14" /><Relationship Type="http://schemas.openxmlformats.org/officeDocument/2006/relationships/hyperlink" Target="https://www.gakkou.net/kou/view/index_306483.html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架電リスト（山形県／15校）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山形県</t>
        </is>
      </c>
      <c r="C5" s="5" t="inlineStr">
        <is>
          <t>小国町</t>
        </is>
      </c>
      <c r="D5" s="5" t="inlineStr">
        <is>
          <t>基督教独立学園高等学校</t>
        </is>
      </c>
      <c r="E5" s="6" t="inlineStr">
        <is>
          <t>0238-65-2021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複数の情報源で一致</t>
        </is>
      </c>
      <c r="N5" s="11" t="inlineStr">
        <is>
          <t>https://school.js88.com/scl_h/22030920/ ; https://studychain.jp/koukoudb/school/1573/</t>
        </is>
      </c>
      <c r="O5" s="12" t="inlineStr">
        <is>
          <t>開く</t>
        </is>
      </c>
    </row>
    <row r="6">
      <c r="A6" s="4" t="n">
        <v>2</v>
      </c>
      <c r="B6" s="5" t="inlineStr">
        <is>
          <t>山形県</t>
        </is>
      </c>
      <c r="C6" s="5" t="inlineStr">
        <is>
          <t>米沢市</t>
        </is>
      </c>
      <c r="D6" s="5" t="inlineStr">
        <is>
          <t>九里学園高等学校</t>
        </is>
      </c>
      <c r="E6" s="6" t="inlineStr">
        <is>
          <t>0238-22-0091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学校情報サイトと山形県の学校法人名簿で一致</t>
        </is>
      </c>
      <c r="N6" s="11" t="inlineStr">
        <is>
          <t>https://school.js88.com/scl_h/22030900 ; https://www100.pref.yamagata.jp/documents/1101/r5meibo.pdf</t>
        </is>
      </c>
      <c r="O6" s="12" t="inlineStr">
        <is>
          <t>開く</t>
        </is>
      </c>
    </row>
    <row r="7">
      <c r="A7" s="4" t="n">
        <v>3</v>
      </c>
      <c r="B7" s="5" t="inlineStr">
        <is>
          <t>山形県</t>
        </is>
      </c>
      <c r="C7" s="5" t="inlineStr">
        <is>
          <t>酒田市</t>
        </is>
      </c>
      <c r="D7" s="5" t="inlineStr">
        <is>
          <t>酒田南高等学校</t>
        </is>
      </c>
      <c r="E7" s="6" t="inlineStr">
        <is>
          <t>0234-22-4733</t>
        </is>
      </c>
      <c r="F7" s="13" t="inlineStr">
        <is>
          <t>中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公式サイトの職員室の番号（浜田キャンパス）。事務室は0234-24-2900。一部サイトの0234-22-7341は旧キャンパスの番号の可能性あり</t>
        </is>
      </c>
      <c r="N7" s="11" t="inlineStr">
        <is>
          <t>https://www.sakataminami-h.ed.jp/contact/</t>
        </is>
      </c>
      <c r="O7" s="12" t="inlineStr">
        <is>
          <t>開く</t>
        </is>
      </c>
    </row>
    <row r="8">
      <c r="A8" s="4" t="n">
        <v>4</v>
      </c>
      <c r="B8" s="5" t="inlineStr">
        <is>
          <t>山形県</t>
        </is>
      </c>
      <c r="C8" s="5" t="inlineStr">
        <is>
          <t>新庄市</t>
        </is>
      </c>
      <c r="D8" s="5" t="inlineStr">
        <is>
          <t>新庄東高等学校</t>
        </is>
      </c>
      <c r="E8" s="6" t="inlineStr">
        <is>
          <t>0233-22-1562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公式サイトに「代表」と記載</t>
        </is>
      </c>
      <c r="N8" s="11" t="inlineStr">
        <is>
          <t>http://shinjo-east.com/access.html ; https://www.mapion.co.jp/phonebook/M11004/06205/ILSP0000041749_ipclm/</t>
        </is>
      </c>
      <c r="O8" s="12" t="inlineStr">
        <is>
          <t>開く</t>
        </is>
      </c>
    </row>
    <row r="9">
      <c r="A9" s="4" t="n">
        <v>5</v>
      </c>
      <c r="B9" s="5" t="inlineStr">
        <is>
          <t>山形県</t>
        </is>
      </c>
      <c r="C9" s="5" t="inlineStr">
        <is>
          <t>天童市</t>
        </is>
      </c>
      <c r="D9" s="5" t="inlineStr">
        <is>
          <t>創学館高等学校</t>
        </is>
      </c>
      <c r="E9" s="6" t="inlineStr">
        <is>
          <t>023-655-2321</t>
        </is>
      </c>
      <c r="F9" s="7" t="inlineStr">
        <is>
          <t>高</t>
        </is>
      </c>
      <c r="G9" s="5" t="inlineStr">
        <is>
          <t>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公式サイトと山形県の名簿で一致。023-655-2328は同じ法人の別の学校の番号なので注意</t>
        </is>
      </c>
      <c r="N9" s="11" t="inlineStr">
        <is>
          <t>https://sogaku.ed.jp/introduction/access ; https://www100.pref.yamagata.jp/documents/1101/r5meibo.pdf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山形県</t>
        </is>
      </c>
      <c r="C10" s="5" t="inlineStr">
        <is>
          <t>鶴岡市</t>
        </is>
      </c>
      <c r="D10" s="5" t="inlineStr">
        <is>
          <t>鶴岡東高等学校</t>
        </is>
      </c>
      <c r="E10" s="6" t="inlineStr">
        <is>
          <t>0235-22-0223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学校情報サイト2件で一致</t>
        </is>
      </c>
      <c r="N10" s="11" t="inlineStr">
        <is>
          <t>https://school.js88.com/scl_h/22030940/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山形県</t>
        </is>
      </c>
      <c r="C11" s="5" t="inlineStr">
        <is>
          <t>山形市</t>
        </is>
      </c>
      <c r="D11" s="5" t="inlineStr">
        <is>
          <t>東海大学山形高等学校</t>
        </is>
      </c>
      <c r="E11" s="6" t="inlineStr">
        <is>
          <t>023-688-3022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学校情報サイトと山形県の学校法人名簿で一致</t>
        </is>
      </c>
      <c r="N11" s="11" t="inlineStr">
        <is>
          <t>https://www.minkou.jp/hischool/school/2773/ ; https://www200.pref.yamagata.jp/documents/1101/r7meibo.pdf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山形県</t>
        </is>
      </c>
      <c r="C12" s="5" t="inlineStr">
        <is>
          <t>山形市</t>
        </is>
      </c>
      <c r="D12" s="5" t="inlineStr">
        <is>
          <t>東北文教大学山形城北高等学校</t>
        </is>
      </c>
      <c r="E12" s="6" t="inlineStr">
        <is>
          <t>023-645-3377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公式サイトに「代表」と記載。023-688-2296は短大の番号なので注意</t>
        </is>
      </c>
      <c r="N12" s="11" t="inlineStr">
        <is>
          <t>https://www.johoku.ed.jp/school-life/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山形県</t>
        </is>
      </c>
      <c r="C13" s="5" t="inlineStr">
        <is>
          <t>山形市</t>
        </is>
      </c>
      <c r="D13" s="5" t="inlineStr">
        <is>
          <t>日本大学山形高等学校</t>
        </is>
      </c>
      <c r="E13" s="6" t="inlineStr">
        <is>
          <t>023-641-6631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公式資料に「代表」と記載</t>
        </is>
      </c>
      <c r="N13" s="11" t="inlineStr">
        <is>
          <t>https://www.ymgt.hs.nihon-u.ac.jp/wp-content/uploads/2025/06/部活体験会2025チラシ.pdf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山形県</t>
        </is>
      </c>
      <c r="C14" s="5" t="inlineStr">
        <is>
          <t>鶴岡市</t>
        </is>
      </c>
      <c r="D14" s="5" t="inlineStr">
        <is>
          <t>羽黒高等学校</t>
        </is>
      </c>
      <c r="E14" s="6" t="inlineStr">
        <is>
          <t>0235-62-2105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公式サイトとマピオンで一致。0235-62-2103は法人の事業部の番号なので注意</t>
        </is>
      </c>
      <c r="N14" s="11" t="inlineStr">
        <is>
          <t>https://www.haguroko.ed.jp/ ; https://www.mapion.co.jp/phonebook/M11004/06203/ILSP0000041869_ipclm/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山形県</t>
        </is>
      </c>
      <c r="C15" s="5" t="inlineStr">
        <is>
          <t>山形市</t>
        </is>
      </c>
      <c r="D15" s="5" t="inlineStr">
        <is>
          <t>山形学院高等学校</t>
        </is>
      </c>
      <c r="E15" s="6" t="inlineStr">
        <is>
          <t>023-641-4116</t>
        </is>
      </c>
      <c r="F15" s="7" t="inlineStr">
        <is>
          <t>高</t>
        </is>
      </c>
      <c r="G15" s="5" t="inlineStr">
        <is>
          <t>普通科・専門学科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公式サイトの事務室の番号。職員室は023-641-4115</t>
        </is>
      </c>
      <c r="N15" s="11" t="inlineStr">
        <is>
          <t>https://www.y-gakuin.ac.jp/about/ ; https://www200.pref.yamagata.jp/documents/1101/r7meibo.pdf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山形県</t>
        </is>
      </c>
      <c r="C16" s="5" t="inlineStr">
        <is>
          <t>山形市</t>
        </is>
      </c>
      <c r="D16" s="5" t="inlineStr">
        <is>
          <t>山形明正高等学校</t>
        </is>
      </c>
      <c r="E16" s="6" t="inlineStr">
        <is>
          <t>023-631-2099</t>
        </is>
      </c>
      <c r="F16" s="7" t="inlineStr">
        <is>
          <t>高</t>
        </is>
      </c>
      <c r="G16" s="5" t="inlineStr">
        <is>
          <t>普通科・専門学科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山形県の学校法人名簿とYahoo!マップで一致</t>
        </is>
      </c>
      <c r="N16" s="11" t="inlineStr">
        <is>
          <t>https://www100.pref.yamagata.jp/documents/1101/r6meibo.pdf ; https://map.yahoo.co.jp/v3/place/MoZP1zgQvRE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山形県</t>
        </is>
      </c>
      <c r="C17" s="5" t="inlineStr">
        <is>
          <t>山形市</t>
        </is>
      </c>
      <c r="D17" s="5" t="inlineStr">
        <is>
          <t>惺山高等学校</t>
        </is>
      </c>
      <c r="E17" s="6" t="inlineStr">
        <is>
          <t>023-643-0321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【旧校名】2022年4月に山本学園高等学校から改称。通信制課程は023-679-3715</t>
        </is>
      </c>
      <c r="N17" s="11" t="inlineStr">
        <is>
          <t>https://school.js88.com/scl_h/22029820 ; https://www.minkou.jp/hischool/school/4893/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山形県</t>
        </is>
      </c>
      <c r="C18" s="5" t="inlineStr">
        <is>
          <t>米沢市</t>
        </is>
      </c>
      <c r="D18" s="5" t="inlineStr">
        <is>
          <t>米沢中央高等学校</t>
        </is>
      </c>
      <c r="E18" s="6" t="inlineStr">
        <is>
          <t>0238-22-4223</t>
        </is>
      </c>
      <c r="F18" s="13" t="inlineStr">
        <is>
          <t>中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学校情報サイト複数で一致、公式サイトでは未確認</t>
        </is>
      </c>
      <c r="N18" s="11" t="inlineStr">
        <is>
          <t>https://school.js88.com/scl_h/22030910?page=7 ; https://studychain.jp/koukoudb/school/5290/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山形県</t>
        </is>
      </c>
      <c r="C19" s="5" t="inlineStr">
        <is>
          <t>酒田市</t>
        </is>
      </c>
      <c r="D19" s="5" t="inlineStr">
        <is>
          <t>和順館高等学校</t>
        </is>
      </c>
      <c r="E19" s="6" t="inlineStr">
        <is>
          <t>0234-26-1670</t>
        </is>
      </c>
      <c r="F19" s="7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私立（酒田南高校と同じ学校法人）。通信制・単位制</t>
        </is>
      </c>
      <c r="N19" s="11" t="inlineStr">
        <is>
          <t>https://www.wajun-honbu.ac.jp/wajunkan/1.html ; https://www.mapion.co.jp/phonebook/M11004/06204/ILSP0000040809_ipclm/</t>
        </is>
      </c>
      <c r="O19" s="12" t="inlineStr">
        <is>
          <t>開く</t>
        </is>
      </c>
    </row>
  </sheetData>
  <autoFilter ref="A4:O19"/>
  <conditionalFormatting sqref="A5:O19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9" showDropDown="0" showInputMessage="0" showErrorMessage="0" allowBlank="1" type="list">
      <formula1>"未架電,不在・折返し待ち,担当者不在,資料送付,アポ獲得,検討中,NG,番号不明"</formula1>
    </dataValidation>
    <dataValidation sqref="H5:H19 K5:K19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山形市</t>
        </is>
      </c>
      <c r="B4" s="14">
        <f>COUNTIF('架電リスト'!$C$5:$C$19,A4)</f>
        <v/>
      </c>
      <c r="C4" s="14">
        <f>COUNTIFS('架電リスト'!$C$5:$C$19,A4,'架電リスト'!$E$5:$E$19,"&lt;&gt;")</f>
        <v/>
      </c>
      <c r="D4" s="14">
        <f>B4-COUNTIFS('架電リスト'!$C$5:$C$19,A4,'架電リスト'!$J$5:$J$19,"未架電")-COUNTIFS('架電リスト'!$C$5:$C$19,A4,'架電リスト'!$J$5:$J$19,"")</f>
        <v/>
      </c>
      <c r="E4" s="14">
        <f>COUNTIFS('架電リスト'!$C$5:$C$19,$A4,'架電リスト'!$J$5:$J$19,"不在・折返し待ち")</f>
        <v/>
      </c>
      <c r="F4" s="14">
        <f>COUNTIFS('架電リスト'!$C$5:$C$19,$A4,'架電リスト'!$J$5:$J$19,"担当者不在")</f>
        <v/>
      </c>
      <c r="G4" s="14">
        <f>COUNTIFS('架電リスト'!$C$5:$C$19,$A4,'架電リスト'!$J$5:$J$19,"資料送付")</f>
        <v/>
      </c>
      <c r="H4" s="14">
        <f>COUNTIFS('架電リスト'!$C$5:$C$19,$A4,'架電リスト'!$J$5:$J$19,"アポ獲得")</f>
        <v/>
      </c>
      <c r="I4" s="14">
        <f>COUNTIFS('架電リスト'!$C$5:$C$19,$A4,'架電リスト'!$J$5:$J$19,"検討中")</f>
        <v/>
      </c>
      <c r="J4" s="14">
        <f>COUNTIFS('架電リスト'!$C$5:$C$19,$A4,'架電リスト'!$J$5:$J$19,"NG")</f>
        <v/>
      </c>
      <c r="K4" s="14">
        <f>COUNTIFS('架電リスト'!$C$5:$C$19,$A4,'架電リスト'!$J$5:$J$19,"番号不明")</f>
        <v/>
      </c>
    </row>
    <row r="5">
      <c r="A5" s="14" t="inlineStr">
        <is>
          <t>米沢市</t>
        </is>
      </c>
      <c r="B5" s="14">
        <f>COUNTIF('架電リスト'!$C$5:$C$19,A5)</f>
        <v/>
      </c>
      <c r="C5" s="14">
        <f>COUNTIFS('架電リスト'!$C$5:$C$19,A5,'架電リスト'!$E$5:$E$19,"&lt;&gt;")</f>
        <v/>
      </c>
      <c r="D5" s="14">
        <f>B5-COUNTIFS('架電リスト'!$C$5:$C$19,A5,'架電リスト'!$J$5:$J$19,"未架電")-COUNTIFS('架電リスト'!$C$5:$C$19,A5,'架電リスト'!$J$5:$J$19,"")</f>
        <v/>
      </c>
      <c r="E5" s="14">
        <f>COUNTIFS('架電リスト'!$C$5:$C$19,$A5,'架電リスト'!$J$5:$J$19,"不在・折返し待ち")</f>
        <v/>
      </c>
      <c r="F5" s="14">
        <f>COUNTIFS('架電リスト'!$C$5:$C$19,$A5,'架電リスト'!$J$5:$J$19,"担当者不在")</f>
        <v/>
      </c>
      <c r="G5" s="14">
        <f>COUNTIFS('架電リスト'!$C$5:$C$19,$A5,'架電リスト'!$J$5:$J$19,"資料送付")</f>
        <v/>
      </c>
      <c r="H5" s="14">
        <f>COUNTIFS('架電リスト'!$C$5:$C$19,$A5,'架電リスト'!$J$5:$J$19,"アポ獲得")</f>
        <v/>
      </c>
      <c r="I5" s="14">
        <f>COUNTIFS('架電リスト'!$C$5:$C$19,$A5,'架電リスト'!$J$5:$J$19,"検討中")</f>
        <v/>
      </c>
      <c r="J5" s="14">
        <f>COUNTIFS('架電リスト'!$C$5:$C$19,$A5,'架電リスト'!$J$5:$J$19,"NG")</f>
        <v/>
      </c>
      <c r="K5" s="14">
        <f>COUNTIFS('架電リスト'!$C$5:$C$19,$A5,'架電リスト'!$J$5:$J$19,"番号不明")</f>
        <v/>
      </c>
    </row>
    <row r="6">
      <c r="A6" s="14" t="inlineStr">
        <is>
          <t>酒田市</t>
        </is>
      </c>
      <c r="B6" s="14">
        <f>COUNTIF('架電リスト'!$C$5:$C$19,A6)</f>
        <v/>
      </c>
      <c r="C6" s="14">
        <f>COUNTIFS('架電リスト'!$C$5:$C$19,A6,'架電リスト'!$E$5:$E$19,"&lt;&gt;")</f>
        <v/>
      </c>
      <c r="D6" s="14">
        <f>B6-COUNTIFS('架電リスト'!$C$5:$C$19,A6,'架電リスト'!$J$5:$J$19,"未架電")-COUNTIFS('架電リスト'!$C$5:$C$19,A6,'架電リスト'!$J$5:$J$19,"")</f>
        <v/>
      </c>
      <c r="E6" s="14">
        <f>COUNTIFS('架電リスト'!$C$5:$C$19,$A6,'架電リスト'!$J$5:$J$19,"不在・折返し待ち")</f>
        <v/>
      </c>
      <c r="F6" s="14">
        <f>COUNTIFS('架電リスト'!$C$5:$C$19,$A6,'架電リスト'!$J$5:$J$19,"担当者不在")</f>
        <v/>
      </c>
      <c r="G6" s="14">
        <f>COUNTIFS('架電リスト'!$C$5:$C$19,$A6,'架電リスト'!$J$5:$J$19,"資料送付")</f>
        <v/>
      </c>
      <c r="H6" s="14">
        <f>COUNTIFS('架電リスト'!$C$5:$C$19,$A6,'架電リスト'!$J$5:$J$19,"アポ獲得")</f>
        <v/>
      </c>
      <c r="I6" s="14">
        <f>COUNTIFS('架電リスト'!$C$5:$C$19,$A6,'架電リスト'!$J$5:$J$19,"検討中")</f>
        <v/>
      </c>
      <c r="J6" s="14">
        <f>COUNTIFS('架電リスト'!$C$5:$C$19,$A6,'架電リスト'!$J$5:$J$19,"NG")</f>
        <v/>
      </c>
      <c r="K6" s="14">
        <f>COUNTIFS('架電リスト'!$C$5:$C$19,$A6,'架電リスト'!$J$5:$J$19,"番号不明")</f>
        <v/>
      </c>
    </row>
    <row r="7">
      <c r="A7" s="14" t="inlineStr">
        <is>
          <t>鶴岡市</t>
        </is>
      </c>
      <c r="B7" s="14">
        <f>COUNTIF('架電リスト'!$C$5:$C$19,A7)</f>
        <v/>
      </c>
      <c r="C7" s="14">
        <f>COUNTIFS('架電リスト'!$C$5:$C$19,A7,'架電リスト'!$E$5:$E$19,"&lt;&gt;")</f>
        <v/>
      </c>
      <c r="D7" s="14">
        <f>B7-COUNTIFS('架電リスト'!$C$5:$C$19,A7,'架電リスト'!$J$5:$J$19,"未架電")-COUNTIFS('架電リスト'!$C$5:$C$19,A7,'架電リスト'!$J$5:$J$19,"")</f>
        <v/>
      </c>
      <c r="E7" s="14">
        <f>COUNTIFS('架電リスト'!$C$5:$C$19,$A7,'架電リスト'!$J$5:$J$19,"不在・折返し待ち")</f>
        <v/>
      </c>
      <c r="F7" s="14">
        <f>COUNTIFS('架電リスト'!$C$5:$C$19,$A7,'架電リスト'!$J$5:$J$19,"担当者不在")</f>
        <v/>
      </c>
      <c r="G7" s="14">
        <f>COUNTIFS('架電リスト'!$C$5:$C$19,$A7,'架電リスト'!$J$5:$J$19,"資料送付")</f>
        <v/>
      </c>
      <c r="H7" s="14">
        <f>COUNTIFS('架電リスト'!$C$5:$C$19,$A7,'架電リスト'!$J$5:$J$19,"アポ獲得")</f>
        <v/>
      </c>
      <c r="I7" s="14">
        <f>COUNTIFS('架電リスト'!$C$5:$C$19,$A7,'架電リスト'!$J$5:$J$19,"検討中")</f>
        <v/>
      </c>
      <c r="J7" s="14">
        <f>COUNTIFS('架電リスト'!$C$5:$C$19,$A7,'架電リスト'!$J$5:$J$19,"NG")</f>
        <v/>
      </c>
      <c r="K7" s="14">
        <f>COUNTIFS('架電リスト'!$C$5:$C$19,$A7,'架電リスト'!$J$5:$J$19,"番号不明")</f>
        <v/>
      </c>
    </row>
    <row r="8">
      <c r="A8" s="14" t="inlineStr">
        <is>
          <t>小国町</t>
        </is>
      </c>
      <c r="B8" s="14">
        <f>COUNTIF('架電リスト'!$C$5:$C$19,A8)</f>
        <v/>
      </c>
      <c r="C8" s="14">
        <f>COUNTIFS('架電リスト'!$C$5:$C$19,A8,'架電リスト'!$E$5:$E$19,"&lt;&gt;")</f>
        <v/>
      </c>
      <c r="D8" s="14">
        <f>B8-COUNTIFS('架電リスト'!$C$5:$C$19,A8,'架電リスト'!$J$5:$J$19,"未架電")-COUNTIFS('架電リスト'!$C$5:$C$19,A8,'架電リスト'!$J$5:$J$19,"")</f>
        <v/>
      </c>
      <c r="E8" s="14">
        <f>COUNTIFS('架電リスト'!$C$5:$C$19,$A8,'架電リスト'!$J$5:$J$19,"不在・折返し待ち")</f>
        <v/>
      </c>
      <c r="F8" s="14">
        <f>COUNTIFS('架電リスト'!$C$5:$C$19,$A8,'架電リスト'!$J$5:$J$19,"担当者不在")</f>
        <v/>
      </c>
      <c r="G8" s="14">
        <f>COUNTIFS('架電リスト'!$C$5:$C$19,$A8,'架電リスト'!$J$5:$J$19,"資料送付")</f>
        <v/>
      </c>
      <c r="H8" s="14">
        <f>COUNTIFS('架電リスト'!$C$5:$C$19,$A8,'架電リスト'!$J$5:$J$19,"アポ獲得")</f>
        <v/>
      </c>
      <c r="I8" s="14">
        <f>COUNTIFS('架電リスト'!$C$5:$C$19,$A8,'架電リスト'!$J$5:$J$19,"検討中")</f>
        <v/>
      </c>
      <c r="J8" s="14">
        <f>COUNTIFS('架電リスト'!$C$5:$C$19,$A8,'架電リスト'!$J$5:$J$19,"NG")</f>
        <v/>
      </c>
      <c r="K8" s="14">
        <f>COUNTIFS('架電リスト'!$C$5:$C$19,$A8,'架電リスト'!$J$5:$J$19,"番号不明")</f>
        <v/>
      </c>
    </row>
    <row r="9">
      <c r="A9" s="14" t="inlineStr">
        <is>
          <t>新庄市</t>
        </is>
      </c>
      <c r="B9" s="14">
        <f>COUNTIF('架電リスト'!$C$5:$C$19,A9)</f>
        <v/>
      </c>
      <c r="C9" s="14">
        <f>COUNTIFS('架電リスト'!$C$5:$C$19,A9,'架電リスト'!$E$5:$E$19,"&lt;&gt;")</f>
        <v/>
      </c>
      <c r="D9" s="14">
        <f>B9-COUNTIFS('架電リスト'!$C$5:$C$19,A9,'架電リスト'!$J$5:$J$19,"未架電")-COUNTIFS('架電リスト'!$C$5:$C$19,A9,'架電リスト'!$J$5:$J$19,"")</f>
        <v/>
      </c>
      <c r="E9" s="14">
        <f>COUNTIFS('架電リスト'!$C$5:$C$19,$A9,'架電リスト'!$J$5:$J$19,"不在・折返し待ち")</f>
        <v/>
      </c>
      <c r="F9" s="14">
        <f>COUNTIFS('架電リスト'!$C$5:$C$19,$A9,'架電リスト'!$J$5:$J$19,"担当者不在")</f>
        <v/>
      </c>
      <c r="G9" s="14">
        <f>COUNTIFS('架電リスト'!$C$5:$C$19,$A9,'架電リスト'!$J$5:$J$19,"資料送付")</f>
        <v/>
      </c>
      <c r="H9" s="14">
        <f>COUNTIFS('架電リスト'!$C$5:$C$19,$A9,'架電リスト'!$J$5:$J$19,"アポ獲得")</f>
        <v/>
      </c>
      <c r="I9" s="14">
        <f>COUNTIFS('架電リスト'!$C$5:$C$19,$A9,'架電リスト'!$J$5:$J$19,"検討中")</f>
        <v/>
      </c>
      <c r="J9" s="14">
        <f>COUNTIFS('架電リスト'!$C$5:$C$19,$A9,'架電リスト'!$J$5:$J$19,"NG")</f>
        <v/>
      </c>
      <c r="K9" s="14">
        <f>COUNTIFS('架電リスト'!$C$5:$C$19,$A9,'架電リスト'!$J$5:$J$19,"番号不明")</f>
        <v/>
      </c>
    </row>
    <row r="10">
      <c r="A10" s="14" t="inlineStr">
        <is>
          <t>天童市</t>
        </is>
      </c>
      <c r="B10" s="14">
        <f>COUNTIF('架電リスト'!$C$5:$C$19,A10)</f>
        <v/>
      </c>
      <c r="C10" s="14">
        <f>COUNTIFS('架電リスト'!$C$5:$C$19,A10,'架電リスト'!$E$5:$E$19,"&lt;&gt;")</f>
        <v/>
      </c>
      <c r="D10" s="14">
        <f>B10-COUNTIFS('架電リスト'!$C$5:$C$19,A10,'架電リスト'!$J$5:$J$19,"未架電")-COUNTIFS('架電リスト'!$C$5:$C$19,A10,'架電リスト'!$J$5:$J$19,"")</f>
        <v/>
      </c>
      <c r="E10" s="14">
        <f>COUNTIFS('架電リスト'!$C$5:$C$19,$A10,'架電リスト'!$J$5:$J$19,"不在・折返し待ち")</f>
        <v/>
      </c>
      <c r="F10" s="14">
        <f>COUNTIFS('架電リスト'!$C$5:$C$19,$A10,'架電リスト'!$J$5:$J$19,"担当者不在")</f>
        <v/>
      </c>
      <c r="G10" s="14">
        <f>COUNTIFS('架電リスト'!$C$5:$C$19,$A10,'架電リスト'!$J$5:$J$19,"資料送付")</f>
        <v/>
      </c>
      <c r="H10" s="14">
        <f>COUNTIFS('架電リスト'!$C$5:$C$19,$A10,'架電リスト'!$J$5:$J$19,"アポ獲得")</f>
        <v/>
      </c>
      <c r="I10" s="14">
        <f>COUNTIFS('架電リスト'!$C$5:$C$19,$A10,'架電リスト'!$J$5:$J$19,"検討中")</f>
        <v/>
      </c>
      <c r="J10" s="14">
        <f>COUNTIFS('架電リスト'!$C$5:$C$19,$A10,'架電リスト'!$J$5:$J$19,"NG")</f>
        <v/>
      </c>
      <c r="K10" s="14">
        <f>COUNTIFS('架電リスト'!$C$5:$C$19,$A10,'架電リスト'!$J$5:$J$19,"番号不明")</f>
        <v/>
      </c>
    </row>
    <row r="11">
      <c r="A11" s="15" t="inlineStr">
        <is>
          <t>合計</t>
        </is>
      </c>
      <c r="B11" s="15">
        <f>SUM(B4:B10)</f>
        <v/>
      </c>
      <c r="C11" s="15">
        <f>SUM(C4:C10)</f>
        <v/>
      </c>
      <c r="D11" s="15">
        <f>SUM(D4:D10)</f>
        <v/>
      </c>
      <c r="E11" s="15">
        <f>SUM(E4:E10)</f>
        <v/>
      </c>
      <c r="F11" s="15">
        <f>SUM(F4:F10)</f>
        <v/>
      </c>
      <c r="G11" s="15">
        <f>SUM(G4:G10)</f>
        <v/>
      </c>
      <c r="H11" s="15">
        <f>SUM(H4:H10)</f>
        <v/>
      </c>
      <c r="I11" s="15">
        <f>SUM(I4:I10)</f>
        <v/>
      </c>
      <c r="J11" s="15">
        <f>SUM(J4:J10)</f>
        <v/>
      </c>
      <c r="K11" s="15">
        <f>SUM(K4:K10)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・出典：ご提供いただいた学校ネットの検索結果（私立高校・山形県、15校）の貼り付けデータ。並び順は都道府県ごとに元データの掲載順です。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2026-10-09T01:30:25Z</dcterms:created>
  <dcterms:modified xsi:type="dcterms:W3CDTF">2026-10-09T01:30:25Z</dcterms:modified>
</cp:coreProperties>
</file>