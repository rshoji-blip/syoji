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  <sheet name="市区町村別集計" sheetId="2" state="visible" r:id="rId2"/>
    <sheet name="使い方・注意事項" sheetId="3" state="visible" r:id="rId3"/>
  </sheets>
  <definedNames>
    <definedName name="_xlnm._FilterDatabase" localSheetId="0" hidden="1">'架電リスト'!$A$4:$O$244</definedName>
    <definedName name="_xlnm.Print_Titles" localSheetId="0">'架電リスト'!$4:$4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10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color rgb="00595959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color rgb="00595959"/>
      <sz val="8"/>
    </font>
    <font>
      <name val="Yu Gothic"/>
      <sz val="9"/>
    </font>
    <font>
      <name val="Yu Gothic"/>
      <color rgb="000563C1"/>
      <sz val="10"/>
      <u val="single"/>
    </font>
    <font>
      <name val="Yu Gothic"/>
      <b val="1"/>
      <sz val="10"/>
    </font>
    <font>
      <name val="Yu Gothic"/>
      <b val="1"/>
      <sz val="1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49" fontId="4" fillId="0" borderId="1" applyAlignment="1" pivotButton="0" quotePrefix="0" xfId="0">
      <alignment vertical="center"/>
    </xf>
    <xf numFmtId="0" fontId="4" fillId="4" borderId="1" applyAlignment="1" pivotButton="0" quotePrefix="0" xfId="0">
      <alignment horizontal="center" vertical="center"/>
    </xf>
    <xf numFmtId="164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/>
    </xf>
    <xf numFmtId="0" fontId="6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7" fillId="0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49" fontId="4" fillId="3" borderId="1" applyAlignment="1" pivotButton="0" quotePrefix="0" xfId="0">
      <alignment vertical="center"/>
    </xf>
    <xf numFmtId="0" fontId="4" fillId="6" borderId="1" applyAlignment="1" pivotButton="0" quotePrefix="0" xfId="0">
      <alignment horizontal="center" vertical="center"/>
    </xf>
    <xf numFmtId="0" fontId="4" fillId="0" borderId="1" pivotButton="0" quotePrefix="0" xfId="0"/>
    <xf numFmtId="0" fontId="8" fillId="7" borderId="1" pivotButton="0" quotePrefix="0" xfId="0"/>
    <xf numFmtId="0" fontId="9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ont>
        <color rgb="00808080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akkou.net/kou/view/index_301993.html" TargetMode="External" Id="rId1" /><Relationship Type="http://schemas.openxmlformats.org/officeDocument/2006/relationships/hyperlink" Target="https://www.gakkou.net/kou/view/index_302049.html" TargetMode="External" Id="rId2" /><Relationship Type="http://schemas.openxmlformats.org/officeDocument/2006/relationships/hyperlink" Target="https://www.gakkou.net/kou/view/index_301862.html" TargetMode="External" Id="rId3" /><Relationship Type="http://schemas.openxmlformats.org/officeDocument/2006/relationships/hyperlink" Target="https://www.gakkou.net/kou/view/index_301951.html" TargetMode="External" Id="rId4" /><Relationship Type="http://schemas.openxmlformats.org/officeDocument/2006/relationships/hyperlink" Target="https://www.gakkou.net/kou/view/index_301895.html" TargetMode="External" Id="rId5" /><Relationship Type="http://schemas.openxmlformats.org/officeDocument/2006/relationships/hyperlink" Target="https://www.gakkou.net/kou/view/index_301924.html" TargetMode="External" Id="rId6" /><Relationship Type="http://schemas.openxmlformats.org/officeDocument/2006/relationships/hyperlink" Target="https://www.gakkou.net/kou/view/index_301913.html" TargetMode="External" Id="rId7" /><Relationship Type="http://schemas.openxmlformats.org/officeDocument/2006/relationships/hyperlink" Target="https://www.gakkou.net/kou/view/index_301912.html" TargetMode="External" Id="rId8" /><Relationship Type="http://schemas.openxmlformats.org/officeDocument/2006/relationships/hyperlink" Target="https://www.gakkou.net/kou/view/index_301874.html" TargetMode="External" Id="rId9" /><Relationship Type="http://schemas.openxmlformats.org/officeDocument/2006/relationships/hyperlink" Target="https://www.gakkou.net/kou/view/index_301880.html" TargetMode="External" Id="rId10" /><Relationship Type="http://schemas.openxmlformats.org/officeDocument/2006/relationships/hyperlink" Target="https://www.gakkou.net/kou/view/index_302322.html" TargetMode="External" Id="rId11" /><Relationship Type="http://schemas.openxmlformats.org/officeDocument/2006/relationships/hyperlink" Target="https://www.gakkou.net/kou/view/index_302223.html" TargetMode="External" Id="rId12" /><Relationship Type="http://schemas.openxmlformats.org/officeDocument/2006/relationships/hyperlink" Target="https://www.gakkou.net/kou/view/index_301992.html" TargetMode="External" Id="rId13" /><Relationship Type="http://schemas.openxmlformats.org/officeDocument/2006/relationships/hyperlink" Target="https://www.gakkou.net/kou/view/index_306333.html" TargetMode="External" Id="rId14" /><Relationship Type="http://schemas.openxmlformats.org/officeDocument/2006/relationships/hyperlink" Target="https://www.gakkou.net/kou/view/index_301916.html" TargetMode="External" Id="rId15" /><Relationship Type="http://schemas.openxmlformats.org/officeDocument/2006/relationships/hyperlink" Target="https://www.gakkou.net/kou/view/index_302331.html" TargetMode="External" Id="rId16" /><Relationship Type="http://schemas.openxmlformats.org/officeDocument/2006/relationships/hyperlink" Target="https://www.gakkou.net/kou/view/index_302093.html" TargetMode="External" Id="rId17" /><Relationship Type="http://schemas.openxmlformats.org/officeDocument/2006/relationships/hyperlink" Target="https://www.gakkou.net/kou/view/index_301839.html" TargetMode="External" Id="rId18" /><Relationship Type="http://schemas.openxmlformats.org/officeDocument/2006/relationships/hyperlink" Target="https://www.gakkou.net/kou/view/index_302373.html" TargetMode="External" Id="rId19" /><Relationship Type="http://schemas.openxmlformats.org/officeDocument/2006/relationships/hyperlink" Target="https://www.gakkou.net/kou/view/index_302133.html" TargetMode="External" Id="rId20" /><Relationship Type="http://schemas.openxmlformats.org/officeDocument/2006/relationships/hyperlink" Target="https://www.gakkou.net/kou/view/index_306660.html" TargetMode="External" Id="rId21" /><Relationship Type="http://schemas.openxmlformats.org/officeDocument/2006/relationships/hyperlink" Target="https://www.gakkou.net/kou/view/index_302029.html" TargetMode="External" Id="rId22" /><Relationship Type="http://schemas.openxmlformats.org/officeDocument/2006/relationships/hyperlink" Target="https://www.gakkou.net/kou/view/index_302177.html" TargetMode="External" Id="rId23" /><Relationship Type="http://schemas.openxmlformats.org/officeDocument/2006/relationships/hyperlink" Target="https://www.gakkou.net/kou/view/index_301943.html" TargetMode="External" Id="rId24" /><Relationship Type="http://schemas.openxmlformats.org/officeDocument/2006/relationships/hyperlink" Target="https://www.gakkou.net/kou/view/index_301845.html" TargetMode="External" Id="rId25" /><Relationship Type="http://schemas.openxmlformats.org/officeDocument/2006/relationships/hyperlink" Target="https://www.gakkou.net/kou/view/index_301832.html" TargetMode="External" Id="rId26" /><Relationship Type="http://schemas.openxmlformats.org/officeDocument/2006/relationships/hyperlink" Target="https://www.gakkou.net/kou/view/index_302104.html" TargetMode="External" Id="rId27" /><Relationship Type="http://schemas.openxmlformats.org/officeDocument/2006/relationships/hyperlink" Target="https://www.gakkou.net/kou/view/index_302190.html" TargetMode="External" Id="rId28" /><Relationship Type="http://schemas.openxmlformats.org/officeDocument/2006/relationships/hyperlink" Target="https://www.gakkou.net/kou/view/index_301829.html" TargetMode="External" Id="rId29" /><Relationship Type="http://schemas.openxmlformats.org/officeDocument/2006/relationships/hyperlink" Target="https://www.gakkou.net/kou/view/index_302059.html" TargetMode="External" Id="rId30" /><Relationship Type="http://schemas.openxmlformats.org/officeDocument/2006/relationships/hyperlink" Target="https://www.gakkou.net/kou/view/index_301987.html" TargetMode="External" Id="rId31" /><Relationship Type="http://schemas.openxmlformats.org/officeDocument/2006/relationships/hyperlink" Target="https://www.gakkou.net/kou/view/index_302189.html" TargetMode="External" Id="rId32" /><Relationship Type="http://schemas.openxmlformats.org/officeDocument/2006/relationships/hyperlink" Target="https://www.gakkou.net/kou/view/index_302176.html" TargetMode="External" Id="rId33" /><Relationship Type="http://schemas.openxmlformats.org/officeDocument/2006/relationships/hyperlink" Target="https://www.gakkou.net/kou/view/index_301928.html" TargetMode="External" Id="rId34" /><Relationship Type="http://schemas.openxmlformats.org/officeDocument/2006/relationships/hyperlink" Target="https://www.gakkou.net/kou/view/index_301942.html" TargetMode="External" Id="rId35" /><Relationship Type="http://schemas.openxmlformats.org/officeDocument/2006/relationships/hyperlink" Target="https://www.gakkou.net/kou/view/index_302235.html" TargetMode="External" Id="rId36" /><Relationship Type="http://schemas.openxmlformats.org/officeDocument/2006/relationships/hyperlink" Target="https://www.gakkou.net/kou/view/index_302234.html" TargetMode="External" Id="rId37" /><Relationship Type="http://schemas.openxmlformats.org/officeDocument/2006/relationships/hyperlink" Target="https://www.gakkou.net/kou/view/index_301961.html" TargetMode="External" Id="rId38" /><Relationship Type="http://schemas.openxmlformats.org/officeDocument/2006/relationships/hyperlink" Target="https://www.gakkou.net/kou/view/index_301823.html" TargetMode="External" Id="rId39" /><Relationship Type="http://schemas.openxmlformats.org/officeDocument/2006/relationships/hyperlink" Target="https://www.gakkou.net/kou/view/index_302314.html" TargetMode="External" Id="rId40" /><Relationship Type="http://schemas.openxmlformats.org/officeDocument/2006/relationships/hyperlink" Target="https://www.gakkou.net/kou/view/index_301826.html" TargetMode="External" Id="rId41" /><Relationship Type="http://schemas.openxmlformats.org/officeDocument/2006/relationships/hyperlink" Target="https://www.gakkou.net/kou/view/index_302269.html" TargetMode="External" Id="rId42" /><Relationship Type="http://schemas.openxmlformats.org/officeDocument/2006/relationships/hyperlink" Target="https://www.gakkou.net/kou/view/index_301831.html" TargetMode="External" Id="rId43" /><Relationship Type="http://schemas.openxmlformats.org/officeDocument/2006/relationships/hyperlink" Target="https://www.gakkou.net/kou/view/index_302268.html" TargetMode="External" Id="rId44" /><Relationship Type="http://schemas.openxmlformats.org/officeDocument/2006/relationships/hyperlink" Target="https://www.gakkou.net/kou/view/index_302106.html" TargetMode="External" Id="rId45" /><Relationship Type="http://schemas.openxmlformats.org/officeDocument/2006/relationships/hyperlink" Target="https://www.gakkou.net/kou/view/index_301872.html" TargetMode="External" Id="rId46" /><Relationship Type="http://schemas.openxmlformats.org/officeDocument/2006/relationships/hyperlink" Target="https://www.gakkou.net/kou/view/index_301903.html" TargetMode="External" Id="rId47" /><Relationship Type="http://schemas.openxmlformats.org/officeDocument/2006/relationships/hyperlink" Target="https://www.gakkou.net/kou/view/index_301905.html" TargetMode="External" Id="rId48" /><Relationship Type="http://schemas.openxmlformats.org/officeDocument/2006/relationships/hyperlink" Target="https://www.gakkou.net/kou/view/index_301904.html" TargetMode="External" Id="rId49" /><Relationship Type="http://schemas.openxmlformats.org/officeDocument/2006/relationships/hyperlink" Target="https://www.gakkou.net/kou/view/index_302097.html" TargetMode="External" Id="rId50" /><Relationship Type="http://schemas.openxmlformats.org/officeDocument/2006/relationships/hyperlink" Target="https://www.gakkou.net/kou/view/index_302337.html" TargetMode="External" Id="rId51" /><Relationship Type="http://schemas.openxmlformats.org/officeDocument/2006/relationships/hyperlink" Target="https://www.gakkou.net/kou/view/index_301890.html" TargetMode="External" Id="rId52" /><Relationship Type="http://schemas.openxmlformats.org/officeDocument/2006/relationships/hyperlink" Target="https://www.gakkou.net/kou/view/index_302151.html" TargetMode="External" Id="rId53" /><Relationship Type="http://schemas.openxmlformats.org/officeDocument/2006/relationships/hyperlink" Target="https://www.gakkou.net/kou/view/index_302249.html" TargetMode="External" Id="rId54" /><Relationship Type="http://schemas.openxmlformats.org/officeDocument/2006/relationships/hyperlink" Target="https://www.gakkou.net/kou/view/index_302301.html" TargetMode="External" Id="rId55" /><Relationship Type="http://schemas.openxmlformats.org/officeDocument/2006/relationships/hyperlink" Target="https://www.gakkou.net/kou/view/index_302018.html" TargetMode="External" Id="rId56" /><Relationship Type="http://schemas.openxmlformats.org/officeDocument/2006/relationships/hyperlink" Target="https://www.gakkou.net/kou/view/index_301843.html" TargetMode="External" Id="rId57" /><Relationship Type="http://schemas.openxmlformats.org/officeDocument/2006/relationships/hyperlink" Target="https://www.gakkou.net/kou/view/index_302155.html" TargetMode="External" Id="rId58" /><Relationship Type="http://schemas.openxmlformats.org/officeDocument/2006/relationships/hyperlink" Target="https://www.gakkou.net/kou/view/index_302100.html" TargetMode="External" Id="rId59" /><Relationship Type="http://schemas.openxmlformats.org/officeDocument/2006/relationships/hyperlink" Target="https://www.gakkou.net/kou/view/index_302026.html" TargetMode="External" Id="rId60" /><Relationship Type="http://schemas.openxmlformats.org/officeDocument/2006/relationships/hyperlink" Target="https://www.gakkou.net/kou/view/index_302048.html" TargetMode="External" Id="rId61" /><Relationship Type="http://schemas.openxmlformats.org/officeDocument/2006/relationships/hyperlink" Target="https://www.gakkou.net/kou/view/index_302172.html" TargetMode="External" Id="rId62" /><Relationship Type="http://schemas.openxmlformats.org/officeDocument/2006/relationships/hyperlink" Target="https://www.gakkou.net/kou/view/index_302261.html" TargetMode="External" Id="rId63" /><Relationship Type="http://schemas.openxmlformats.org/officeDocument/2006/relationships/hyperlink" Target="https://www.gakkou.net/kou/view/index_302083.html" TargetMode="External" Id="rId64" /><Relationship Type="http://schemas.openxmlformats.org/officeDocument/2006/relationships/hyperlink" Target="https://www.gakkou.net/kou/view/index_301909.html" TargetMode="External" Id="rId65" /><Relationship Type="http://schemas.openxmlformats.org/officeDocument/2006/relationships/hyperlink" Target="https://www.gakkou.net/kou/view/index_302375.html" TargetMode="External" Id="rId66" /><Relationship Type="http://schemas.openxmlformats.org/officeDocument/2006/relationships/hyperlink" Target="https://www.gakkou.net/kou/view/index_302122.html" TargetMode="External" Id="rId67" /><Relationship Type="http://schemas.openxmlformats.org/officeDocument/2006/relationships/hyperlink" Target="https://www.gakkou.net/kou/view/index_302086.html" TargetMode="External" Id="rId68" /><Relationship Type="http://schemas.openxmlformats.org/officeDocument/2006/relationships/hyperlink" Target="https://www.gakkou.net/kou/view/index_302077.html" TargetMode="External" Id="rId69" /><Relationship Type="http://schemas.openxmlformats.org/officeDocument/2006/relationships/hyperlink" Target="https://www.gakkou.net/kou/view/index_301933.html" TargetMode="External" Id="rId70" /><Relationship Type="http://schemas.openxmlformats.org/officeDocument/2006/relationships/hyperlink" Target="https://www.gakkou.net/kou/view/index_301937.html" TargetMode="External" Id="rId71" /><Relationship Type="http://schemas.openxmlformats.org/officeDocument/2006/relationships/hyperlink" Target="https://www.gakkou.net/kou/view/index_302108.html" TargetMode="External" Id="rId72" /><Relationship Type="http://schemas.openxmlformats.org/officeDocument/2006/relationships/hyperlink" Target="https://www.gakkou.net/kou/view/index_302014.html" TargetMode="External" Id="rId73" /><Relationship Type="http://schemas.openxmlformats.org/officeDocument/2006/relationships/hyperlink" Target="https://www.gakkou.net/kou/view/index_302022.html" TargetMode="External" Id="rId74" /><Relationship Type="http://schemas.openxmlformats.org/officeDocument/2006/relationships/hyperlink" Target="https://www.gakkou.net/kou/view/index_302017.html" TargetMode="External" Id="rId75" /><Relationship Type="http://schemas.openxmlformats.org/officeDocument/2006/relationships/hyperlink" Target="https://www.gakkou.net/kou/view/index_302011.html" TargetMode="External" Id="rId76" /><Relationship Type="http://schemas.openxmlformats.org/officeDocument/2006/relationships/hyperlink" Target="https://www.gakkou.net/kou/view/index_302204.html" TargetMode="External" Id="rId77" /><Relationship Type="http://schemas.openxmlformats.org/officeDocument/2006/relationships/hyperlink" Target="https://www.gakkou.net/kou/view/index_301854.html" TargetMode="External" Id="rId78" /><Relationship Type="http://schemas.openxmlformats.org/officeDocument/2006/relationships/hyperlink" Target="https://www.gakkou.net/kou/view/index_301855.html" TargetMode="External" Id="rId79" /><Relationship Type="http://schemas.openxmlformats.org/officeDocument/2006/relationships/hyperlink" Target="https://www.gakkou.net/kou/view/index_302050.html" TargetMode="External" Id="rId80" /><Relationship Type="http://schemas.openxmlformats.org/officeDocument/2006/relationships/hyperlink" Target="https://www.gakkou.net/kou/view/index_302087.html" TargetMode="External" Id="rId81" /><Relationship Type="http://schemas.openxmlformats.org/officeDocument/2006/relationships/hyperlink" Target="https://www.gakkou.net/kou/view/index_301970.html" TargetMode="External" Id="rId82" /><Relationship Type="http://schemas.openxmlformats.org/officeDocument/2006/relationships/hyperlink" Target="https://www.gakkou.net/kou/view/index_302208.html" TargetMode="External" Id="rId83" /><Relationship Type="http://schemas.openxmlformats.org/officeDocument/2006/relationships/hyperlink" Target="https://www.gakkou.net/kou/view/index_302181.html" TargetMode="External" Id="rId84" /><Relationship Type="http://schemas.openxmlformats.org/officeDocument/2006/relationships/hyperlink" Target="https://www.gakkou.net/kou/view/index_302085.html" TargetMode="External" Id="rId85" /><Relationship Type="http://schemas.openxmlformats.org/officeDocument/2006/relationships/hyperlink" Target="https://www.gakkou.net/kou/view/index_301867.html" TargetMode="External" Id="rId86" /><Relationship Type="http://schemas.openxmlformats.org/officeDocument/2006/relationships/hyperlink" Target="https://www.gakkou.net/kou/view/index_302239.html" TargetMode="External" Id="rId87" /><Relationship Type="http://schemas.openxmlformats.org/officeDocument/2006/relationships/hyperlink" Target="https://www.gakkou.net/kou/view/index_302079.html" TargetMode="External" Id="rId88" /><Relationship Type="http://schemas.openxmlformats.org/officeDocument/2006/relationships/hyperlink" Target="https://www.gakkou.net/kou/view/index_302284.html" TargetMode="External" Id="rId89" /><Relationship Type="http://schemas.openxmlformats.org/officeDocument/2006/relationships/hyperlink" Target="https://www.gakkou.net/kou/view/index_301917.html" TargetMode="External" Id="rId90" /><Relationship Type="http://schemas.openxmlformats.org/officeDocument/2006/relationships/hyperlink" Target="https://www.gakkou.net/kou/view/index_302184.html" TargetMode="External" Id="rId91" /><Relationship Type="http://schemas.openxmlformats.org/officeDocument/2006/relationships/hyperlink" Target="https://www.gakkou.net/kou/view/index_301925.html" TargetMode="External" Id="rId92" /><Relationship Type="http://schemas.openxmlformats.org/officeDocument/2006/relationships/hyperlink" Target="https://www.gakkou.net/kou/view/index_302274.html" TargetMode="External" Id="rId93" /><Relationship Type="http://schemas.openxmlformats.org/officeDocument/2006/relationships/hyperlink" Target="https://www.gakkou.net/kou/view/index_301837.html" TargetMode="External" Id="rId94" /><Relationship Type="http://schemas.openxmlformats.org/officeDocument/2006/relationships/hyperlink" Target="https://www.gakkou.net/kou/view/index_302139.html" TargetMode="External" Id="rId95" /><Relationship Type="http://schemas.openxmlformats.org/officeDocument/2006/relationships/hyperlink" Target="https://www.gakkou.net/kou/view/index_302052.html" TargetMode="External" Id="rId96" /><Relationship Type="http://schemas.openxmlformats.org/officeDocument/2006/relationships/hyperlink" Target="https://www.gakkou.net/kou/view/index_302183.html" TargetMode="External" Id="rId97" /><Relationship Type="http://schemas.openxmlformats.org/officeDocument/2006/relationships/hyperlink" Target="https://www.gakkou.net/kou/view/index_301952.html" TargetMode="External" Id="rId98" /><Relationship Type="http://schemas.openxmlformats.org/officeDocument/2006/relationships/hyperlink" Target="https://www.gakkou.net/kou/view/index_302066.html" TargetMode="External" Id="rId99" /><Relationship Type="http://schemas.openxmlformats.org/officeDocument/2006/relationships/hyperlink" Target="https://www.gakkou.net/kou/view/index_302362.html" TargetMode="External" Id="rId100" /><Relationship Type="http://schemas.openxmlformats.org/officeDocument/2006/relationships/hyperlink" Target="https://www.gakkou.net/kou/view/index_302196.html" TargetMode="External" Id="rId101" /><Relationship Type="http://schemas.openxmlformats.org/officeDocument/2006/relationships/hyperlink" Target="https://www.gakkou.net/kou/view/index_302210.html" TargetMode="External" Id="rId102" /><Relationship Type="http://schemas.openxmlformats.org/officeDocument/2006/relationships/hyperlink" Target="https://www.gakkou.net/kou/view/index_301842.html" TargetMode="External" Id="rId103" /><Relationship Type="http://schemas.openxmlformats.org/officeDocument/2006/relationships/hyperlink" Target="https://www.gakkou.net/kou/view/index_302154.html" TargetMode="External" Id="rId104" /><Relationship Type="http://schemas.openxmlformats.org/officeDocument/2006/relationships/hyperlink" Target="https://www.gakkou.net/kou/view/index_302186.html" TargetMode="External" Id="rId105" /><Relationship Type="http://schemas.openxmlformats.org/officeDocument/2006/relationships/hyperlink" Target="https://www.gakkou.net/kou/view/index_302153.html" TargetMode="External" Id="rId106" /><Relationship Type="http://schemas.openxmlformats.org/officeDocument/2006/relationships/hyperlink" Target="https://www.gakkou.net/kou/view/index_301921.html" TargetMode="External" Id="rId107" /><Relationship Type="http://schemas.openxmlformats.org/officeDocument/2006/relationships/hyperlink" Target="https://www.gakkou.net/kou/view/index_301926.html" TargetMode="External" Id="rId108" /><Relationship Type="http://schemas.openxmlformats.org/officeDocument/2006/relationships/hyperlink" Target="https://www.gakkou.net/kou/view/index_302232.html" TargetMode="External" Id="rId109" /><Relationship Type="http://schemas.openxmlformats.org/officeDocument/2006/relationships/hyperlink" Target="https://www.gakkou.net/kou/view/index_301868.html" TargetMode="External" Id="rId110" /><Relationship Type="http://schemas.openxmlformats.org/officeDocument/2006/relationships/hyperlink" Target="https://www.gakkou.net/kou/view/index_302105.html" TargetMode="External" Id="rId111" /><Relationship Type="http://schemas.openxmlformats.org/officeDocument/2006/relationships/hyperlink" Target="https://www.gakkou.net/kou/view/index_302126.html" TargetMode="External" Id="rId112" /><Relationship Type="http://schemas.openxmlformats.org/officeDocument/2006/relationships/hyperlink" Target="https://www.gakkou.net/kou/view/index_302129.html" TargetMode="External" Id="rId113" /><Relationship Type="http://schemas.openxmlformats.org/officeDocument/2006/relationships/hyperlink" Target="https://www.gakkou.net/kou/view/index_301827.html" TargetMode="External" Id="rId114" /><Relationship Type="http://schemas.openxmlformats.org/officeDocument/2006/relationships/hyperlink" Target="https://www.gakkou.net/kou/view/index_301853.html" TargetMode="External" Id="rId115" /><Relationship Type="http://schemas.openxmlformats.org/officeDocument/2006/relationships/hyperlink" Target="https://www.gakkou.net/kou/view/index_302110.html" TargetMode="External" Id="rId116" /><Relationship Type="http://schemas.openxmlformats.org/officeDocument/2006/relationships/hyperlink" Target="https://www.gakkou.net/kou/view/index_302306.html" TargetMode="External" Id="rId117" /><Relationship Type="http://schemas.openxmlformats.org/officeDocument/2006/relationships/hyperlink" Target="https://www.gakkou.net/kou/view/index_301918.html" TargetMode="External" Id="rId118" /><Relationship Type="http://schemas.openxmlformats.org/officeDocument/2006/relationships/hyperlink" Target="https://www.gakkou.net/kou/view/index_302023.html" TargetMode="External" Id="rId119" /><Relationship Type="http://schemas.openxmlformats.org/officeDocument/2006/relationships/hyperlink" Target="https://www.gakkou.net/kou/view/index_302080.html" TargetMode="External" Id="rId120" /><Relationship Type="http://schemas.openxmlformats.org/officeDocument/2006/relationships/hyperlink" Target="https://www.gakkou.net/kou/view/index_302167.html" TargetMode="External" Id="rId121" /><Relationship Type="http://schemas.openxmlformats.org/officeDocument/2006/relationships/hyperlink" Target="https://www.gakkou.net/kou/view/index_302272.html" TargetMode="External" Id="rId122" /><Relationship Type="http://schemas.openxmlformats.org/officeDocument/2006/relationships/hyperlink" Target="https://www.gakkou.net/kou/view/index_302243.html" TargetMode="External" Id="rId123" /><Relationship Type="http://schemas.openxmlformats.org/officeDocument/2006/relationships/hyperlink" Target="https://www.gakkou.net/kou/view/index_301873.html" TargetMode="External" Id="rId124" /><Relationship Type="http://schemas.openxmlformats.org/officeDocument/2006/relationships/hyperlink" Target="https://www.gakkou.net/kou/view/index_301927.html" TargetMode="External" Id="rId125" /><Relationship Type="http://schemas.openxmlformats.org/officeDocument/2006/relationships/hyperlink" Target="https://www.gakkou.net/kou/view/index_302270.html" TargetMode="External" Id="rId126" /><Relationship Type="http://schemas.openxmlformats.org/officeDocument/2006/relationships/hyperlink" Target="https://www.gakkou.net/kou/view/index_302285.html" TargetMode="External" Id="rId127" /><Relationship Type="http://schemas.openxmlformats.org/officeDocument/2006/relationships/hyperlink" Target="https://www.gakkou.net/kou/view/index_302328.html" TargetMode="External" Id="rId128" /><Relationship Type="http://schemas.openxmlformats.org/officeDocument/2006/relationships/hyperlink" Target="https://www.gakkou.net/kou/view/index_302115.html" TargetMode="External" Id="rId129" /><Relationship Type="http://schemas.openxmlformats.org/officeDocument/2006/relationships/hyperlink" Target="https://www.gakkou.net/kou/view/index_302370.html" TargetMode="External" Id="rId130" /><Relationship Type="http://schemas.openxmlformats.org/officeDocument/2006/relationships/hyperlink" Target="https://www.gakkou.net/kou/view/index_302074.html" TargetMode="External" Id="rId131" /><Relationship Type="http://schemas.openxmlformats.org/officeDocument/2006/relationships/hyperlink" Target="https://www.gakkou.net/kou/view/index_306564.html" TargetMode="External" Id="rId132" /><Relationship Type="http://schemas.openxmlformats.org/officeDocument/2006/relationships/hyperlink" Target="https://www.gakkou.net/kou/view/index_302096.html" TargetMode="External" Id="rId133" /><Relationship Type="http://schemas.openxmlformats.org/officeDocument/2006/relationships/hyperlink" Target="https://www.gakkou.net/kou/view/index_302212.html" TargetMode="External" Id="rId134" /><Relationship Type="http://schemas.openxmlformats.org/officeDocument/2006/relationships/hyperlink" Target="https://www.gakkou.net/kou/view/index_301847.html" TargetMode="External" Id="rId135" /><Relationship Type="http://schemas.openxmlformats.org/officeDocument/2006/relationships/hyperlink" Target="https://www.gakkou.net/kou/view/index_301891.html" TargetMode="External" Id="rId136" /><Relationship Type="http://schemas.openxmlformats.org/officeDocument/2006/relationships/hyperlink" Target="https://www.gakkou.net/kou/view/index_302164.html" TargetMode="External" Id="rId137" /><Relationship Type="http://schemas.openxmlformats.org/officeDocument/2006/relationships/hyperlink" Target="https://www.gakkou.net/kou/view/index_302262.html" TargetMode="External" Id="rId138" /><Relationship Type="http://schemas.openxmlformats.org/officeDocument/2006/relationships/hyperlink" Target="https://www.gakkou.net/kou/view/index_301841.html" TargetMode="External" Id="rId139" /><Relationship Type="http://schemas.openxmlformats.org/officeDocument/2006/relationships/hyperlink" Target="https://www.gakkou.net/kou/view/index_302197.html" TargetMode="External" Id="rId140" /><Relationship Type="http://schemas.openxmlformats.org/officeDocument/2006/relationships/hyperlink" Target="https://www.gakkou.net/kou/view/index_302308.html" TargetMode="External" Id="rId141" /><Relationship Type="http://schemas.openxmlformats.org/officeDocument/2006/relationships/hyperlink" Target="https://www.gakkou.net/kou/view/index_302305.html" TargetMode="External" Id="rId142" /><Relationship Type="http://schemas.openxmlformats.org/officeDocument/2006/relationships/hyperlink" Target="https://www.gakkou.net/kou/view/index_301897.html" TargetMode="External" Id="rId143" /><Relationship Type="http://schemas.openxmlformats.org/officeDocument/2006/relationships/hyperlink" Target="https://www.gakkou.net/kou/view/index_302116.html" TargetMode="External" Id="rId144" /><Relationship Type="http://schemas.openxmlformats.org/officeDocument/2006/relationships/hyperlink" Target="https://www.gakkou.net/kou/view/index_302117.html" TargetMode="External" Id="rId145" /><Relationship Type="http://schemas.openxmlformats.org/officeDocument/2006/relationships/hyperlink" Target="https://www.gakkou.net/kou/view/index_302134.html" TargetMode="External" Id="rId146" /><Relationship Type="http://schemas.openxmlformats.org/officeDocument/2006/relationships/hyperlink" Target="https://www.gakkou.net/kou/view/index_302291.html" TargetMode="External" Id="rId147" /><Relationship Type="http://schemas.openxmlformats.org/officeDocument/2006/relationships/hyperlink" Target="https://www.gakkou.net/kou/view/index_301852.html" TargetMode="External" Id="rId148" /><Relationship Type="http://schemas.openxmlformats.org/officeDocument/2006/relationships/hyperlink" Target="https://www.gakkou.net/kou/view/index_306330.html" TargetMode="External" Id="rId149" /><Relationship Type="http://schemas.openxmlformats.org/officeDocument/2006/relationships/hyperlink" Target="https://www.gakkou.net/kou/view/index_301900.html" TargetMode="External" Id="rId150" /><Relationship Type="http://schemas.openxmlformats.org/officeDocument/2006/relationships/hyperlink" Target="https://www.gakkou.net/kou/view/index_301840.html" TargetMode="External" Id="rId151" /><Relationship Type="http://schemas.openxmlformats.org/officeDocument/2006/relationships/hyperlink" Target="https://www.gakkou.net/kou/view/index_302198.html" TargetMode="External" Id="rId152" /><Relationship Type="http://schemas.openxmlformats.org/officeDocument/2006/relationships/hyperlink" Target="https://www.gakkou.net/kou/view/index_302045.html" TargetMode="External" Id="rId153" /><Relationship Type="http://schemas.openxmlformats.org/officeDocument/2006/relationships/hyperlink" Target="https://www.gakkou.net/kou/view/index_302039.html" TargetMode="External" Id="rId154" /><Relationship Type="http://schemas.openxmlformats.org/officeDocument/2006/relationships/hyperlink" Target="https://www.gakkou.net/kou/view/index_302300.html" TargetMode="External" Id="rId155" /><Relationship Type="http://schemas.openxmlformats.org/officeDocument/2006/relationships/hyperlink" Target="https://www.gakkou.net/kou/view/index_302053.html" TargetMode="External" Id="rId156" /><Relationship Type="http://schemas.openxmlformats.org/officeDocument/2006/relationships/hyperlink" Target="https://www.gakkou.net/kou/view/index_301923.html" TargetMode="External" Id="rId157" /><Relationship Type="http://schemas.openxmlformats.org/officeDocument/2006/relationships/hyperlink" Target="https://www.gakkou.net/kou/view/index_302257.html" TargetMode="External" Id="rId158" /><Relationship Type="http://schemas.openxmlformats.org/officeDocument/2006/relationships/hyperlink" Target="https://www.gakkou.net/kou/view/index_302114.html" TargetMode="External" Id="rId159" /><Relationship Type="http://schemas.openxmlformats.org/officeDocument/2006/relationships/hyperlink" Target="https://www.gakkou.net/kou/view/index_302103.html" TargetMode="External" Id="rId160" /><Relationship Type="http://schemas.openxmlformats.org/officeDocument/2006/relationships/hyperlink" Target="https://www.gakkou.net/kou/view/index_302094.html" TargetMode="External" Id="rId161" /><Relationship Type="http://schemas.openxmlformats.org/officeDocument/2006/relationships/hyperlink" Target="https://www.gakkou.net/kou/view/index_302276.html" TargetMode="External" Id="rId162" /><Relationship Type="http://schemas.openxmlformats.org/officeDocument/2006/relationships/hyperlink" Target="https://www.gakkou.net/kou/view/index_302156.html" TargetMode="External" Id="rId163" /><Relationship Type="http://schemas.openxmlformats.org/officeDocument/2006/relationships/hyperlink" Target="https://www.gakkou.net/kou/view/index_302368.html" TargetMode="External" Id="rId164" /><Relationship Type="http://schemas.openxmlformats.org/officeDocument/2006/relationships/hyperlink" Target="https://www.gakkou.net/kou/view/index_302267.html" TargetMode="External" Id="rId165" /><Relationship Type="http://schemas.openxmlformats.org/officeDocument/2006/relationships/hyperlink" Target="https://www.gakkou.net/kou/view/index_302246.html" TargetMode="External" Id="rId166" /><Relationship Type="http://schemas.openxmlformats.org/officeDocument/2006/relationships/hyperlink" Target="https://www.gakkou.net/kou/view/index_301861.html" TargetMode="External" Id="rId167" /><Relationship Type="http://schemas.openxmlformats.org/officeDocument/2006/relationships/hyperlink" Target="https://www.gakkou.net/kou/view/index_301828.html" TargetMode="External" Id="rId168" /><Relationship Type="http://schemas.openxmlformats.org/officeDocument/2006/relationships/hyperlink" Target="https://www.gakkou.net/kou/view/index_301892.html" TargetMode="External" Id="rId169" /><Relationship Type="http://schemas.openxmlformats.org/officeDocument/2006/relationships/hyperlink" Target="https://www.gakkou.net/kou/view/index_301901.html" TargetMode="External" Id="rId170" /><Relationship Type="http://schemas.openxmlformats.org/officeDocument/2006/relationships/hyperlink" Target="https://www.gakkou.net/kou/view/index_302061.html" TargetMode="External" Id="rId171" /><Relationship Type="http://schemas.openxmlformats.org/officeDocument/2006/relationships/hyperlink" Target="https://www.gakkou.net/kou/view/index_302188.html" TargetMode="External" Id="rId172" /><Relationship Type="http://schemas.openxmlformats.org/officeDocument/2006/relationships/hyperlink" Target="https://www.gakkou.net/kou/view/index_302185.html" TargetMode="External" Id="rId173" /><Relationship Type="http://schemas.openxmlformats.org/officeDocument/2006/relationships/hyperlink" Target="https://www.gakkou.net/kou/view/index_301899.html" TargetMode="External" Id="rId174" /><Relationship Type="http://schemas.openxmlformats.org/officeDocument/2006/relationships/hyperlink" Target="https://www.gakkou.net/kou/view/index_302075.html" TargetMode="External" Id="rId175" /><Relationship Type="http://schemas.openxmlformats.org/officeDocument/2006/relationships/hyperlink" Target="https://www.gakkou.net/kou/view/index_302003.html" TargetMode="External" Id="rId176" /><Relationship Type="http://schemas.openxmlformats.org/officeDocument/2006/relationships/hyperlink" Target="https://www.gakkou.net/kou/view/index_301838.html" TargetMode="External" Id="rId177" /><Relationship Type="http://schemas.openxmlformats.org/officeDocument/2006/relationships/hyperlink" Target="https://www.gakkou.net/kou/view/index_302140.html" TargetMode="External" Id="rId178" /><Relationship Type="http://schemas.openxmlformats.org/officeDocument/2006/relationships/hyperlink" Target="https://www.gakkou.net/kou/view/index_302068.html" TargetMode="External" Id="rId179" /><Relationship Type="http://schemas.openxmlformats.org/officeDocument/2006/relationships/hyperlink" Target="https://www.gakkou.net/kou/view/index_302089.html" TargetMode="External" Id="rId180" /><Relationship Type="http://schemas.openxmlformats.org/officeDocument/2006/relationships/hyperlink" Target="https://www.gakkou.net/kou/view/index_302042.html" TargetMode="External" Id="rId181" /><Relationship Type="http://schemas.openxmlformats.org/officeDocument/2006/relationships/hyperlink" Target="https://www.gakkou.net/kou/view/index_302283.html" TargetMode="External" Id="rId182" /><Relationship Type="http://schemas.openxmlformats.org/officeDocument/2006/relationships/hyperlink" Target="https://www.gakkou.net/kou/view/index_302092.html" TargetMode="External" Id="rId183" /><Relationship Type="http://schemas.openxmlformats.org/officeDocument/2006/relationships/hyperlink" Target="https://www.gakkou.net/kou/view/index_301972.html" TargetMode="External" Id="rId184" /><Relationship Type="http://schemas.openxmlformats.org/officeDocument/2006/relationships/hyperlink" Target="https://www.gakkou.net/kou/view/index_302330.html" TargetMode="External" Id="rId185" /><Relationship Type="http://schemas.openxmlformats.org/officeDocument/2006/relationships/hyperlink" Target="https://www.gakkou.net/kou/view/index_302161.html" TargetMode="External" Id="rId186" /><Relationship Type="http://schemas.openxmlformats.org/officeDocument/2006/relationships/hyperlink" Target="https://www.gakkou.net/kou/view/index_302168.html" TargetMode="External" Id="rId187" /><Relationship Type="http://schemas.openxmlformats.org/officeDocument/2006/relationships/hyperlink" Target="https://www.gakkou.net/kou/view/index_301896.html" TargetMode="External" Id="rId188" /><Relationship Type="http://schemas.openxmlformats.org/officeDocument/2006/relationships/hyperlink" Target="https://www.gakkou.net/kou/view/index_302209.html" TargetMode="External" Id="rId189" /><Relationship Type="http://schemas.openxmlformats.org/officeDocument/2006/relationships/hyperlink" Target="https://www.gakkou.net/kou/view/index_302319.html" TargetMode="External" Id="rId190" /><Relationship Type="http://schemas.openxmlformats.org/officeDocument/2006/relationships/hyperlink" Target="https://www.gakkou.net/kou/view/index_302320.html" TargetMode="External" Id="rId191" /><Relationship Type="http://schemas.openxmlformats.org/officeDocument/2006/relationships/hyperlink" Target="https://www.gakkou.net/kou/view/index_302036.html" TargetMode="External" Id="rId192" /><Relationship Type="http://schemas.openxmlformats.org/officeDocument/2006/relationships/hyperlink" Target="https://www.gakkou.net/kou/view/index_301889.html" TargetMode="External" Id="rId193" /><Relationship Type="http://schemas.openxmlformats.org/officeDocument/2006/relationships/hyperlink" Target="https://www.gakkou.net/kou/view/index_301863.html" TargetMode="External" Id="rId194" /><Relationship Type="http://schemas.openxmlformats.org/officeDocument/2006/relationships/hyperlink" Target="https://www.gakkou.net/kou/view/index_302333.html" TargetMode="External" Id="rId195" /><Relationship Type="http://schemas.openxmlformats.org/officeDocument/2006/relationships/hyperlink" Target="https://www.gakkou.net/kou/view/index_302060.html" TargetMode="External" Id="rId196" /><Relationship Type="http://schemas.openxmlformats.org/officeDocument/2006/relationships/hyperlink" Target="https://www.gakkou.net/kou/view/index_302218.html" TargetMode="External" Id="rId197" /><Relationship Type="http://schemas.openxmlformats.org/officeDocument/2006/relationships/hyperlink" Target="https://www.gakkou.net/kou/view/index_301844.html" TargetMode="External" Id="rId198" /><Relationship Type="http://schemas.openxmlformats.org/officeDocument/2006/relationships/hyperlink" Target="https://www.gakkou.net/kou/view/index_301871.html" TargetMode="External" Id="rId199" /><Relationship Type="http://schemas.openxmlformats.org/officeDocument/2006/relationships/hyperlink" Target="https://www.gakkou.net/kou/view/index_302152.html" TargetMode="External" Id="rId200" /><Relationship Type="http://schemas.openxmlformats.org/officeDocument/2006/relationships/hyperlink" Target="https://www.gakkou.net/kou/view/index_301908.html" TargetMode="External" Id="rId201" /><Relationship Type="http://schemas.openxmlformats.org/officeDocument/2006/relationships/hyperlink" Target="https://www.gakkou.net/kou/view/index_302027.html" TargetMode="External" Id="rId202" /><Relationship Type="http://schemas.openxmlformats.org/officeDocument/2006/relationships/hyperlink" Target="https://www.gakkou.net/kou/view/index_302233.html" TargetMode="External" Id="rId203" /><Relationship Type="http://schemas.openxmlformats.org/officeDocument/2006/relationships/hyperlink" Target="https://www.gakkou.net/kou/view/index_306792.html" TargetMode="External" Id="rId204" /><Relationship Type="http://schemas.openxmlformats.org/officeDocument/2006/relationships/hyperlink" Target="https://www.gakkou.net/kou/view/index_302138.html" TargetMode="External" Id="rId205" /><Relationship Type="http://schemas.openxmlformats.org/officeDocument/2006/relationships/hyperlink" Target="https://www.gakkou.net/kou/view/index_302191.html" TargetMode="External" Id="rId206" /><Relationship Type="http://schemas.openxmlformats.org/officeDocument/2006/relationships/hyperlink" Target="https://www.gakkou.net/kou/view/index_302016.html" TargetMode="External" Id="rId207" /><Relationship Type="http://schemas.openxmlformats.org/officeDocument/2006/relationships/hyperlink" Target="https://www.gakkou.net/kou/view/index_302178.html" TargetMode="External" Id="rId208" /><Relationship Type="http://schemas.openxmlformats.org/officeDocument/2006/relationships/hyperlink" Target="https://www.gakkou.net/kou/view/index_302137.html" TargetMode="External" Id="rId209" /><Relationship Type="http://schemas.openxmlformats.org/officeDocument/2006/relationships/hyperlink" Target="https://www.gakkou.net/kou/view/index_302182.html" TargetMode="External" Id="rId210" /><Relationship Type="http://schemas.openxmlformats.org/officeDocument/2006/relationships/hyperlink" Target="https://www.gakkou.net/kou/view/index_302121.html" TargetMode="External" Id="rId211" /><Relationship Type="http://schemas.openxmlformats.org/officeDocument/2006/relationships/hyperlink" Target="https://www.gakkou.net/kou/view/index_302240.html" TargetMode="External" Id="rId212" /><Relationship Type="http://schemas.openxmlformats.org/officeDocument/2006/relationships/hyperlink" Target="https://www.gakkou.net/kou/view/index_301836.html" TargetMode="External" Id="rId213" /><Relationship Type="http://schemas.openxmlformats.org/officeDocument/2006/relationships/hyperlink" Target="https://www.gakkou.net/kou/view/index_302215.html" TargetMode="External" Id="rId214" /><Relationship Type="http://schemas.openxmlformats.org/officeDocument/2006/relationships/hyperlink" Target="https://www.gakkou.net/kou/view/index_301934.html" TargetMode="External" Id="rId215" /><Relationship Type="http://schemas.openxmlformats.org/officeDocument/2006/relationships/hyperlink" Target="https://www.gakkou.net/kou/view/index_302361.html" TargetMode="External" Id="rId216" /><Relationship Type="http://schemas.openxmlformats.org/officeDocument/2006/relationships/hyperlink" Target="https://www.gakkou.net/kou/view/index_301866.html" TargetMode="External" Id="rId217" /><Relationship Type="http://schemas.openxmlformats.org/officeDocument/2006/relationships/hyperlink" Target="https://www.gakkou.net/kou/view/index_302281.html" TargetMode="External" Id="rId218" /><Relationship Type="http://schemas.openxmlformats.org/officeDocument/2006/relationships/hyperlink" Target="https://www.gakkou.net/kou/view/index_302088.html" TargetMode="External" Id="rId219" /><Relationship Type="http://schemas.openxmlformats.org/officeDocument/2006/relationships/hyperlink" Target="https://www.gakkou.net/kou/view/index_302135.html" TargetMode="External" Id="rId220" /><Relationship Type="http://schemas.openxmlformats.org/officeDocument/2006/relationships/hyperlink" Target="https://www.gakkou.net/kou/view/index_302299.html" TargetMode="External" Id="rId221" /><Relationship Type="http://schemas.openxmlformats.org/officeDocument/2006/relationships/hyperlink" Target="https://www.gakkou.net/kou/view/index_301830.html" TargetMode="External" Id="rId222" /><Relationship Type="http://schemas.openxmlformats.org/officeDocument/2006/relationships/hyperlink" Target="https://www.gakkou.net/kou/view/index_302254.html" TargetMode="External" Id="rId223" /><Relationship Type="http://schemas.openxmlformats.org/officeDocument/2006/relationships/hyperlink" Target="https://www.gakkou.net/kou/view/index_302282.html" TargetMode="External" Id="rId224" /><Relationship Type="http://schemas.openxmlformats.org/officeDocument/2006/relationships/hyperlink" Target="https://www.gakkou.net/kou/view/index_302072.html" TargetMode="External" Id="rId225" /><Relationship Type="http://schemas.openxmlformats.org/officeDocument/2006/relationships/hyperlink" Target="https://www.gakkou.net/kou/view/index_302073.html" TargetMode="External" Id="rId226" /><Relationship Type="http://schemas.openxmlformats.org/officeDocument/2006/relationships/hyperlink" Target="https://www.gakkou.net/kou/view/index_302123.html" TargetMode="External" Id="rId227" /><Relationship Type="http://schemas.openxmlformats.org/officeDocument/2006/relationships/hyperlink" Target="https://www.gakkou.net/kou/view/index_302065.html" TargetMode="External" Id="rId228" /><Relationship Type="http://schemas.openxmlformats.org/officeDocument/2006/relationships/hyperlink" Target="https://www.gakkou.net/kou/view/index_301973.html" TargetMode="External" Id="rId229" /><Relationship Type="http://schemas.openxmlformats.org/officeDocument/2006/relationships/hyperlink" Target="https://www.gakkou.net/kou/view/index_301864.html" TargetMode="External" Id="rId230" /><Relationship Type="http://schemas.openxmlformats.org/officeDocument/2006/relationships/hyperlink" Target="https://www.gakkou.net/kou/view/index_306412.html" TargetMode="External" Id="rId231" /><Relationship Type="http://schemas.openxmlformats.org/officeDocument/2006/relationships/hyperlink" Target="https://www.gakkou.net/kou/view/index_306769.html" TargetMode="External" Id="rId232" /><Relationship Type="http://schemas.openxmlformats.org/officeDocument/2006/relationships/hyperlink" Target="https://www.gakkou.net/kou/view/index_302173.html" TargetMode="External" Id="rId233" /><Relationship Type="http://schemas.openxmlformats.org/officeDocument/2006/relationships/hyperlink" Target="https://www.gakkou.net/kou/view/index_306409.html" TargetMode="External" Id="rId234" /><Relationship Type="http://schemas.openxmlformats.org/officeDocument/2006/relationships/hyperlink" Target="https://www.gakkou.net/kou/view/index_302019.html" TargetMode="External" Id="rId235" /><Relationship Type="http://schemas.openxmlformats.org/officeDocument/2006/relationships/hyperlink" Target="https://www.gakkou.net/kou/view/index_302332.html" TargetMode="External" Id="rId236" /><Relationship Type="http://schemas.openxmlformats.org/officeDocument/2006/relationships/hyperlink" Target="https://www.gakkou.net/kou/view/index_302125.html" TargetMode="External" Id="rId237" /><Relationship Type="http://schemas.openxmlformats.org/officeDocument/2006/relationships/hyperlink" Target="https://www.gakkou.net/kou/view/index_302124.html" TargetMode="External" Id="rId238" /><Relationship Type="http://schemas.openxmlformats.org/officeDocument/2006/relationships/hyperlink" Target="https://www.gakkou.net/kou/view/index_302220.html" TargetMode="External" Id="rId239" /><Relationship Type="http://schemas.openxmlformats.org/officeDocument/2006/relationships/hyperlink" Target="https://www.gakkou.net/kou/view/index_301835.html" TargetMode="External" Id="rId240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244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38" customWidth="1" min="4" max="4"/>
    <col width="15" customWidth="1" min="5" max="5"/>
    <col width="9" customWidth="1" min="6" max="6"/>
    <col width="16" customWidth="1" min="7" max="7"/>
    <col width="12" customWidth="1" min="8" max="8"/>
    <col width="12" customWidth="1" min="9" max="9"/>
    <col width="16" customWidth="1" min="10" max="10"/>
    <col width="12" customWidth="1" min="11" max="11"/>
    <col width="30" customWidth="1" min="12" max="12"/>
    <col width="46" customWidth="1" min="13" max="13"/>
    <col width="40" customWidth="1" min="14" max="14"/>
    <col width="12" customWidth="1" min="15" max="15"/>
  </cols>
  <sheetData>
    <row r="1">
      <c r="A1" s="1" t="inlineStr">
        <is>
          <t>私立高等学校 架電リスト（東京都／240校）</t>
        </is>
      </c>
    </row>
    <row r="2">
      <c r="A2" s="2" t="inlineStr">
        <is>
          <t>出典：学校ネット 私立高校検索結果（ご提供の貼り付けデータ）。電話番号は2026年10月にWeb検索で調査（確度はF列、出典はN列）。架電前に「確度：中・低」の番号は念のためご確認ください。</t>
        </is>
      </c>
    </row>
    <row r="4">
      <c r="A4" s="3" t="inlineStr">
        <is>
          <t>No.</t>
        </is>
      </c>
      <c r="B4" s="3" t="inlineStr">
        <is>
          <t>都道府県</t>
        </is>
      </c>
      <c r="C4" s="3" t="inlineStr">
        <is>
          <t>所在地（市区町村）</t>
        </is>
      </c>
      <c r="D4" s="3" t="inlineStr">
        <is>
          <t>学校名</t>
        </is>
      </c>
      <c r="E4" s="3" t="inlineStr">
        <is>
          <t>電話番号</t>
        </is>
      </c>
      <c r="F4" s="3" t="inlineStr">
        <is>
          <t>番号の確度</t>
        </is>
      </c>
      <c r="G4" s="3" t="inlineStr">
        <is>
          <t>学科</t>
        </is>
      </c>
      <c r="H4" s="3" t="inlineStr">
        <is>
          <t>架電日</t>
        </is>
      </c>
      <c r="I4" s="3" t="inlineStr">
        <is>
          <t>担当者</t>
        </is>
      </c>
      <c r="J4" s="3" t="inlineStr">
        <is>
          <t>架電結果</t>
        </is>
      </c>
      <c r="K4" s="3" t="inlineStr">
        <is>
          <t>次回連絡日</t>
        </is>
      </c>
      <c r="L4" s="3" t="inlineStr">
        <is>
          <t>メモ</t>
        </is>
      </c>
      <c r="M4" s="3" t="inlineStr">
        <is>
          <t>電話番号の補足</t>
        </is>
      </c>
      <c r="N4" s="3" t="inlineStr">
        <is>
          <t>電話番号の出典</t>
        </is>
      </c>
      <c r="O4" s="3" t="inlineStr">
        <is>
          <t>学校情報ページ</t>
        </is>
      </c>
    </row>
    <row r="5">
      <c r="A5" s="4" t="n">
        <v>1</v>
      </c>
      <c r="B5" s="5" t="inlineStr">
        <is>
          <t>東京都</t>
        </is>
      </c>
      <c r="C5" s="5" t="inlineStr">
        <is>
          <t>江戸川区</t>
        </is>
      </c>
      <c r="D5" s="5" t="inlineStr">
        <is>
          <t>愛国高等学校</t>
        </is>
      </c>
      <c r="E5" s="6" t="inlineStr">
        <is>
          <t>03-3658-4111</t>
        </is>
      </c>
      <c r="F5" s="7" t="inlineStr">
        <is>
          <t>高</t>
        </is>
      </c>
      <c r="G5" s="5" t="inlineStr">
        <is>
          <t>普通科・専門学科</t>
        </is>
      </c>
      <c r="H5" s="8" t="n"/>
      <c r="I5" s="9" t="n"/>
      <c r="J5" s="9" t="inlineStr">
        <is>
          <t>未架電</t>
        </is>
      </c>
      <c r="K5" s="8" t="n"/>
      <c r="L5" s="9" t="n"/>
      <c r="M5" s="10" t="inlineStr">
        <is>
          <t>東京都の私立高校一覧ほかで一致。中高共通</t>
        </is>
      </c>
      <c r="N5" s="11" t="inlineStr">
        <is>
          <t>https://www.seikatubunka.metro.tokyo.lg.jp/documents/d/seikatubunka/07high_zennichi_r61201 ; https://www.inter-edu.com/schools/school/2206</t>
        </is>
      </c>
      <c r="O5" s="12" t="inlineStr">
        <is>
          <t>開く</t>
        </is>
      </c>
    </row>
    <row r="6">
      <c r="A6" s="4" t="n">
        <v>2</v>
      </c>
      <c r="B6" s="5" t="inlineStr">
        <is>
          <t>東京都</t>
        </is>
      </c>
      <c r="C6" s="5" t="inlineStr">
        <is>
          <t>渋谷区</t>
        </is>
      </c>
      <c r="D6" s="5" t="inlineStr">
        <is>
          <t>青山学院高等部</t>
        </is>
      </c>
      <c r="E6" s="6" t="inlineStr">
        <is>
          <t>03-3409-3880</t>
        </is>
      </c>
      <c r="F6" s="13" t="inlineStr">
        <is>
          <t>中</t>
        </is>
      </c>
      <c r="G6" s="5" t="inlineStr">
        <is>
          <t>普通科</t>
        </is>
      </c>
      <c r="H6" s="8" t="n"/>
      <c r="I6" s="9" t="n"/>
      <c r="J6" s="9" t="inlineStr">
        <is>
          <t>未架電</t>
        </is>
      </c>
      <c r="K6" s="8" t="n"/>
      <c r="L6" s="9" t="n"/>
      <c r="M6" s="10" t="inlineStr">
        <is>
          <t>東京都の私立高校一覧の番号。03-3407-7463（中等部の番号の可能性）を載せるサイトもあり。公式未確認</t>
        </is>
      </c>
      <c r="N6" s="11" t="inlineStr">
        <is>
          <t>https://www.seikatubunka.metro.tokyo.lg.jp/documents/d/seikatubunka/07high_zennichi_r61201</t>
        </is>
      </c>
      <c r="O6" s="12" t="inlineStr">
        <is>
          <t>開く</t>
        </is>
      </c>
    </row>
    <row r="7">
      <c r="A7" s="4" t="n">
        <v>3</v>
      </c>
      <c r="B7" s="5" t="inlineStr">
        <is>
          <t>東京都</t>
        </is>
      </c>
      <c r="C7" s="5" t="inlineStr">
        <is>
          <t>港区</t>
        </is>
      </c>
      <c r="D7" s="5" t="inlineStr">
        <is>
          <t>麻布高等学校</t>
        </is>
      </c>
      <c r="E7" s="6" t="inlineStr">
        <is>
          <t>03-3446-6541</t>
        </is>
      </c>
      <c r="F7" s="7" t="inlineStr">
        <is>
          <t>高</t>
        </is>
      </c>
      <c r="G7" s="5" t="inlineStr">
        <is>
          <t>普通科</t>
        </is>
      </c>
      <c r="H7" s="8" t="n"/>
      <c r="I7" s="9" t="n"/>
      <c r="J7" s="9" t="inlineStr">
        <is>
          <t>未架電</t>
        </is>
      </c>
      <c r="K7" s="8" t="n"/>
      <c r="L7" s="9" t="n"/>
      <c r="M7" s="10" t="inlineStr">
        <is>
          <t>中高共通</t>
        </is>
      </c>
      <c r="N7" s="11" t="inlineStr">
        <is>
          <t>https://www.seikatubunka.metro.tokyo.lg.jp/documents/d/seikatubunka/07high_zennichi_r61201 ; https://www.inter-edu.com/schools/school/2</t>
        </is>
      </c>
      <c r="O7" s="12" t="inlineStr">
        <is>
          <t>開く</t>
        </is>
      </c>
    </row>
    <row r="8">
      <c r="A8" s="4" t="n">
        <v>4</v>
      </c>
      <c r="B8" s="5" t="inlineStr">
        <is>
          <t>東京都</t>
        </is>
      </c>
      <c r="C8" s="5" t="inlineStr">
        <is>
          <t>足立区</t>
        </is>
      </c>
      <c r="D8" s="5" t="inlineStr">
        <is>
          <t>足立学園高等学校</t>
        </is>
      </c>
      <c r="E8" s="6" t="inlineStr">
        <is>
          <t>03-3888-5331</t>
        </is>
      </c>
      <c r="F8" s="7" t="inlineStr">
        <is>
          <t>高</t>
        </is>
      </c>
      <c r="G8" s="5" t="inlineStr">
        <is>
          <t>普通科</t>
        </is>
      </c>
      <c r="H8" s="8" t="n"/>
      <c r="I8" s="9" t="n"/>
      <c r="J8" s="9" t="inlineStr">
        <is>
          <t>未架電</t>
        </is>
      </c>
      <c r="K8" s="8" t="n"/>
      <c r="L8" s="9" t="n"/>
      <c r="M8" s="10" t="inlineStr">
        <is>
          <t>東京都の私立高校一覧ほかで一致。中高共通</t>
        </is>
      </c>
      <c r="N8" s="11" t="inlineStr">
        <is>
          <t>https://www.seikatubunka.metro.tokyo.lg.jp/documents/d/seikatubunka/07high_zennichi_r61201</t>
        </is>
      </c>
      <c r="O8" s="12" t="inlineStr">
        <is>
          <t>開く</t>
        </is>
      </c>
    </row>
    <row r="9">
      <c r="A9" s="4" t="n">
        <v>5</v>
      </c>
      <c r="B9" s="5" t="inlineStr">
        <is>
          <t>東京都</t>
        </is>
      </c>
      <c r="C9" s="5" t="inlineStr">
        <is>
          <t>文京区</t>
        </is>
      </c>
      <c r="D9" s="5" t="inlineStr">
        <is>
          <t>跡見学園高等学校</t>
        </is>
      </c>
      <c r="E9" s="6" t="inlineStr">
        <is>
          <t>03-3941-8167</t>
        </is>
      </c>
      <c r="F9" s="7" t="inlineStr">
        <is>
          <t>高</t>
        </is>
      </c>
      <c r="G9" s="5" t="inlineStr">
        <is>
          <t>普通科</t>
        </is>
      </c>
      <c r="H9" s="8" t="n"/>
      <c r="I9" s="9" t="n"/>
      <c r="J9" s="9" t="inlineStr">
        <is>
          <t>未架電</t>
        </is>
      </c>
      <c r="K9" s="8" t="n"/>
      <c r="L9" s="9" t="n"/>
      <c r="M9" s="10" t="inlineStr">
        <is>
          <t>中高共通。高校からの生徒募集なし（完全中高一貫）</t>
        </is>
      </c>
      <c r="N9" s="11" t="inlineStr">
        <is>
          <t>https://www.seikatubunka.metro.tokyo.lg.jp/documents/d/seikatubunka/07high_zennichi_r61201 ; https://www.inter-edu.com/schools/school/182</t>
        </is>
      </c>
      <c r="O9" s="12" t="inlineStr">
        <is>
          <t>開く</t>
        </is>
      </c>
    </row>
    <row r="10">
      <c r="A10" s="4" t="n">
        <v>6</v>
      </c>
      <c r="B10" s="5" t="inlineStr">
        <is>
          <t>東京都</t>
        </is>
      </c>
      <c r="C10" s="5" t="inlineStr">
        <is>
          <t>北区</t>
        </is>
      </c>
      <c r="D10" s="5" t="inlineStr">
        <is>
          <t>安部学院高等学校</t>
        </is>
      </c>
      <c r="E10" s="6" t="inlineStr">
        <is>
          <t>03-3913-2323</t>
        </is>
      </c>
      <c r="F10" s="7" t="inlineStr">
        <is>
          <t>高</t>
        </is>
      </c>
      <c r="G10" s="5" t="inlineStr">
        <is>
          <t>専門学科</t>
        </is>
      </c>
      <c r="H10" s="8" t="n"/>
      <c r="I10" s="9" t="n"/>
      <c r="J10" s="9" t="inlineStr">
        <is>
          <t>未架電</t>
        </is>
      </c>
      <c r="K10" s="8" t="n"/>
      <c r="L10" s="9" t="n"/>
      <c r="M10" s="10" t="inlineStr">
        <is>
          <t>東京都の私立高校一覧ほかで一致</t>
        </is>
      </c>
      <c r="N10" s="11" t="inlineStr">
        <is>
          <t>https://www.seikatubunka.metro.tokyo.lg.jp/documents/d/seikatubunka/07high_zennichi_r61201 ; https://www.inter-edu.com/schools/school/1786</t>
        </is>
      </c>
      <c r="O10" s="12" t="inlineStr">
        <is>
          <t>開く</t>
        </is>
      </c>
    </row>
    <row r="11">
      <c r="A11" s="4" t="n">
        <v>7</v>
      </c>
      <c r="B11" s="5" t="inlineStr">
        <is>
          <t>東京都</t>
        </is>
      </c>
      <c r="C11" s="5" t="inlineStr">
        <is>
          <t>文京区</t>
        </is>
      </c>
      <c r="D11" s="5" t="inlineStr">
        <is>
          <t>郁文館グローバル高等学校</t>
        </is>
      </c>
      <c r="E11" s="6" t="inlineStr">
        <is>
          <t>03-3828-2206</t>
        </is>
      </c>
      <c r="F11" s="7" t="inlineStr">
        <is>
          <t>高</t>
        </is>
      </c>
      <c r="G11" s="5" t="inlineStr">
        <is>
          <t>専門学科</t>
        </is>
      </c>
      <c r="H11" s="8" t="n"/>
      <c r="I11" s="9" t="n"/>
      <c r="J11" s="9" t="inlineStr">
        <is>
          <t>未架電</t>
        </is>
      </c>
      <c r="K11" s="8" t="n"/>
      <c r="L11" s="9" t="n"/>
      <c r="M11" s="10" t="inlineStr">
        <is>
          <t>郁文館中学・高校と共通の代表番号</t>
        </is>
      </c>
      <c r="N11" s="11" t="inlineStr">
        <is>
          <t>https://www.inter-edu.com/schools/school/984 ; https://www.seikatubunka.metro.tokyo.lg.jp/documents/d/seikatubunka/07high_zennichi_r61201</t>
        </is>
      </c>
      <c r="O11" s="12" t="inlineStr">
        <is>
          <t>開く</t>
        </is>
      </c>
    </row>
    <row r="12">
      <c r="A12" s="4" t="n">
        <v>8</v>
      </c>
      <c r="B12" s="5" t="inlineStr">
        <is>
          <t>東京都</t>
        </is>
      </c>
      <c r="C12" s="5" t="inlineStr">
        <is>
          <t>文京区</t>
        </is>
      </c>
      <c r="D12" s="5" t="inlineStr">
        <is>
          <t>郁文館高等学校</t>
        </is>
      </c>
      <c r="E12" s="6" t="inlineStr">
        <is>
          <t>03-3828-2206</t>
        </is>
      </c>
      <c r="F12" s="7" t="inlineStr">
        <is>
          <t>高</t>
        </is>
      </c>
      <c r="G12" s="5" t="inlineStr">
        <is>
          <t>普通科</t>
        </is>
      </c>
      <c r="H12" s="8" t="n"/>
      <c r="I12" s="9" t="n"/>
      <c r="J12" s="9" t="inlineStr">
        <is>
          <t>未架電</t>
        </is>
      </c>
      <c r="K12" s="8" t="n"/>
      <c r="L12" s="9" t="n"/>
      <c r="M12" s="10" t="inlineStr">
        <is>
          <t>中学・郁文館グローバル高校と共通の代表番号</t>
        </is>
      </c>
      <c r="N12" s="11" t="inlineStr">
        <is>
          <t>https://www.seikatubunka.metro.tokyo.lg.jp/documents/d/seikatubunka/07high_zennichi_r61201 ; https://www.inter-edu.com/schools/school/185</t>
        </is>
      </c>
      <c r="O12" s="12" t="inlineStr">
        <is>
          <t>開く</t>
        </is>
      </c>
    </row>
    <row r="13">
      <c r="A13" s="4" t="n">
        <v>9</v>
      </c>
      <c r="B13" s="5" t="inlineStr">
        <is>
          <t>東京都</t>
        </is>
      </c>
      <c r="C13" s="5" t="inlineStr">
        <is>
          <t>台東区</t>
        </is>
      </c>
      <c r="D13" s="5" t="inlineStr">
        <is>
          <t>岩倉高等学校</t>
        </is>
      </c>
      <c r="E13" s="6" t="inlineStr">
        <is>
          <t>03-3841-3086</t>
        </is>
      </c>
      <c r="F13" s="7" t="inlineStr">
        <is>
          <t>高</t>
        </is>
      </c>
      <c r="G13" s="5" t="inlineStr">
        <is>
          <t>普通科・専門学科</t>
        </is>
      </c>
      <c r="H13" s="8" t="n"/>
      <c r="I13" s="9" t="n"/>
      <c r="J13" s="9" t="inlineStr">
        <is>
          <t>未架電</t>
        </is>
      </c>
      <c r="K13" s="8" t="n"/>
      <c r="L13" s="9" t="n"/>
      <c r="M13" s="10" t="inlineStr">
        <is>
          <t>公式サイトに「代表」と記載。入試相談室は03-3841-3009</t>
        </is>
      </c>
      <c r="N13" s="11" t="inlineStr">
        <is>
          <t>https://www.tky-iwakura-h.ed.jp/intro/access/</t>
        </is>
      </c>
      <c r="O13" s="12" t="inlineStr">
        <is>
          <t>開く</t>
        </is>
      </c>
    </row>
    <row r="14">
      <c r="A14" s="4" t="n">
        <v>10</v>
      </c>
      <c r="B14" s="5" t="inlineStr">
        <is>
          <t>東京都</t>
        </is>
      </c>
      <c r="C14" s="5" t="inlineStr">
        <is>
          <t>台東区</t>
        </is>
      </c>
      <c r="D14" s="5" t="inlineStr">
        <is>
          <t>上野学園高等学校</t>
        </is>
      </c>
      <c r="E14" s="6" t="inlineStr">
        <is>
          <t>03-3847-2201</t>
        </is>
      </c>
      <c r="F14" s="7" t="inlineStr">
        <is>
          <t>高</t>
        </is>
      </c>
      <c r="G14" s="5" t="inlineStr">
        <is>
          <t>普通科・専門学科</t>
        </is>
      </c>
      <c r="H14" s="8" t="n"/>
      <c r="I14" s="9" t="n"/>
      <c r="J14" s="9" t="inlineStr">
        <is>
          <t>未架電</t>
        </is>
      </c>
      <c r="K14" s="8" t="n"/>
      <c r="L14" s="9" t="n"/>
      <c r="M14" s="10" t="inlineStr">
        <is>
          <t>中高共通</t>
        </is>
      </c>
      <c r="N14" s="11" t="inlineStr">
        <is>
          <t>https://www.seikatubunka.metro.tokyo.lg.jp/documents/d/seikatubunka/07high_zennichi_r61201 ; https://www.inter-edu.com/schools/school/1988</t>
        </is>
      </c>
      <c r="O14" s="12" t="inlineStr">
        <is>
          <t>開く</t>
        </is>
      </c>
    </row>
    <row r="15">
      <c r="A15" s="4" t="n">
        <v>11</v>
      </c>
      <c r="B15" s="5" t="inlineStr">
        <is>
          <t>東京都</t>
        </is>
      </c>
      <c r="C15" s="5" t="inlineStr">
        <is>
          <t>八王子市</t>
        </is>
      </c>
      <c r="D15" s="5" t="inlineStr">
        <is>
          <t>穎明館高等学校</t>
        </is>
      </c>
      <c r="E15" s="6" t="inlineStr">
        <is>
          <t>042-664-6000</t>
        </is>
      </c>
      <c r="F15" s="7" t="inlineStr">
        <is>
          <t>高</t>
        </is>
      </c>
      <c r="G15" s="5" t="inlineStr">
        <is>
          <t>普通科</t>
        </is>
      </c>
      <c r="H15" s="8" t="n"/>
      <c r="I15" s="9" t="n"/>
      <c r="J15" s="9" t="inlineStr">
        <is>
          <t>未架電</t>
        </is>
      </c>
      <c r="K15" s="8" t="n"/>
      <c r="L15" s="9" t="n"/>
      <c r="M15" s="10" t="inlineStr">
        <is>
          <t>中高共通</t>
        </is>
      </c>
      <c r="N15" s="11" t="inlineStr">
        <is>
          <t>https://www.seikatubunka.metro.tokyo.lg.jp/documents/d/seikatubunka/07high_zennichi_r61201 ; https://www.inter-edu.com/schools/school/25</t>
        </is>
      </c>
      <c r="O15" s="12" t="inlineStr">
        <is>
          <t>開く</t>
        </is>
      </c>
    </row>
    <row r="16">
      <c r="A16" s="4" t="n">
        <v>12</v>
      </c>
      <c r="B16" s="5" t="inlineStr">
        <is>
          <t>東京都</t>
        </is>
      </c>
      <c r="C16" s="5" t="inlineStr">
        <is>
          <t>練馬区</t>
        </is>
      </c>
      <c r="D16" s="5" t="inlineStr">
        <is>
          <t>英明フロンティア高等学校</t>
        </is>
      </c>
      <c r="E16" s="6" t="inlineStr">
        <is>
          <t>03-3920-5151</t>
        </is>
      </c>
      <c r="F16" s="7" t="inlineStr">
        <is>
          <t>高</t>
        </is>
      </c>
      <c r="G16" s="5" t="inlineStr">
        <is>
          <t>普通科</t>
        </is>
      </c>
      <c r="H16" s="8" t="n"/>
      <c r="I16" s="9" t="n"/>
      <c r="J16" s="9" t="inlineStr">
        <is>
          <t>未架電</t>
        </is>
      </c>
      <c r="K16" s="8" t="n"/>
      <c r="L16" s="9" t="n"/>
      <c r="M16" s="10" t="inlineStr">
        <is>
          <t>【校名変更】2025年4月に東京女子学院から改称・共学化。公式サイトで確認。中高共通</t>
        </is>
      </c>
      <c r="N16" s="11" t="inlineStr">
        <is>
          <t>https://eimei-frontier.ed.jp/ ; https://recruit.eimei-frontier.ed.jp/contact</t>
        </is>
      </c>
      <c r="O16" s="12" t="inlineStr">
        <is>
          <t>開く</t>
        </is>
      </c>
    </row>
    <row r="17">
      <c r="A17" s="4" t="n">
        <v>13</v>
      </c>
      <c r="B17" s="5" t="inlineStr">
        <is>
          <t>東京都</t>
        </is>
      </c>
      <c r="C17" s="5" t="inlineStr">
        <is>
          <t>江戸川区</t>
        </is>
      </c>
      <c r="D17" s="5" t="inlineStr">
        <is>
          <t>江戸川女子高等学校</t>
        </is>
      </c>
      <c r="E17" s="6" t="inlineStr">
        <is>
          <t>03-3659-1241</t>
        </is>
      </c>
      <c r="F17" s="7" t="inlineStr">
        <is>
          <t>高</t>
        </is>
      </c>
      <c r="G17" s="5" t="inlineStr">
        <is>
          <t>普通科・専門学科</t>
        </is>
      </c>
      <c r="H17" s="8" t="n"/>
      <c r="I17" s="9" t="n"/>
      <c r="J17" s="9" t="inlineStr">
        <is>
          <t>未架電</t>
        </is>
      </c>
      <c r="K17" s="8" t="n"/>
      <c r="L17" s="9" t="n"/>
      <c r="M17" s="10" t="inlineStr">
        <is>
          <t>江戸川区の一覧ほかで一致。中高共通</t>
        </is>
      </c>
      <c r="N17" s="11" t="inlineStr">
        <is>
          <t>https://www.city.edogawa.tokyo.jp/e004/kuseijoho/gaiyo/shisetsuguide/bunya/gakko/toritsushiritsu.html ; https://www.inter-edu.com/schools/school/2036</t>
        </is>
      </c>
      <c r="O17" s="12" t="inlineStr">
        <is>
          <t>開く</t>
        </is>
      </c>
    </row>
    <row r="18">
      <c r="A18" s="4" t="n">
        <v>14</v>
      </c>
      <c r="B18" s="5" t="inlineStr">
        <is>
          <t>東京都</t>
        </is>
      </c>
      <c r="C18" s="5" t="inlineStr">
        <is>
          <t>国立市</t>
        </is>
      </c>
      <c r="D18" s="5" t="inlineStr">
        <is>
          <t>NHK学園高等学校</t>
        </is>
      </c>
      <c r="E18" s="6" t="inlineStr">
        <is>
          <t>042-572-3151</t>
        </is>
      </c>
      <c r="F18" s="13" t="inlineStr">
        <is>
          <t>中</t>
        </is>
      </c>
      <c r="G18" s="5" t="inlineStr">
        <is>
          <t>普通科</t>
        </is>
      </c>
      <c r="H18" s="8" t="n"/>
      <c r="I18" s="9" t="n"/>
      <c r="J18" s="9" t="inlineStr">
        <is>
          <t>未架電</t>
        </is>
      </c>
      <c r="K18" s="8" t="n"/>
      <c r="L18" s="9" t="n"/>
      <c r="M18" s="10" t="inlineStr">
        <is>
          <t>通信制。東京都の通信制一覧の番号。042-572-3155は法人の代表、042-573-8111は旧番号の可能性</t>
        </is>
      </c>
      <c r="N18" s="11" t="inlineStr">
        <is>
          <t>https://www.seikatubunka.metro.tokyo.lg.jp/documents/d/seikatubunka/13high_tushin_r61201</t>
        </is>
      </c>
      <c r="O18" s="12" t="inlineStr">
        <is>
          <t>開く</t>
        </is>
      </c>
    </row>
    <row r="19">
      <c r="A19" s="4" t="n">
        <v>15</v>
      </c>
      <c r="B19" s="5" t="inlineStr">
        <is>
          <t>東京都</t>
        </is>
      </c>
      <c r="C19" s="5" t="inlineStr">
        <is>
          <t>文京区</t>
        </is>
      </c>
      <c r="D19" s="5" t="inlineStr">
        <is>
          <t>桜蔭高等学校</t>
        </is>
      </c>
      <c r="E19" s="6" t="inlineStr">
        <is>
          <t>03-3811-0147</t>
        </is>
      </c>
      <c r="F19" s="7" t="inlineStr">
        <is>
          <t>高</t>
        </is>
      </c>
      <c r="G19" s="5" t="inlineStr">
        <is>
          <t>普通科</t>
        </is>
      </c>
      <c r="H19" s="8" t="n"/>
      <c r="I19" s="9" t="n"/>
      <c r="J19" s="9" t="inlineStr">
        <is>
          <t>未架電</t>
        </is>
      </c>
      <c r="K19" s="8" t="n"/>
      <c r="L19" s="9" t="n"/>
      <c r="M19" s="10" t="inlineStr">
        <is>
          <t>東京都の私立高校一覧ほかで一致</t>
        </is>
      </c>
      <c r="N19" s="11" t="inlineStr">
        <is>
          <t>https://www.seikatubunka.metro.tokyo.lg.jp/documents/d/seikatubunka/07high_zennichi_r61201 ; https://www.inter-edu.com/schools/school/48</t>
        </is>
      </c>
      <c r="O19" s="12" t="inlineStr">
        <is>
          <t>開く</t>
        </is>
      </c>
    </row>
    <row r="20">
      <c r="A20" s="4" t="n">
        <v>16</v>
      </c>
      <c r="B20" s="5" t="inlineStr">
        <is>
          <t>東京都</t>
        </is>
      </c>
      <c r="C20" s="5" t="inlineStr">
        <is>
          <t>町田市</t>
        </is>
      </c>
      <c r="D20" s="5" t="inlineStr">
        <is>
          <t>桜美林高等学校</t>
        </is>
      </c>
      <c r="E20" s="6" t="inlineStr">
        <is>
          <t>042-797-2668</t>
        </is>
      </c>
      <c r="F20" s="13" t="inlineStr">
        <is>
          <t>中</t>
        </is>
      </c>
      <c r="G20" s="5" t="inlineStr">
        <is>
          <t>普通科</t>
        </is>
      </c>
      <c r="H20" s="8" t="n"/>
      <c r="I20" s="9" t="n"/>
      <c r="J20" s="9" t="inlineStr">
        <is>
          <t>未架電</t>
        </is>
      </c>
      <c r="K20" s="8" t="n"/>
      <c r="L20" s="9" t="n"/>
      <c r="M20" s="10" t="inlineStr">
        <is>
          <t>東京都の私立高校一覧には042-797-2667とあり食い違い。要確認</t>
        </is>
      </c>
      <c r="N20" s="11" t="inlineStr">
        <is>
          <t>https://www.inter-edu.com/schools/school/1953 ; https://unesco-sdgs.mext.go.jp/?p=6997</t>
        </is>
      </c>
      <c r="O20" s="12" t="inlineStr">
        <is>
          <t>開く</t>
        </is>
      </c>
    </row>
    <row r="21">
      <c r="A21" s="4" t="n">
        <v>17</v>
      </c>
      <c r="B21" s="5" t="inlineStr">
        <is>
          <t>東京都</t>
        </is>
      </c>
      <c r="C21" s="5" t="inlineStr">
        <is>
          <t>世田谷区</t>
        </is>
      </c>
      <c r="D21" s="5" t="inlineStr">
        <is>
          <t>鷗友学園女子高等学校</t>
        </is>
      </c>
      <c r="E21" s="6" t="inlineStr">
        <is>
          <t>03-3420-0136</t>
        </is>
      </c>
      <c r="F21" s="13" t="inlineStr">
        <is>
          <t>中</t>
        </is>
      </c>
      <c r="G21" s="5" t="inlineStr">
        <is>
          <t>普通科</t>
        </is>
      </c>
      <c r="H21" s="8" t="n"/>
      <c r="I21" s="9" t="n"/>
      <c r="J21" s="9" t="inlineStr">
        <is>
          <t>未架電</t>
        </is>
      </c>
      <c r="K21" s="8" t="n"/>
      <c r="L21" s="9" t="n"/>
      <c r="M21" s="10" t="inlineStr">
        <is>
          <t>東京都の私立高校一覧のみで確認</t>
        </is>
      </c>
      <c r="N21" s="11" t="inlineStr">
        <is>
          <t>https://www.seikatubunka.metro.tokyo.lg.jp/documents/d/seikatubunka/07high_zennichi_r61201</t>
        </is>
      </c>
      <c r="O21" s="12" t="inlineStr">
        <is>
          <t>開く</t>
        </is>
      </c>
    </row>
    <row r="22">
      <c r="A22" s="4" t="n">
        <v>18</v>
      </c>
      <c r="B22" s="5" t="inlineStr">
        <is>
          <t>東京都</t>
        </is>
      </c>
      <c r="C22" s="5" t="inlineStr">
        <is>
          <t>千代田区</t>
        </is>
      </c>
      <c r="D22" s="5" t="inlineStr">
        <is>
          <t>大妻高等学校</t>
        </is>
      </c>
      <c r="E22" s="6" t="inlineStr">
        <is>
          <t>03-5275-6002</t>
        </is>
      </c>
      <c r="F22" s="7" t="inlineStr">
        <is>
          <t>高</t>
        </is>
      </c>
      <c r="G22" s="5" t="inlineStr">
        <is>
          <t>普通科</t>
        </is>
      </c>
      <c r="H22" s="8" t="n"/>
      <c r="I22" s="9" t="n"/>
      <c r="J22" s="9" t="inlineStr">
        <is>
          <t>未架電</t>
        </is>
      </c>
      <c r="K22" s="8" t="n"/>
      <c r="L22" s="9" t="n"/>
      <c r="M22" s="10" t="inlineStr">
        <is>
          <t>中高共通</t>
        </is>
      </c>
      <c r="N22" s="11" t="inlineStr">
        <is>
          <t>https://www.seikatubunka.metro.tokyo.lg.jp/documents/d/seikatubunka/07high_zennichi_r61201 ; https://www.inter-edu.com/schools/school/50</t>
        </is>
      </c>
      <c r="O22" s="12" t="inlineStr">
        <is>
          <t>開く</t>
        </is>
      </c>
    </row>
    <row r="23">
      <c r="A23" s="4" t="n">
        <v>19</v>
      </c>
      <c r="B23" s="5" t="inlineStr">
        <is>
          <t>東京都</t>
        </is>
      </c>
      <c r="C23" s="5" t="inlineStr">
        <is>
          <t>多摩市</t>
        </is>
      </c>
      <c r="D23" s="5" t="inlineStr">
        <is>
          <t>大妻多摩高等学校</t>
        </is>
      </c>
      <c r="E23" s="6" t="inlineStr">
        <is>
          <t>042-372-9113</t>
        </is>
      </c>
      <c r="F23" s="7" t="inlineStr">
        <is>
          <t>高</t>
        </is>
      </c>
      <c r="G23" s="5" t="inlineStr">
        <is>
          <t>普通科</t>
        </is>
      </c>
      <c r="H23" s="8" t="n"/>
      <c r="I23" s="9" t="n"/>
      <c r="J23" s="9" t="inlineStr">
        <is>
          <t>未架電</t>
        </is>
      </c>
      <c r="K23" s="8" t="n"/>
      <c r="L23" s="9" t="n"/>
      <c r="M23" s="10" t="inlineStr">
        <is>
          <t>東京都の私立高校一覧ほかで一致</t>
        </is>
      </c>
      <c r="N23" s="11" t="inlineStr">
        <is>
          <t>https://www.seikatubunka.metro.tokyo.lg.jp/documents/d/seikatubunka/07high_zennichi_r61201 ; https://www.inter-edu.com/schools/school/51</t>
        </is>
      </c>
      <c r="O23" s="12" t="inlineStr">
        <is>
          <t>開く</t>
        </is>
      </c>
    </row>
    <row r="24">
      <c r="A24" s="4" t="n">
        <v>20</v>
      </c>
      <c r="B24" s="5" t="inlineStr">
        <is>
          <t>東京都</t>
        </is>
      </c>
      <c r="C24" s="5" t="inlineStr">
        <is>
          <t>中野区</t>
        </is>
      </c>
      <c r="D24" s="5" t="inlineStr">
        <is>
          <t>大妻中野高等学校</t>
        </is>
      </c>
      <c r="E24" s="6" t="inlineStr">
        <is>
          <t>03-3389-7211</t>
        </is>
      </c>
      <c r="F24" s="7" t="inlineStr">
        <is>
          <t>高</t>
        </is>
      </c>
      <c r="G24" s="5" t="inlineStr">
        <is>
          <t>普通科</t>
        </is>
      </c>
      <c r="H24" s="8" t="n"/>
      <c r="I24" s="9" t="n"/>
      <c r="J24" s="9" t="inlineStr">
        <is>
          <t>未架電</t>
        </is>
      </c>
      <c r="K24" s="8" t="n"/>
      <c r="L24" s="9" t="n"/>
      <c r="M24" s="10" t="inlineStr">
        <is>
          <t>中高共通</t>
        </is>
      </c>
      <c r="N24" s="11" t="inlineStr">
        <is>
          <t>https://unesco-sdgs.mext.go.jp/?p=6992 ; https://www.inter-edu.com/schools/school/52</t>
        </is>
      </c>
      <c r="O24" s="12" t="inlineStr">
        <is>
          <t>開く</t>
        </is>
      </c>
    </row>
    <row r="25">
      <c r="A25" s="4" t="n">
        <v>21</v>
      </c>
      <c r="B25" s="5" t="inlineStr">
        <is>
          <t>東京都</t>
        </is>
      </c>
      <c r="C25" s="5" t="inlineStr">
        <is>
          <t>千代田区</t>
        </is>
      </c>
      <c r="D25" s="5" t="inlineStr">
        <is>
          <t>大原学園美空高等学校</t>
        </is>
      </c>
      <c r="E25" s="6" t="inlineStr">
        <is>
          <t>03-3237-3141</t>
        </is>
      </c>
      <c r="F25" s="7" t="inlineStr">
        <is>
          <t>高</t>
        </is>
      </c>
      <c r="G25" s="5" t="inlineStr">
        <is>
          <t>普通科</t>
        </is>
      </c>
      <c r="H25" s="8" t="n"/>
      <c r="I25" s="9" t="n"/>
      <c r="J25" s="9" t="inlineStr">
        <is>
          <t>未架電</t>
        </is>
      </c>
      <c r="K25" s="8" t="n"/>
      <c r="L25" s="9" t="n"/>
      <c r="M25" s="10" t="inlineStr">
        <is>
          <t>通信制。東京都の通信制一覧とYahoo!マップで一致。町田キャンパスは別番号の可能性</t>
        </is>
      </c>
      <c r="N25" s="11" t="inlineStr">
        <is>
          <t>https://www.seikatubunka.metro.tokyo.lg.jp/documents/d/seikatubunka/13high_tushin_r61201 ; https://map.yahoo.co.jp/v3/place/P1V36L6F1ko</t>
        </is>
      </c>
      <c r="O25" s="12" t="inlineStr">
        <is>
          <t>開く</t>
        </is>
      </c>
    </row>
    <row r="26">
      <c r="A26" s="4" t="n">
        <v>22</v>
      </c>
      <c r="B26" s="5" t="inlineStr">
        <is>
          <t>東京都</t>
        </is>
      </c>
      <c r="C26" s="5" t="inlineStr">
        <is>
          <t>大田区</t>
        </is>
      </c>
      <c r="D26" s="5" t="inlineStr">
        <is>
          <t>大森学園高等学校</t>
        </is>
      </c>
      <c r="E26" s="6" t="inlineStr">
        <is>
          <t>03-3762-7336</t>
        </is>
      </c>
      <c r="F26" s="13" t="inlineStr">
        <is>
          <t>中</t>
        </is>
      </c>
      <c r="G26" s="5" t="inlineStr">
        <is>
          <t>普通科・専門学科</t>
        </is>
      </c>
      <c r="H26" s="8" t="n"/>
      <c r="I26" s="9" t="n"/>
      <c r="J26" s="9" t="inlineStr">
        <is>
          <t>未架電</t>
        </is>
      </c>
      <c r="K26" s="8" t="n"/>
      <c r="L26" s="9" t="n"/>
      <c r="M26" s="10" t="inlineStr">
        <is>
          <t>学校情報サイト1件のみで確認</t>
        </is>
      </c>
      <c r="N26" s="11" t="inlineStr">
        <is>
          <t>https://www.inter-edu.com/schools/school/565</t>
        </is>
      </c>
      <c r="O26" s="12" t="inlineStr">
        <is>
          <t>開く</t>
        </is>
      </c>
    </row>
    <row r="27">
      <c r="A27" s="4" t="n">
        <v>23</v>
      </c>
      <c r="B27" s="5" t="inlineStr">
        <is>
          <t>東京都</t>
        </is>
      </c>
      <c r="C27" s="5" t="inlineStr">
        <is>
          <t>新宿区</t>
        </is>
      </c>
      <c r="D27" s="5" t="inlineStr">
        <is>
          <t>海城高等学校</t>
        </is>
      </c>
      <c r="E27" s="6" t="inlineStr">
        <is>
          <t>03-3209-5880</t>
        </is>
      </c>
      <c r="F27" s="7" t="inlineStr">
        <is>
          <t>高</t>
        </is>
      </c>
      <c r="G27" s="5" t="inlineStr">
        <is>
          <t>普通科</t>
        </is>
      </c>
      <c r="H27" s="8" t="n"/>
      <c r="I27" s="9" t="n"/>
      <c r="J27" s="9" t="inlineStr">
        <is>
          <t>未架電</t>
        </is>
      </c>
      <c r="K27" s="8" t="n"/>
      <c r="L27" s="9" t="n"/>
      <c r="M27" s="10" t="inlineStr">
        <is>
          <t>中高共通</t>
        </is>
      </c>
      <c r="N27" s="11" t="inlineStr">
        <is>
          <t>https://www.inter-edu.com/schools/school/4 ; https://www.seikatubunka.metro.tokyo.lg.jp/documents/d/seikatubunka/07high_zennichi_r61201</t>
        </is>
      </c>
      <c r="O27" s="12" t="inlineStr">
        <is>
          <t>開く</t>
        </is>
      </c>
    </row>
    <row r="28">
      <c r="A28" s="4" t="n">
        <v>24</v>
      </c>
      <c r="B28" s="5" t="inlineStr">
        <is>
          <t>東京都</t>
        </is>
      </c>
      <c r="C28" s="5" t="inlineStr">
        <is>
          <t>荒川区</t>
        </is>
      </c>
      <c r="D28" s="5" t="inlineStr">
        <is>
          <t>開成高等学校</t>
        </is>
      </c>
      <c r="E28" s="6" t="inlineStr">
        <is>
          <t>03-3822-0741</t>
        </is>
      </c>
      <c r="F28" s="13" t="inlineStr">
        <is>
          <t>中</t>
        </is>
      </c>
      <c r="G28" s="5" t="inlineStr">
        <is>
          <t>普通科</t>
        </is>
      </c>
      <c r="H28" s="8" t="n"/>
      <c r="I28" s="9" t="n"/>
      <c r="J28" s="9" t="inlineStr">
        <is>
          <t>未架電</t>
        </is>
      </c>
      <c r="K28" s="8" t="n"/>
      <c r="L28" s="9" t="n"/>
      <c r="M28" s="10" t="inlineStr">
        <is>
          <t>中高共通とみられる。公式の教員募集資料には高校の問い合わせ先として03-3822-0743の記載あり</t>
        </is>
      </c>
      <c r="N28" s="11" t="inlineStr">
        <is>
          <t>https://www.inter-edu.com/schools/school/1941</t>
        </is>
      </c>
      <c r="O28" s="12" t="inlineStr">
        <is>
          <t>開く</t>
        </is>
      </c>
    </row>
    <row r="29">
      <c r="A29" s="4" t="n">
        <v>25</v>
      </c>
      <c r="B29" s="5" t="inlineStr">
        <is>
          <t>東京都</t>
        </is>
      </c>
      <c r="C29" s="5" t="inlineStr">
        <is>
          <t>中央区</t>
        </is>
      </c>
      <c r="D29" s="5" t="inlineStr">
        <is>
          <t>開智日本橋学園高等学校</t>
        </is>
      </c>
      <c r="E29" s="6" t="inlineStr">
        <is>
          <t>03-3662-2507</t>
        </is>
      </c>
      <c r="F29" s="7" t="inlineStr">
        <is>
          <t>高</t>
        </is>
      </c>
      <c r="G29" s="5" t="inlineStr">
        <is>
          <t>普通科</t>
        </is>
      </c>
      <c r="H29" s="8" t="n"/>
      <c r="I29" s="9" t="n"/>
      <c r="J29" s="9" t="inlineStr">
        <is>
          <t>未架電</t>
        </is>
      </c>
      <c r="K29" s="8" t="n"/>
      <c r="L29" s="9" t="n"/>
      <c r="M29" s="10" t="inlineStr">
        <is>
          <t>中高共通。高校募集なし（完全中高一貫）との情報あり</t>
        </is>
      </c>
      <c r="N29" s="11" t="inlineStr">
        <is>
          <t>https://www.seikatubunka.metro.tokyo.lg.jp/documents/d/seikatubunka/07high_zennichi_r61201 ; https://www.inter-edu.com/schools/school/255</t>
        </is>
      </c>
      <c r="O29" s="12" t="inlineStr">
        <is>
          <t>開く</t>
        </is>
      </c>
    </row>
    <row r="30">
      <c r="A30" s="4" t="n">
        <v>26</v>
      </c>
      <c r="B30" s="5" t="inlineStr">
        <is>
          <t>東京都</t>
        </is>
      </c>
      <c r="C30" s="5" t="inlineStr">
        <is>
          <t>江東区</t>
        </is>
      </c>
      <c r="D30" s="5" t="inlineStr">
        <is>
          <t>かえつ有明高等学校</t>
        </is>
      </c>
      <c r="E30" s="6" t="inlineStr">
        <is>
          <t>03-5564-2161</t>
        </is>
      </c>
      <c r="F30" s="13" t="inlineStr">
        <is>
          <t>中</t>
        </is>
      </c>
      <c r="G30" s="5" t="inlineStr">
        <is>
          <t>普通科</t>
        </is>
      </c>
      <c r="H30" s="8" t="n"/>
      <c r="I30" s="9" t="n"/>
      <c r="J30" s="9" t="inlineStr">
        <is>
          <t>未架電</t>
        </is>
      </c>
      <c r="K30" s="8" t="n"/>
      <c r="L30" s="9" t="n"/>
      <c r="M30" s="10" t="inlineStr">
        <is>
          <t>中高共通。「広報室」と表記するサイトもあり、代表か不明</t>
        </is>
      </c>
      <c r="N30" s="11" t="inlineStr">
        <is>
          <t>https://www.inter-edu.com/schools/school/1989</t>
        </is>
      </c>
      <c r="O30" s="12" t="inlineStr">
        <is>
          <t>開く</t>
        </is>
      </c>
    </row>
    <row r="31">
      <c r="A31" s="4" t="n">
        <v>27</v>
      </c>
      <c r="B31" s="5" t="inlineStr">
        <is>
          <t>東京都</t>
        </is>
      </c>
      <c r="C31" s="5" t="inlineStr">
        <is>
          <t>世田谷区</t>
        </is>
      </c>
      <c r="D31" s="5" t="inlineStr">
        <is>
          <t>科学技術学園高等学校</t>
        </is>
      </c>
      <c r="E31" s="6" t="inlineStr">
        <is>
          <t>03-5494-7711</t>
        </is>
      </c>
      <c r="F31" s="7" t="inlineStr">
        <is>
          <t>高</t>
        </is>
      </c>
      <c r="G31" s="5" t="inlineStr">
        <is>
          <t>普通科</t>
        </is>
      </c>
      <c r="H31" s="8" t="n"/>
      <c r="I31" s="9" t="n"/>
      <c r="J31" s="9" t="inlineStr">
        <is>
          <t>未架電</t>
        </is>
      </c>
      <c r="K31" s="8" t="n"/>
      <c r="L31" s="9" t="n"/>
      <c r="M31" s="10" t="inlineStr">
        <is>
          <t>全日制・通信制の東京都一覧で一致。定時制あり</t>
        </is>
      </c>
      <c r="N31" s="11" t="inlineStr">
        <is>
          <t>https://www.seikatubunka.metro.tokyo.lg.jp/documents/d/seikatubunka/07high_zennichi_r61201 ; https://www.seikatubunka.metro.tokyo.lg.jp/documents/d/seikatubunka/13high_tushin_r61201</t>
        </is>
      </c>
      <c r="O31" s="12" t="inlineStr">
        <is>
          <t>開く</t>
        </is>
      </c>
    </row>
    <row r="32">
      <c r="A32" s="4" t="n">
        <v>28</v>
      </c>
      <c r="B32" s="5" t="inlineStr">
        <is>
          <t>東京都</t>
        </is>
      </c>
      <c r="C32" s="5" t="inlineStr">
        <is>
          <t>豊島区</t>
        </is>
      </c>
      <c r="D32" s="5" t="inlineStr">
        <is>
          <t>川村高等学校</t>
        </is>
      </c>
      <c r="E32" s="6" t="inlineStr">
        <is>
          <t>03-3984-8321</t>
        </is>
      </c>
      <c r="F32" s="7" t="inlineStr">
        <is>
          <t>高</t>
        </is>
      </c>
      <c r="G32" s="5" t="inlineStr">
        <is>
          <t>普通科</t>
        </is>
      </c>
      <c r="H32" s="8" t="n"/>
      <c r="I32" s="9" t="n"/>
      <c r="J32" s="9" t="inlineStr">
        <is>
          <t>未架電</t>
        </is>
      </c>
      <c r="K32" s="8" t="n"/>
      <c r="L32" s="9" t="n"/>
      <c r="M32" s="10" t="inlineStr">
        <is>
          <t>学校資料に「代表」と記載。中高共通</t>
        </is>
      </c>
      <c r="N32" s="11" t="inlineStr">
        <is>
          <t>https://www.univpress.co.jp/wp-content/uploads/29kawamura-.pdf ; https://map.yahoo.co.jp/v3/place/0LqAmew92LU</t>
        </is>
      </c>
      <c r="O32" s="12" t="inlineStr">
        <is>
          <t>開く</t>
        </is>
      </c>
    </row>
    <row r="33">
      <c r="A33" s="4" t="n">
        <v>29</v>
      </c>
      <c r="B33" s="5" t="inlineStr">
        <is>
          <t>東京都</t>
        </is>
      </c>
      <c r="C33" s="5" t="inlineStr">
        <is>
          <t>千代田区</t>
        </is>
      </c>
      <c r="D33" s="5" t="inlineStr">
        <is>
          <t>神田女学園高等学校</t>
        </is>
      </c>
      <c r="E33" s="6" t="inlineStr">
        <is>
          <t>03-6383-3751</t>
        </is>
      </c>
      <c r="F33" s="7" t="inlineStr">
        <is>
          <t>高</t>
        </is>
      </c>
      <c r="G33" s="5" t="inlineStr">
        <is>
          <t>普通科</t>
        </is>
      </c>
      <c r="H33" s="8" t="n"/>
      <c r="I33" s="9" t="n"/>
      <c r="J33" s="9" t="inlineStr">
        <is>
          <t>未架電</t>
        </is>
      </c>
      <c r="K33" s="8" t="n"/>
      <c r="L33" s="9" t="n"/>
      <c r="M33" s="10" t="inlineStr">
        <is>
          <t>中高共通。複数の情報源で一致</t>
        </is>
      </c>
      <c r="N33" s="11" t="inlineStr">
        <is>
          <t>https://www.inter-edu.com/schools/school/2211 ; https://school.js88.com/scl_h/22037920</t>
        </is>
      </c>
      <c r="O33" s="12" t="inlineStr">
        <is>
          <t>開く</t>
        </is>
      </c>
    </row>
    <row r="34">
      <c r="A34" s="4" t="n">
        <v>30</v>
      </c>
      <c r="B34" s="5" t="inlineStr">
        <is>
          <t>東京都</t>
        </is>
      </c>
      <c r="C34" s="5" t="inlineStr">
        <is>
          <t>渋谷区</t>
        </is>
      </c>
      <c r="D34" s="5" t="inlineStr">
        <is>
          <t>関東国際高等学校</t>
        </is>
      </c>
      <c r="E34" s="6" t="inlineStr">
        <is>
          <t>03-3376-2244</t>
        </is>
      </c>
      <c r="F34" s="7" t="inlineStr">
        <is>
          <t>高</t>
        </is>
      </c>
      <c r="G34" s="5" t="inlineStr">
        <is>
          <t>普通科・専門学科</t>
        </is>
      </c>
      <c r="H34" s="8" t="n"/>
      <c r="I34" s="9" t="n"/>
      <c r="J34" s="9" t="inlineStr">
        <is>
          <t>未架電</t>
        </is>
      </c>
      <c r="K34" s="8" t="n"/>
      <c r="L34" s="9" t="n"/>
      <c r="M34" s="10" t="inlineStr">
        <is>
          <t>東京都の私立高校一覧と一致</t>
        </is>
      </c>
      <c r="N34" s="11" t="inlineStr">
        <is>
          <t>https://www.inter-edu.com/schools/school/566 ; https://www.seikatubunka.metro.tokyo.lg.jp/documents/d/seikatubunka/07high_zennichi_r61201</t>
        </is>
      </c>
      <c r="O34" s="12" t="inlineStr">
        <is>
          <t>開く</t>
        </is>
      </c>
    </row>
    <row r="35">
      <c r="A35" s="4" t="n">
        <v>31</v>
      </c>
      <c r="B35" s="5" t="inlineStr">
        <is>
          <t>東京都</t>
        </is>
      </c>
      <c r="C35" s="5" t="inlineStr">
        <is>
          <t>江戸川区</t>
        </is>
      </c>
      <c r="D35" s="5" t="inlineStr">
        <is>
          <t>関東第一高等学校</t>
        </is>
      </c>
      <c r="E35" s="6" t="inlineStr">
        <is>
          <t>03-3653-1541</t>
        </is>
      </c>
      <c r="F35" s="7" t="inlineStr">
        <is>
          <t>高</t>
        </is>
      </c>
      <c r="G35" s="5" t="inlineStr">
        <is>
          <t>普通科</t>
        </is>
      </c>
      <c r="H35" s="8" t="n"/>
      <c r="I35" s="9" t="n"/>
      <c r="J35" s="9" t="inlineStr">
        <is>
          <t>未架電</t>
        </is>
      </c>
      <c r="K35" s="8" t="n"/>
      <c r="L35" s="9" t="n"/>
      <c r="M35" s="10" t="inlineStr">
        <is>
          <t>公式資料に学校代表として記載。広報直通は03-3653-1680</t>
        </is>
      </c>
      <c r="N35" s="11" t="inlineStr">
        <is>
          <t>https://www.kanto-ichiko.ac.jp/topics/assets/fdd62acf219d9e2f1087e8a41dadae25fea8c585.pdf</t>
        </is>
      </c>
      <c r="O35" s="12" t="inlineStr">
        <is>
          <t>開く</t>
        </is>
      </c>
    </row>
    <row r="36">
      <c r="A36" s="4" t="n">
        <v>32</v>
      </c>
      <c r="B36" s="5" t="inlineStr">
        <is>
          <t>東京都</t>
        </is>
      </c>
      <c r="C36" s="5" t="inlineStr">
        <is>
          <t>豊島区</t>
        </is>
      </c>
      <c r="D36" s="5" t="inlineStr">
        <is>
          <t>学習院高等科</t>
        </is>
      </c>
      <c r="E36" s="6" t="inlineStr">
        <is>
          <t>03-5992-1032</t>
        </is>
      </c>
      <c r="F36" s="7" t="inlineStr">
        <is>
          <t>高</t>
        </is>
      </c>
      <c r="G36" s="5" t="inlineStr">
        <is>
          <t>普通科</t>
        </is>
      </c>
      <c r="H36" s="8" t="n"/>
      <c r="I36" s="9" t="n"/>
      <c r="J36" s="9" t="inlineStr">
        <is>
          <t>未架電</t>
        </is>
      </c>
      <c r="K36" s="8" t="n"/>
      <c r="L36" s="9" t="n"/>
      <c r="M36" s="10" t="inlineStr">
        <is>
          <t>公式の学校案内と東京都の一覧で一致。一部サイトの03-3986-0221は旧番号の可能性</t>
        </is>
      </c>
      <c r="N36" s="11" t="inlineStr">
        <is>
          <t>https://www.gakushuin.ac.jp/bsh/admission/pdf/leaf2023.pdf ; https://www.seikatubunka.metro.tokyo.lg.jp/documents/d/seikatubunka/07high_zennichi_r61201</t>
        </is>
      </c>
      <c r="O36" s="12" t="inlineStr">
        <is>
          <t>開く</t>
        </is>
      </c>
    </row>
    <row r="37">
      <c r="A37" s="4" t="n">
        <v>33</v>
      </c>
      <c r="B37" s="5" t="inlineStr">
        <is>
          <t>東京都</t>
        </is>
      </c>
      <c r="C37" s="5" t="inlineStr">
        <is>
          <t>新宿区</t>
        </is>
      </c>
      <c r="D37" s="5" t="inlineStr">
        <is>
          <t>学習院女子高等科</t>
        </is>
      </c>
      <c r="E37" s="6" t="inlineStr">
        <is>
          <t>03-3203-1901</t>
        </is>
      </c>
      <c r="F37" s="13" t="inlineStr">
        <is>
          <t>中</t>
        </is>
      </c>
      <c r="G37" s="5" t="inlineStr">
        <is>
          <t>普通科</t>
        </is>
      </c>
      <c r="H37" s="8" t="n"/>
      <c r="I37" s="9" t="n"/>
      <c r="J37" s="9" t="inlineStr">
        <is>
          <t>未架電</t>
        </is>
      </c>
      <c r="K37" s="8" t="n"/>
      <c r="L37" s="9" t="n"/>
      <c r="M37" s="10" t="inlineStr">
        <is>
          <t>学校情報サイトのみで確認。03-3203-1906は学習院女子大学の番号なので注意</t>
        </is>
      </c>
      <c r="N37" s="11" t="inlineStr">
        <is>
          <t>https://www.inter-edu.com/schools/school/54 ; https://www.minkou.jp/junior/school/7530/</t>
        </is>
      </c>
      <c r="O37" s="12" t="inlineStr">
        <is>
          <t>開く</t>
        </is>
      </c>
    </row>
    <row r="38">
      <c r="A38" s="4" t="n">
        <v>34</v>
      </c>
      <c r="B38" s="5" t="inlineStr">
        <is>
          <t>東京都</t>
        </is>
      </c>
      <c r="C38" s="5" t="inlineStr">
        <is>
          <t>北区</t>
        </is>
      </c>
      <c r="D38" s="5" t="inlineStr">
        <is>
          <t>北里大学附属順天高等学校</t>
        </is>
      </c>
      <c r="E38" s="6" t="inlineStr">
        <is>
          <t>03-3908-2966</t>
        </is>
      </c>
      <c r="F38" s="7" t="inlineStr">
        <is>
          <t>高</t>
        </is>
      </c>
      <c r="G38" s="5" t="inlineStr">
        <is>
          <t>普通科</t>
        </is>
      </c>
      <c r="H38" s="8" t="n"/>
      <c r="I38" s="9" t="n"/>
      <c r="J38" s="9" t="inlineStr">
        <is>
          <t>未架電</t>
        </is>
      </c>
      <c r="K38" s="8" t="n"/>
      <c r="L38" s="9" t="n"/>
      <c r="M38" s="10" t="inlineStr">
        <is>
          <t>旧 順天高校。2つのサイトで一致</t>
        </is>
      </c>
      <c r="N38" s="11" t="inlineStr">
        <is>
          <t>https://www.inter-edu.com/schools/school/1995 ; https://school.js88.com/scl_h/22038690?page=6</t>
        </is>
      </c>
      <c r="O38" s="12" t="inlineStr">
        <is>
          <t>開く</t>
        </is>
      </c>
    </row>
    <row r="39">
      <c r="A39" s="4" t="n">
        <v>35</v>
      </c>
      <c r="B39" s="5" t="inlineStr">
        <is>
          <t>東京都</t>
        </is>
      </c>
      <c r="C39" s="5" t="inlineStr">
        <is>
          <t>荒川区</t>
        </is>
      </c>
      <c r="D39" s="5" t="inlineStr">
        <is>
          <t>北豊島高等学校</t>
        </is>
      </c>
      <c r="E39" s="6" t="inlineStr">
        <is>
          <t>03-3895-4490</t>
        </is>
      </c>
      <c r="F39" s="13" t="inlineStr">
        <is>
          <t>中</t>
        </is>
      </c>
      <c r="G39" s="5" t="inlineStr">
        <is>
          <t>普通科</t>
        </is>
      </c>
      <c r="H39" s="8" t="n"/>
      <c r="I39" s="9" t="n"/>
      <c r="J39" s="9" t="inlineStr">
        <is>
          <t>未架電</t>
        </is>
      </c>
      <c r="K39" s="8" t="n"/>
      <c r="L39" s="9" t="n"/>
      <c r="M39" s="10" t="inlineStr">
        <is>
          <t>全日制の番号（学校情報サイト）。通信制課程は03-3895-3051</t>
        </is>
      </c>
      <c r="N39" s="11" t="inlineStr">
        <is>
          <t>https://www.inter-edu.com/schools/school/189</t>
        </is>
      </c>
      <c r="O39" s="12" t="inlineStr">
        <is>
          <t>開く</t>
        </is>
      </c>
    </row>
    <row r="40">
      <c r="A40" s="4" t="n">
        <v>36</v>
      </c>
      <c r="B40" s="5" t="inlineStr">
        <is>
          <t>東京都</t>
        </is>
      </c>
      <c r="C40" s="5" t="inlineStr">
        <is>
          <t>武蔵野市</t>
        </is>
      </c>
      <c r="D40" s="5" t="inlineStr">
        <is>
          <t>吉祥寺湧水高等学校</t>
        </is>
      </c>
      <c r="E40" s="6" t="inlineStr">
        <is>
          <t>0422-22-1266</t>
        </is>
      </c>
      <c r="F40" s="13" t="inlineStr">
        <is>
          <t>中</t>
        </is>
      </c>
      <c r="G40" s="5" t="inlineStr">
        <is>
          <t>普通科</t>
        </is>
      </c>
      <c r="H40" s="8" t="n"/>
      <c r="I40" s="9" t="n"/>
      <c r="J40" s="9" t="inlineStr">
        <is>
          <t>未架電</t>
        </is>
      </c>
      <c r="K40" s="8" t="n"/>
      <c r="L40" s="9" t="n"/>
      <c r="M40" s="10" t="inlineStr">
        <is>
          <t>【校名変更予定】現在は藤村女子高校（2027年4月に改称予定）。学校情報サイトのみで確認</t>
        </is>
      </c>
      <c r="N40" s="11" t="inlineStr">
        <is>
          <t>https://www.inter-edu.com/schools/school/2102 ; https://www.minkou.jp/junior/school/8077/</t>
        </is>
      </c>
      <c r="O40" s="12" t="inlineStr">
        <is>
          <t>開く</t>
        </is>
      </c>
    </row>
    <row r="41">
      <c r="A41" s="4" t="n">
        <v>37</v>
      </c>
      <c r="B41" s="5" t="inlineStr">
        <is>
          <t>東京都</t>
        </is>
      </c>
      <c r="C41" s="5" t="inlineStr">
        <is>
          <t>武蔵野市</t>
        </is>
      </c>
      <c r="D41" s="5" t="inlineStr">
        <is>
          <t>吉祥女子高等学校</t>
        </is>
      </c>
      <c r="E41" s="6" t="inlineStr">
        <is>
          <t>0422-22-8117</t>
        </is>
      </c>
      <c r="F41" s="13" t="inlineStr">
        <is>
          <t>中</t>
        </is>
      </c>
      <c r="G41" s="5" t="inlineStr">
        <is>
          <t>普通科</t>
        </is>
      </c>
      <c r="H41" s="8" t="n"/>
      <c r="I41" s="9" t="n"/>
      <c r="J41" s="9" t="inlineStr">
        <is>
          <t>未架電</t>
        </is>
      </c>
      <c r="K41" s="8" t="n"/>
      <c r="L41" s="9" t="n"/>
      <c r="M41" s="10" t="inlineStr">
        <is>
          <t>学校情報サイト1件のみで確認</t>
        </is>
      </c>
      <c r="N41" s="11" t="inlineStr">
        <is>
          <t>https://www.inter-edu.com/schools/school/103</t>
        </is>
      </c>
      <c r="O41" s="12" t="inlineStr">
        <is>
          <t>開く</t>
        </is>
      </c>
    </row>
    <row r="42">
      <c r="A42" s="4" t="n">
        <v>38</v>
      </c>
      <c r="B42" s="5" t="inlineStr">
        <is>
          <t>東京都</t>
        </is>
      </c>
      <c r="C42" s="5" t="inlineStr">
        <is>
          <t>葛飾区</t>
        </is>
      </c>
      <c r="D42" s="5" t="inlineStr">
        <is>
          <t>共栄学園高等学校</t>
        </is>
      </c>
      <c r="E42" s="6" t="inlineStr">
        <is>
          <t>03-3601-7136</t>
        </is>
      </c>
      <c r="F42" s="7" t="inlineStr">
        <is>
          <t>高</t>
        </is>
      </c>
      <c r="G42" s="5" t="inlineStr">
        <is>
          <t>普通科</t>
        </is>
      </c>
      <c r="H42" s="8" t="n"/>
      <c r="I42" s="9" t="n"/>
      <c r="J42" s="9" t="inlineStr">
        <is>
          <t>未架電</t>
        </is>
      </c>
      <c r="K42" s="8" t="n"/>
      <c r="L42" s="9" t="n"/>
      <c r="M42" s="10" t="inlineStr">
        <is>
          <t>2つの情報源で一致</t>
        </is>
      </c>
      <c r="N42" s="11" t="inlineStr">
        <is>
          <t>https://www.inter-edu.com/schools/school/1992 ; https://univpress.co.jp/gk_pdf/13604.pdf</t>
        </is>
      </c>
      <c r="O42" s="12" t="inlineStr">
        <is>
          <t>開く</t>
        </is>
      </c>
    </row>
    <row r="43">
      <c r="A43" s="4" t="n">
        <v>39</v>
      </c>
      <c r="B43" s="5" t="inlineStr">
        <is>
          <t>東京都</t>
        </is>
      </c>
      <c r="C43" s="5" t="inlineStr">
        <is>
          <t>千代田区</t>
        </is>
      </c>
      <c r="D43" s="5" t="inlineStr">
        <is>
          <t>共立女子高等学校</t>
        </is>
      </c>
      <c r="E43" s="6" t="inlineStr">
        <is>
          <t>03-3237-2744</t>
        </is>
      </c>
      <c r="F43" s="7" t="inlineStr">
        <is>
          <t>高</t>
        </is>
      </c>
      <c r="G43" s="5" t="inlineStr">
        <is>
          <t>普通科</t>
        </is>
      </c>
      <c r="H43" s="8" t="n"/>
      <c r="I43" s="9" t="n"/>
      <c r="J43" s="9" t="inlineStr">
        <is>
          <t>未架電</t>
        </is>
      </c>
      <c r="K43" s="8" t="n"/>
      <c r="L43" s="9" t="n"/>
      <c r="M43" s="10" t="inlineStr">
        <is>
          <t>東京都の私立高校一覧ほかで一致</t>
        </is>
      </c>
      <c r="N43" s="11" t="inlineStr">
        <is>
          <t>https://www.seikatubunka.metro.tokyo.lg.jp/documents/d/seikatubunka/07high_zennichi_r61201 ; https://www.inter-edu.com/schools/school/104</t>
        </is>
      </c>
      <c r="O43" s="12" t="inlineStr">
        <is>
          <t>開く</t>
        </is>
      </c>
    </row>
    <row r="44">
      <c r="A44" s="4" t="n">
        <v>40</v>
      </c>
      <c r="B44" s="5" t="inlineStr">
        <is>
          <t>東京都</t>
        </is>
      </c>
      <c r="C44" s="5" t="inlineStr">
        <is>
          <t>八王子市</t>
        </is>
      </c>
      <c r="D44" s="5" t="inlineStr">
        <is>
          <t>共立女子第二高等学校</t>
        </is>
      </c>
      <c r="E44" s="6" t="inlineStr">
        <is>
          <t>042-661-9952</t>
        </is>
      </c>
      <c r="F44" s="13" t="inlineStr">
        <is>
          <t>中</t>
        </is>
      </c>
      <c r="G44" s="5" t="inlineStr">
        <is>
          <t>普通科</t>
        </is>
      </c>
      <c r="H44" s="8" t="n"/>
      <c r="I44" s="9" t="n"/>
      <c r="J44" s="9" t="inlineStr">
        <is>
          <t>未架電</t>
        </is>
      </c>
      <c r="K44" s="8" t="n"/>
      <c r="L44" s="9" t="n"/>
      <c r="M44" s="10" t="inlineStr">
        <is>
          <t>学校情報サイトのみで確認</t>
        </is>
      </c>
      <c r="N44" s="11" t="inlineStr">
        <is>
          <t>https://www.inter-edu.com/schools/school/1875</t>
        </is>
      </c>
      <c r="O44" s="12" t="inlineStr">
        <is>
          <t>開く</t>
        </is>
      </c>
    </row>
    <row r="45">
      <c r="A45" s="4" t="n">
        <v>41</v>
      </c>
      <c r="B45" s="5" t="inlineStr">
        <is>
          <t>東京都</t>
        </is>
      </c>
      <c r="C45" s="5" t="inlineStr">
        <is>
          <t>千代田区</t>
        </is>
      </c>
      <c r="D45" s="5" t="inlineStr">
        <is>
          <t>錦城学園高等学校</t>
        </is>
      </c>
      <c r="E45" s="6" t="inlineStr">
        <is>
          <t>03-3291-3211</t>
        </is>
      </c>
      <c r="F45" s="13" t="inlineStr">
        <is>
          <t>中</t>
        </is>
      </c>
      <c r="G45" s="5" t="inlineStr">
        <is>
          <t>普通科</t>
        </is>
      </c>
      <c r="H45" s="8" t="n"/>
      <c r="I45" s="9" t="n"/>
      <c r="J45" s="9" t="inlineStr">
        <is>
          <t>未架電</t>
        </is>
      </c>
      <c r="K45" s="8" t="n"/>
      <c r="L45" s="9" t="n"/>
      <c r="M45" s="10" t="inlineStr">
        <is>
          <t>学校情報サイトのみで確認。錦城高校（小平市）とは別の学校</t>
        </is>
      </c>
      <c r="N45" s="11" t="inlineStr">
        <is>
          <t>https://www.inter-edu.com/schools/school/1017 ; https://school.js88.com/scl_h/22037990</t>
        </is>
      </c>
      <c r="O45" s="12" t="inlineStr">
        <is>
          <t>開く</t>
        </is>
      </c>
    </row>
    <row r="46">
      <c r="A46" s="4" t="n">
        <v>42</v>
      </c>
      <c r="B46" s="5" t="inlineStr">
        <is>
          <t>東京都</t>
        </is>
      </c>
      <c r="C46" s="5" t="inlineStr">
        <is>
          <t>小平市</t>
        </is>
      </c>
      <c r="D46" s="5" t="inlineStr">
        <is>
          <t>錦城高等学校</t>
        </is>
      </c>
      <c r="E46" s="6" t="inlineStr">
        <is>
          <t>042-341-0741</t>
        </is>
      </c>
      <c r="F46" s="7" t="inlineStr">
        <is>
          <t>高</t>
        </is>
      </c>
      <c r="G46" s="5" t="inlineStr">
        <is>
          <t>普通科</t>
        </is>
      </c>
      <c r="H46" s="8" t="n"/>
      <c r="I46" s="9" t="n"/>
      <c r="J46" s="9" t="inlineStr">
        <is>
          <t>未架電</t>
        </is>
      </c>
      <c r="K46" s="8" t="n"/>
      <c r="L46" s="9" t="n"/>
      <c r="M46" s="10" t="inlineStr">
        <is>
          <t>複数の資料で一致。錦城学園（千代田区）とは別の学校</t>
        </is>
      </c>
      <c r="N46" s="11" t="inlineStr">
        <is>
          <t>https://www.inter-edu.com/schools/school/575 ; https://www.univpress.co.jp/gk_pdf/13720.pdf</t>
        </is>
      </c>
      <c r="O46" s="12" t="inlineStr">
        <is>
          <t>開く</t>
        </is>
      </c>
    </row>
    <row r="47">
      <c r="A47" s="4" t="n">
        <v>43</v>
      </c>
      <c r="B47" s="5" t="inlineStr">
        <is>
          <t>東京都</t>
        </is>
      </c>
      <c r="C47" s="5" t="inlineStr">
        <is>
          <t>千代田区</t>
        </is>
      </c>
      <c r="D47" s="5" t="inlineStr">
        <is>
          <t>暁星高等学校</t>
        </is>
      </c>
      <c r="E47" s="6" t="inlineStr">
        <is>
          <t>03-3262-3291</t>
        </is>
      </c>
      <c r="F47" s="7" t="inlineStr">
        <is>
          <t>高</t>
        </is>
      </c>
      <c r="G47" s="5" t="inlineStr">
        <is>
          <t>普通科</t>
        </is>
      </c>
      <c r="H47" s="8" t="n"/>
      <c r="I47" s="9" t="n"/>
      <c r="J47" s="9" t="inlineStr">
        <is>
          <t>未架電</t>
        </is>
      </c>
      <c r="K47" s="8" t="n"/>
      <c r="L47" s="9" t="n"/>
      <c r="M47" s="10" t="inlineStr">
        <is>
          <t>中高共通。東京都の私立高校一覧と一致</t>
        </is>
      </c>
      <c r="N47" s="11" t="inlineStr">
        <is>
          <t>https://www.seikatubunka.metro.tokyo.lg.jp/documents/d/seikatubunka/07high_zennichi_r61201 ; https://www.inter-edu.com/schools/school/105</t>
        </is>
      </c>
      <c r="O47" s="12" t="inlineStr">
        <is>
          <t>開く</t>
        </is>
      </c>
    </row>
    <row r="48">
      <c r="A48" s="4" t="n">
        <v>44</v>
      </c>
      <c r="B48" s="5" t="inlineStr">
        <is>
          <t>東京都</t>
        </is>
      </c>
      <c r="C48" s="5" t="inlineStr">
        <is>
          <t>国立市</t>
        </is>
      </c>
      <c r="D48" s="5" t="inlineStr">
        <is>
          <t>国立音楽大学附属高等学校</t>
        </is>
      </c>
      <c r="E48" s="6" t="inlineStr">
        <is>
          <t>042-572-4111</t>
        </is>
      </c>
      <c r="F48" s="7" t="inlineStr">
        <is>
          <t>高</t>
        </is>
      </c>
      <c r="G48" s="5" t="inlineStr">
        <is>
          <t>普通科・専門学科</t>
        </is>
      </c>
      <c r="H48" s="8" t="n"/>
      <c r="I48" s="9" t="n"/>
      <c r="J48" s="9" t="inlineStr">
        <is>
          <t>未架電</t>
        </is>
      </c>
      <c r="K48" s="8" t="n"/>
      <c r="L48" s="9" t="n"/>
      <c r="M48" s="10" t="inlineStr">
        <is>
          <t>中高共通。複数の情報源で一致</t>
        </is>
      </c>
      <c r="N48" s="11" t="inlineStr">
        <is>
          <t>https://www.inter-edu.com/schools/school/1873 ; https://www.minkou.jp/junior/school/8203/</t>
        </is>
      </c>
      <c r="O48" s="12" t="inlineStr">
        <is>
          <t>開く</t>
        </is>
      </c>
    </row>
    <row r="49">
      <c r="A49" s="4" t="n">
        <v>45</v>
      </c>
      <c r="B49" s="5" t="inlineStr">
        <is>
          <t>東京都</t>
        </is>
      </c>
      <c r="C49" s="5" t="inlineStr">
        <is>
          <t>世田谷区</t>
        </is>
      </c>
      <c r="D49" s="5" t="inlineStr">
        <is>
          <t>国本女子高等学校</t>
        </is>
      </c>
      <c r="E49" s="6" t="inlineStr">
        <is>
          <t>03-3416-4722</t>
        </is>
      </c>
      <c r="F49" s="7" t="inlineStr">
        <is>
          <t>高</t>
        </is>
      </c>
      <c r="G49" s="5" t="inlineStr">
        <is>
          <t>普通科</t>
        </is>
      </c>
      <c r="H49" s="8" t="n"/>
      <c r="I49" s="9" t="n"/>
      <c r="J49" s="9" t="inlineStr">
        <is>
          <t>未架電</t>
        </is>
      </c>
      <c r="K49" s="8" t="n"/>
      <c r="L49" s="9" t="n"/>
      <c r="M49" s="10" t="inlineStr">
        <is>
          <t>中高共通。複数の情報源で一致</t>
        </is>
      </c>
      <c r="N49" s="11" t="inlineStr">
        <is>
          <t>https://www.inter-edu.com/schools/school/2112 ; https://school.js88.com/scl_h/22039150</t>
        </is>
      </c>
      <c r="O49" s="12" t="inlineStr">
        <is>
          <t>開く</t>
        </is>
      </c>
    </row>
    <row r="50">
      <c r="A50" s="4" t="n">
        <v>46</v>
      </c>
      <c r="B50" s="5" t="inlineStr">
        <is>
          <t>東京都</t>
        </is>
      </c>
      <c r="C50" s="5" t="inlineStr">
        <is>
          <t>港区</t>
        </is>
      </c>
      <c r="D50" s="5" t="inlineStr">
        <is>
          <t>慶應義塾女子高等学校</t>
        </is>
      </c>
      <c r="E50" s="6" t="inlineStr">
        <is>
          <t>03-5427-1674</t>
        </is>
      </c>
      <c r="F50" s="7" t="inlineStr">
        <is>
          <t>高</t>
        </is>
      </c>
      <c r="G50" s="5" t="inlineStr">
        <is>
          <t>普通科</t>
        </is>
      </c>
      <c r="H50" s="8" t="n"/>
      <c r="I50" s="9" t="n"/>
      <c r="J50" s="9" t="inlineStr">
        <is>
          <t>未架電</t>
        </is>
      </c>
      <c r="K50" s="8" t="n"/>
      <c r="L50" s="9" t="n"/>
      <c r="M50" s="10" t="inlineStr">
        <is>
          <t>公式の入試要項に「代表」と記載</t>
        </is>
      </c>
      <c r="N50" s="11" t="inlineStr">
        <is>
          <t>https://www.gshs.keio.ac.jp/common/pdf/2026nyushiyoko_suisen.pdf</t>
        </is>
      </c>
      <c r="O50" s="12" t="inlineStr">
        <is>
          <t>開く</t>
        </is>
      </c>
    </row>
    <row r="51">
      <c r="A51" s="4" t="n">
        <v>47</v>
      </c>
      <c r="B51" s="5" t="inlineStr">
        <is>
          <t>東京都</t>
        </is>
      </c>
      <c r="C51" s="5" t="inlineStr">
        <is>
          <t>文京区</t>
        </is>
      </c>
      <c r="D51" s="5" t="inlineStr">
        <is>
          <t>京華高等学校</t>
        </is>
      </c>
      <c r="E51" s="6" t="inlineStr">
        <is>
          <t>03-3946-4451</t>
        </is>
      </c>
      <c r="F51" s="7" t="inlineStr">
        <is>
          <t>高</t>
        </is>
      </c>
      <c r="G51" s="5" t="inlineStr">
        <is>
          <t>普通科</t>
        </is>
      </c>
      <c r="H51" s="8" t="n"/>
      <c r="I51" s="9" t="n"/>
      <c r="J51" s="9" t="inlineStr">
        <is>
          <t>未架電</t>
        </is>
      </c>
      <c r="K51" s="8" t="n"/>
      <c r="L51" s="9" t="n"/>
      <c r="M51" s="10" t="inlineStr">
        <is>
          <t>中高共通。京華商業・京華女子とは別番号</t>
        </is>
      </c>
      <c r="N51" s="11" t="inlineStr">
        <is>
          <t>https://www.inter-edu.com/schools/school/1991 ; https://www.city.bunkyo.lg.jp/documents/5788/kizi_2024.pdf</t>
        </is>
      </c>
      <c r="O51" s="12" t="inlineStr">
        <is>
          <t>開く</t>
        </is>
      </c>
    </row>
    <row r="52">
      <c r="A52" s="4" t="n">
        <v>48</v>
      </c>
      <c r="B52" s="5" t="inlineStr">
        <is>
          <t>東京都</t>
        </is>
      </c>
      <c r="C52" s="5" t="inlineStr">
        <is>
          <t>文京区</t>
        </is>
      </c>
      <c r="D52" s="5" t="inlineStr">
        <is>
          <t>京華商業高等学校</t>
        </is>
      </c>
      <c r="E52" s="6" t="inlineStr">
        <is>
          <t>03-3946-4491</t>
        </is>
      </c>
      <c r="F52" s="7" t="inlineStr">
        <is>
          <t>高</t>
        </is>
      </c>
      <c r="G52" s="5" t="inlineStr">
        <is>
          <t>専門学科</t>
        </is>
      </c>
      <c r="H52" s="8" t="n"/>
      <c r="I52" s="9" t="n"/>
      <c r="J52" s="9" t="inlineStr">
        <is>
          <t>未架電</t>
        </is>
      </c>
      <c r="K52" s="8" t="n"/>
      <c r="L52" s="9" t="n"/>
      <c r="M52" s="10" t="inlineStr">
        <is>
          <t>京華・京華女子とは別番号</t>
        </is>
      </c>
      <c r="N52" s="11" t="inlineStr">
        <is>
          <t>https://www.city.bunkyo.lg.jp/b003/p006756.html ; https://www.univpress.co.jp/gk_pdf/13568.pdf</t>
        </is>
      </c>
      <c r="O52" s="12" t="inlineStr">
        <is>
          <t>開く</t>
        </is>
      </c>
    </row>
    <row r="53">
      <c r="A53" s="4" t="n">
        <v>49</v>
      </c>
      <c r="B53" s="5" t="inlineStr">
        <is>
          <t>東京都</t>
        </is>
      </c>
      <c r="C53" s="5" t="inlineStr">
        <is>
          <t>文京区</t>
        </is>
      </c>
      <c r="D53" s="5" t="inlineStr">
        <is>
          <t>京華女子高等学校</t>
        </is>
      </c>
      <c r="E53" s="6" t="inlineStr">
        <is>
          <t>03-3946-4434</t>
        </is>
      </c>
      <c r="F53" s="7" t="inlineStr">
        <is>
          <t>高</t>
        </is>
      </c>
      <c r="G53" s="5" t="inlineStr">
        <is>
          <t>普通科</t>
        </is>
      </c>
      <c r="H53" s="8" t="n"/>
      <c r="I53" s="9" t="n"/>
      <c r="J53" s="9" t="inlineStr">
        <is>
          <t>未架電</t>
        </is>
      </c>
      <c r="K53" s="8" t="n"/>
      <c r="L53" s="9" t="n"/>
      <c r="M53" s="10" t="inlineStr">
        <is>
          <t>中高共通。京華・京華商業とは別番号</t>
        </is>
      </c>
      <c r="N53" s="11" t="inlineStr">
        <is>
          <t>https://www.inter-edu.com/schools/school/2098 ; https://www.seikatubunka.metro.tokyo.lg.jp/documents/d/seikatubunka/07high_zennichi_r61201</t>
        </is>
      </c>
      <c r="O53" s="12" t="inlineStr">
        <is>
          <t>開く</t>
        </is>
      </c>
    </row>
    <row r="54">
      <c r="A54" s="4" t="n">
        <v>50</v>
      </c>
      <c r="B54" s="5" t="inlineStr">
        <is>
          <t>東京都</t>
        </is>
      </c>
      <c r="C54" s="5" t="inlineStr">
        <is>
          <t>世田谷区</t>
        </is>
      </c>
      <c r="D54" s="5" t="inlineStr">
        <is>
          <t>恵泉女学園高等学校</t>
        </is>
      </c>
      <c r="E54" s="6" t="inlineStr">
        <is>
          <t>03-3303-2115</t>
        </is>
      </c>
      <c r="F54" s="7" t="inlineStr">
        <is>
          <t>高</t>
        </is>
      </c>
      <c r="G54" s="5" t="inlineStr">
        <is>
          <t>普通科</t>
        </is>
      </c>
      <c r="H54" s="8" t="n"/>
      <c r="I54" s="9" t="n"/>
      <c r="J54" s="9" t="inlineStr">
        <is>
          <t>未架電</t>
        </is>
      </c>
      <c r="K54" s="8" t="n"/>
      <c r="L54" s="9" t="n"/>
      <c r="M54" s="10" t="inlineStr">
        <is>
          <t>中高共通。高校からの生徒募集なし（完全中高一貫）</t>
        </is>
      </c>
      <c r="N54" s="11" t="inlineStr">
        <is>
          <t>https://www.inter-edu.com/schools/school/191 ; https://uccj.org/kyodan/wp-content/uploads/2022/12/2023school1.pdf</t>
        </is>
      </c>
      <c r="O54" s="12" t="inlineStr">
        <is>
          <t>開く</t>
        </is>
      </c>
    </row>
    <row r="55">
      <c r="A55" s="4" t="n">
        <v>51</v>
      </c>
      <c r="B55" s="5" t="inlineStr">
        <is>
          <t>東京都</t>
        </is>
      </c>
      <c r="C55" s="5" t="inlineStr">
        <is>
          <t>昭島市</t>
        </is>
      </c>
      <c r="D55" s="5" t="inlineStr">
        <is>
          <t>啓明学園高等学校</t>
        </is>
      </c>
      <c r="E55" s="6" t="inlineStr">
        <is>
          <t>042-541-1003</t>
        </is>
      </c>
      <c r="F55" s="13" t="inlineStr">
        <is>
          <t>中</t>
        </is>
      </c>
      <c r="G55" s="5" t="inlineStr">
        <is>
          <t>普通科</t>
        </is>
      </c>
      <c r="H55" s="8" t="n"/>
      <c r="I55" s="9" t="n"/>
      <c r="J55" s="9" t="inlineStr">
        <is>
          <t>未架電</t>
        </is>
      </c>
      <c r="K55" s="8" t="n"/>
      <c r="L55" s="9" t="n"/>
      <c r="M55" s="10" t="inlineStr">
        <is>
          <t>中高共通。学校情報サイトのみで確認</t>
        </is>
      </c>
      <c r="N55" s="11" t="inlineStr">
        <is>
          <t>https://www.inter-edu.com/schools/school/1956</t>
        </is>
      </c>
      <c r="O55" s="12" t="inlineStr">
        <is>
          <t>開く</t>
        </is>
      </c>
    </row>
    <row r="56">
      <c r="A56" s="4" t="n">
        <v>52</v>
      </c>
      <c r="B56" s="5" t="inlineStr">
        <is>
          <t>東京都</t>
        </is>
      </c>
      <c r="C56" s="5" t="inlineStr">
        <is>
          <t>文京区</t>
        </is>
      </c>
      <c r="D56" s="5" t="inlineStr">
        <is>
          <t>小石川淑徳学園高等学校</t>
        </is>
      </c>
      <c r="E56" s="6" t="inlineStr">
        <is>
          <t>03-3811-0237</t>
        </is>
      </c>
      <c r="F56" s="7" t="inlineStr">
        <is>
          <t>高</t>
        </is>
      </c>
      <c r="G56" s="5" t="inlineStr">
        <is>
          <t>普通科</t>
        </is>
      </c>
      <c r="H56" s="8" t="n"/>
      <c r="I56" s="9" t="n"/>
      <c r="J56" s="9" t="inlineStr">
        <is>
          <t>未架電</t>
        </is>
      </c>
      <c r="K56" s="8" t="n"/>
      <c r="L56" s="9" t="n"/>
      <c r="M56" s="10" t="inlineStr">
        <is>
          <t>中高共通。広尾学園小石川とは別の学校</t>
        </is>
      </c>
      <c r="N56" s="11" t="inlineStr">
        <is>
          <t>https://school.js88.com/scl_h/22038550 ; https://www.inter-edu.com/schools/school/2113</t>
        </is>
      </c>
      <c r="O56" s="12" t="inlineStr">
        <is>
          <t>開く</t>
        </is>
      </c>
    </row>
    <row r="57">
      <c r="A57" s="4" t="n">
        <v>53</v>
      </c>
      <c r="B57" s="5" t="inlineStr">
        <is>
          <t>東京都</t>
        </is>
      </c>
      <c r="C57" s="5" t="inlineStr">
        <is>
          <t>杉並区</t>
        </is>
      </c>
      <c r="D57" s="5" t="inlineStr">
        <is>
          <t>光塩女子学院高等科</t>
        </is>
      </c>
      <c r="E57" s="6" t="inlineStr">
        <is>
          <t>03-3315-1911</t>
        </is>
      </c>
      <c r="F57" s="7" t="inlineStr">
        <is>
          <t>高</t>
        </is>
      </c>
      <c r="G57" s="5" t="inlineStr">
        <is>
          <t>普通科</t>
        </is>
      </c>
      <c r="H57" s="8" t="n"/>
      <c r="I57" s="9" t="n"/>
      <c r="J57" s="9" t="inlineStr">
        <is>
          <t>未架電</t>
        </is>
      </c>
      <c r="K57" s="8" t="n"/>
      <c r="L57" s="9" t="n"/>
      <c r="M57" s="10" t="inlineStr">
        <is>
          <t>中高共通。杉並区の一覧と一致</t>
        </is>
      </c>
      <c r="N57" s="11" t="inlineStr">
        <is>
          <t>https://www.city.suginami.tokyo.jp/kusei/gaiyou/shisetsu/genre/school/shiritsukoukou/index.html ; https://www.inter-edu.com/schools/school/55</t>
        </is>
      </c>
      <c r="O57" s="12" t="inlineStr">
        <is>
          <t>開く</t>
        </is>
      </c>
    </row>
    <row r="58">
      <c r="A58" s="4" t="n">
        <v>54</v>
      </c>
      <c r="B58" s="5" t="inlineStr">
        <is>
          <t>東京都</t>
        </is>
      </c>
      <c r="C58" s="5" t="inlineStr">
        <is>
          <t>調布市</t>
        </is>
      </c>
      <c r="D58" s="5" t="inlineStr">
        <is>
          <t>晃華学園高等学校</t>
        </is>
      </c>
      <c r="E58" s="6" t="inlineStr">
        <is>
          <t>042-482-8952</t>
        </is>
      </c>
      <c r="F58" s="7" t="inlineStr">
        <is>
          <t>高</t>
        </is>
      </c>
      <c r="G58" s="5" t="inlineStr">
        <is>
          <t>普通科</t>
        </is>
      </c>
      <c r="H58" s="8" t="n"/>
      <c r="I58" s="9" t="n"/>
      <c r="J58" s="9" t="inlineStr">
        <is>
          <t>未架電</t>
        </is>
      </c>
      <c r="K58" s="8" t="n"/>
      <c r="L58" s="9" t="n"/>
      <c r="M58" s="10" t="inlineStr">
        <is>
          <t>中高共通</t>
        </is>
      </c>
      <c r="N58" s="11" t="inlineStr">
        <is>
          <t>https://www.inter-edu.com/schools/school/56 ; https://school.js88.com/scl_h/22038410</t>
        </is>
      </c>
      <c r="O58" s="12" t="inlineStr">
        <is>
          <t>開く</t>
        </is>
      </c>
    </row>
    <row r="59">
      <c r="A59" s="4" t="n">
        <v>55</v>
      </c>
      <c r="B59" s="5" t="inlineStr">
        <is>
          <t>東京都</t>
        </is>
      </c>
      <c r="C59" s="5" t="inlineStr">
        <is>
          <t>八王子市</t>
        </is>
      </c>
      <c r="D59" s="5" t="inlineStr">
        <is>
          <t>工学院大学附属高等学校</t>
        </is>
      </c>
      <c r="E59" s="6" t="inlineStr">
        <is>
          <t>042-628-4912</t>
        </is>
      </c>
      <c r="F59" s="7" t="inlineStr">
        <is>
          <t>高</t>
        </is>
      </c>
      <c r="G59" s="5" t="inlineStr">
        <is>
          <t>普通科</t>
        </is>
      </c>
      <c r="H59" s="8" t="n"/>
      <c r="I59" s="9" t="n"/>
      <c r="J59" s="9" t="inlineStr">
        <is>
          <t>未架電</t>
        </is>
      </c>
      <c r="K59" s="8" t="n"/>
      <c r="L59" s="9" t="n"/>
      <c r="M59" s="10" t="inlineStr">
        <is>
          <t>公式サイトに「代表」と記載。中高共通。入試広報部は042-628-4914</t>
        </is>
      </c>
      <c r="N59" s="11" t="inlineStr">
        <is>
          <t>https://www.js.kogakuin.ac.jp/about/contact.html</t>
        </is>
      </c>
      <c r="O59" s="12" t="inlineStr">
        <is>
          <t>開く</t>
        </is>
      </c>
    </row>
    <row r="60">
      <c r="A60" s="4" t="n">
        <v>56</v>
      </c>
      <c r="B60" s="5" t="inlineStr">
        <is>
          <t>東京都</t>
        </is>
      </c>
      <c r="C60" s="5" t="inlineStr">
        <is>
          <t>品川区</t>
        </is>
      </c>
      <c r="D60" s="5" t="inlineStr">
        <is>
          <t>攻玉社高等学校</t>
        </is>
      </c>
      <c r="E60" s="6" t="inlineStr">
        <is>
          <t>03-3493-0331</t>
        </is>
      </c>
      <c r="F60" s="7" t="inlineStr">
        <is>
          <t>高</t>
        </is>
      </c>
      <c r="G60" s="5" t="inlineStr">
        <is>
          <t>普通科</t>
        </is>
      </c>
      <c r="H60" s="8" t="n"/>
      <c r="I60" s="9" t="n"/>
      <c r="J60" s="9" t="inlineStr">
        <is>
          <t>未架電</t>
        </is>
      </c>
      <c r="K60" s="8" t="n"/>
      <c r="L60" s="9" t="n"/>
      <c r="M60" s="10" t="inlineStr">
        <is>
          <t>中高共通</t>
        </is>
      </c>
      <c r="N60" s="11" t="inlineStr">
        <is>
          <t>https://school.js88.com/scl_h/22038910 ; https://www.inter-edu.com/schools/school/8</t>
        </is>
      </c>
      <c r="O60" s="12" t="inlineStr">
        <is>
          <t>開く</t>
        </is>
      </c>
    </row>
    <row r="61">
      <c r="A61" s="4" t="n">
        <v>57</v>
      </c>
      <c r="B61" s="5" t="inlineStr">
        <is>
          <t>東京都</t>
        </is>
      </c>
      <c r="C61" s="5" t="inlineStr">
        <is>
          <t>千代田区</t>
        </is>
      </c>
      <c r="D61" s="5" t="inlineStr">
        <is>
          <t>麹町学園女子高等学校</t>
        </is>
      </c>
      <c r="E61" s="6" t="inlineStr">
        <is>
          <t>03-3263-3011</t>
        </is>
      </c>
      <c r="F61" s="13" t="inlineStr">
        <is>
          <t>中</t>
        </is>
      </c>
      <c r="G61" s="5" t="inlineStr">
        <is>
          <t>普通科</t>
        </is>
      </c>
      <c r="H61" s="8" t="n"/>
      <c r="I61" s="9" t="n"/>
      <c r="J61" s="9" t="inlineStr">
        <is>
          <t>未架電</t>
        </is>
      </c>
      <c r="K61" s="8" t="n"/>
      <c r="L61" s="9" t="n"/>
      <c r="M61" s="10" t="inlineStr">
        <is>
          <t>中高共通。学校情報サイトのみで確認</t>
        </is>
      </c>
      <c r="N61" s="11" t="inlineStr">
        <is>
          <t>https://www.inter-edu.com/schools/school/2058</t>
        </is>
      </c>
      <c r="O61" s="12" t="inlineStr">
        <is>
          <t>開く</t>
        </is>
      </c>
    </row>
    <row r="62">
      <c r="A62" s="4" t="n">
        <v>58</v>
      </c>
      <c r="B62" s="5" t="inlineStr">
        <is>
          <t>東京都</t>
        </is>
      </c>
      <c r="C62" s="5" t="inlineStr">
        <is>
          <t>杉並区</t>
        </is>
      </c>
      <c r="D62" s="5" t="inlineStr">
        <is>
          <t>佼成学園高等学校</t>
        </is>
      </c>
      <c r="E62" s="6" t="inlineStr">
        <is>
          <t>03-3381-7227</t>
        </is>
      </c>
      <c r="F62" s="7" t="inlineStr">
        <is>
          <t>高</t>
        </is>
      </c>
      <c r="G62" s="5" t="inlineStr">
        <is>
          <t>普通科</t>
        </is>
      </c>
      <c r="H62" s="8" t="n"/>
      <c r="I62" s="9" t="n"/>
      <c r="J62" s="9" t="inlineStr">
        <is>
          <t>未架電</t>
        </is>
      </c>
      <c r="K62" s="8" t="n"/>
      <c r="L62" s="9" t="n"/>
      <c r="M62" s="10" t="inlineStr">
        <is>
          <t>中高共通。杉並区の一覧と公式資料で一致</t>
        </is>
      </c>
      <c r="N62" s="11" t="inlineStr">
        <is>
          <t>https://www.city.suginami.tokyo.jp/kusei/gaiyou/shisetsu/genre/school/shiritsukoukou/index.html ; https://www.kosei.ac.jp/boys/wp-content/uploads/2024/05/310d9b3b51f491fb2df759357d085bb4.pdf</t>
        </is>
      </c>
      <c r="O62" s="12" t="inlineStr">
        <is>
          <t>開く</t>
        </is>
      </c>
    </row>
    <row r="63">
      <c r="A63" s="4" t="n">
        <v>59</v>
      </c>
      <c r="B63" s="5" t="inlineStr">
        <is>
          <t>東京都</t>
        </is>
      </c>
      <c r="C63" s="5" t="inlineStr">
        <is>
          <t>世田谷区</t>
        </is>
      </c>
      <c r="D63" s="5" t="inlineStr">
        <is>
          <t>佼成学園女子高等学校</t>
        </is>
      </c>
      <c r="E63" s="6" t="inlineStr">
        <is>
          <t>03-3300-2351</t>
        </is>
      </c>
      <c r="F63" s="7" t="inlineStr">
        <is>
          <t>高</t>
        </is>
      </c>
      <c r="G63" s="5" t="inlineStr">
        <is>
          <t>普通科</t>
        </is>
      </c>
      <c r="H63" s="8" t="n"/>
      <c r="I63" s="9" t="n"/>
      <c r="J63" s="9" t="inlineStr">
        <is>
          <t>未架電</t>
        </is>
      </c>
      <c r="K63" s="8" t="n"/>
      <c r="L63" s="9" t="n"/>
      <c r="M63" s="10" t="inlineStr">
        <is>
          <t>中高共通</t>
        </is>
      </c>
      <c r="N63" s="11" t="inlineStr">
        <is>
          <t>https://www.inter-edu.com/schools/school/2056 ; https://www.seikatubunka.metro.tokyo.lg.jp/documents/d/seikatubunka/07high_zennichi_r61201</t>
        </is>
      </c>
      <c r="O63" s="12" t="inlineStr">
        <is>
          <t>開く</t>
        </is>
      </c>
    </row>
    <row r="64">
      <c r="A64" s="4" t="n">
        <v>60</v>
      </c>
      <c r="B64" s="5" t="inlineStr">
        <is>
          <t>東京都</t>
        </is>
      </c>
      <c r="C64" s="5" t="inlineStr">
        <is>
          <t>品川区</t>
        </is>
      </c>
      <c r="D64" s="5" t="inlineStr">
        <is>
          <t>香蘭女学校高等科</t>
        </is>
      </c>
      <c r="E64" s="6" t="inlineStr">
        <is>
          <t>03-3786-1136</t>
        </is>
      </c>
      <c r="F64" s="7" t="inlineStr">
        <is>
          <t>高</t>
        </is>
      </c>
      <c r="G64" s="5" t="inlineStr">
        <is>
          <t>普通科</t>
        </is>
      </c>
      <c r="H64" s="8" t="n"/>
      <c r="I64" s="9" t="n"/>
      <c r="J64" s="9" t="inlineStr">
        <is>
          <t>未架電</t>
        </is>
      </c>
      <c r="K64" s="8" t="n"/>
      <c r="L64" s="9" t="n"/>
      <c r="M64" s="10" t="inlineStr">
        <is>
          <t>中高共通</t>
        </is>
      </c>
      <c r="N64" s="11" t="inlineStr">
        <is>
          <t>https://www.seikatubunka.metro.tokyo.lg.jp/documents/d/seikatubunka/07high_zennichi_r61201 ; https://school.js88.com/scl_h/22038920</t>
        </is>
      </c>
      <c r="O64" s="12" t="inlineStr">
        <is>
          <t>開く</t>
        </is>
      </c>
    </row>
    <row r="65">
      <c r="A65" s="4" t="n">
        <v>61</v>
      </c>
      <c r="B65" s="5" t="inlineStr">
        <is>
          <t>東京都</t>
        </is>
      </c>
      <c r="C65" s="5" t="inlineStr">
        <is>
          <t>渋谷区</t>
        </is>
      </c>
      <c r="D65" s="5" t="inlineStr">
        <is>
          <t>國學院高等学校</t>
        </is>
      </c>
      <c r="E65" s="6" t="inlineStr">
        <is>
          <t>03-3403-2331</t>
        </is>
      </c>
      <c r="F65" s="13" t="inlineStr">
        <is>
          <t>中</t>
        </is>
      </c>
      <c r="G65" s="5" t="inlineStr">
        <is>
          <t>普通科</t>
        </is>
      </c>
      <c r="H65" s="8" t="n"/>
      <c r="I65" s="9" t="n"/>
      <c r="J65" s="9" t="inlineStr">
        <is>
          <t>未架電</t>
        </is>
      </c>
      <c r="K65" s="8" t="n"/>
      <c r="L65" s="9" t="n"/>
      <c r="M65" s="10" t="inlineStr">
        <is>
          <t>学校情報サイト1件のみで確認</t>
        </is>
      </c>
      <c r="N65" s="11" t="inlineStr">
        <is>
          <t>https://www.inter-edu.com/schools/school/541</t>
        </is>
      </c>
      <c r="O65" s="12" t="inlineStr">
        <is>
          <t>開く</t>
        </is>
      </c>
    </row>
    <row r="66">
      <c r="A66" s="4" t="n">
        <v>62</v>
      </c>
      <c r="B66" s="5" t="inlineStr">
        <is>
          <t>東京都</t>
        </is>
      </c>
      <c r="C66" s="5" t="inlineStr">
        <is>
          <t>杉並区</t>
        </is>
      </c>
      <c r="D66" s="5" t="inlineStr">
        <is>
          <t>國學院大學久我山高等学校</t>
        </is>
      </c>
      <c r="E66" s="6" t="inlineStr">
        <is>
          <t>03-3334-1151</t>
        </is>
      </c>
      <c r="F66" s="7" t="inlineStr">
        <is>
          <t>高</t>
        </is>
      </c>
      <c r="G66" s="5" t="inlineStr">
        <is>
          <t>普通科</t>
        </is>
      </c>
      <c r="H66" s="8" t="n"/>
      <c r="I66" s="9" t="n"/>
      <c r="J66" s="9" t="inlineStr">
        <is>
          <t>未架電</t>
        </is>
      </c>
      <c r="K66" s="8" t="n"/>
      <c r="L66" s="9" t="n"/>
      <c r="M66" s="10" t="inlineStr">
        <is>
          <t>中高共通。2つのサイトで一致</t>
        </is>
      </c>
      <c r="N66" s="11" t="inlineStr">
        <is>
          <t>https://www.inter-edu.com/schools/school/122</t>
        </is>
      </c>
      <c r="O66" s="12" t="inlineStr">
        <is>
          <t>開く</t>
        </is>
      </c>
    </row>
    <row r="67">
      <c r="A67" s="4" t="n">
        <v>63</v>
      </c>
      <c r="B67" s="5" t="inlineStr">
        <is>
          <t>東京都</t>
        </is>
      </c>
      <c r="C67" s="5" t="inlineStr">
        <is>
          <t>小金井市</t>
        </is>
      </c>
      <c r="D67" s="5" t="inlineStr">
        <is>
          <t>国際基督教大学高等学校</t>
        </is>
      </c>
      <c r="E67" s="6" t="inlineStr">
        <is>
          <t>0422-33-3401</t>
        </is>
      </c>
      <c r="F67" s="7" t="inlineStr">
        <is>
          <t>高</t>
        </is>
      </c>
      <c r="G67" s="5" t="inlineStr">
        <is>
          <t>普通科</t>
        </is>
      </c>
      <c r="H67" s="8" t="n"/>
      <c r="I67" s="9" t="n"/>
      <c r="J67" s="9" t="inlineStr">
        <is>
          <t>未架電</t>
        </is>
      </c>
      <c r="K67" s="8" t="n"/>
      <c r="L67" s="9" t="n"/>
      <c r="M67" s="10" t="inlineStr">
        <is>
          <t>公式資料に「学校代表」と記載</t>
        </is>
      </c>
      <c r="N67" s="11" t="inlineStr">
        <is>
          <t>https://icu-h.ed.jp/news/docs/c92876a21d1bfb013106119a1fa19b9c9d7100d6.pdf</t>
        </is>
      </c>
      <c r="O67" s="12" t="inlineStr">
        <is>
          <t>開く</t>
        </is>
      </c>
    </row>
    <row r="68">
      <c r="A68" s="4" t="n">
        <v>64</v>
      </c>
      <c r="B68" s="5" t="inlineStr">
        <is>
          <t>東京都</t>
        </is>
      </c>
      <c r="C68" s="5" t="inlineStr">
        <is>
          <t>世田谷区</t>
        </is>
      </c>
      <c r="D68" s="5" t="inlineStr">
        <is>
          <t>国士舘高等学校</t>
        </is>
      </c>
      <c r="E68" s="6" t="inlineStr">
        <is>
          <t>03-5481-3131</t>
        </is>
      </c>
      <c r="F68" s="7" t="inlineStr">
        <is>
          <t>高</t>
        </is>
      </c>
      <c r="G68" s="5" t="inlineStr">
        <is>
          <t>普通科</t>
        </is>
      </c>
      <c r="H68" s="8" t="n"/>
      <c r="I68" s="9" t="n"/>
      <c r="J68" s="9" t="inlineStr">
        <is>
          <t>未架電</t>
        </is>
      </c>
      <c r="K68" s="8" t="n"/>
      <c r="L68" s="9" t="n"/>
      <c r="M68" s="10" t="inlineStr">
        <is>
          <t>公式の学校案内に全日制・定時制の代表として記載。入試担当は03-5481-3135</t>
        </is>
      </c>
      <c r="N68" s="11" t="inlineStr">
        <is>
          <t>https://www.kokushikan.ac.jp/houjin/about/public_relations/docs/HSschoolguide2027.pdf</t>
        </is>
      </c>
      <c r="O68" s="12" t="inlineStr">
        <is>
          <t>開く</t>
        </is>
      </c>
    </row>
    <row r="69">
      <c r="A69" s="4" t="n">
        <v>65</v>
      </c>
      <c r="B69" s="5" t="inlineStr">
        <is>
          <t>東京都</t>
        </is>
      </c>
      <c r="C69" s="5" t="inlineStr">
        <is>
          <t>文京区</t>
        </is>
      </c>
      <c r="D69" s="5" t="inlineStr">
        <is>
          <t>駒込高等学校</t>
        </is>
      </c>
      <c r="E69" s="6" t="inlineStr">
        <is>
          <t>03-3828-4141</t>
        </is>
      </c>
      <c r="F69" s="7" t="inlineStr">
        <is>
          <t>高</t>
        </is>
      </c>
      <c r="G69" s="5" t="inlineStr">
        <is>
          <t>普通科</t>
        </is>
      </c>
      <c r="H69" s="8" t="n"/>
      <c r="I69" s="9" t="n"/>
      <c r="J69" s="9" t="inlineStr">
        <is>
          <t>未架電</t>
        </is>
      </c>
      <c r="K69" s="8" t="n"/>
      <c r="L69" s="9" t="n"/>
      <c r="M69" s="10" t="inlineStr">
        <is>
          <t>中高共通。文京区の資料と一致</t>
        </is>
      </c>
      <c r="N69" s="11" t="inlineStr">
        <is>
          <t>https://www.inter-edu.com/schools/school/1993 ; https://www.city.bunkyo.lg.jp/documents/5788/kizi_2024.pdf</t>
        </is>
      </c>
      <c r="O69" s="12" t="inlineStr">
        <is>
          <t>開く</t>
        </is>
      </c>
    </row>
    <row r="70">
      <c r="A70" s="4" t="n">
        <v>66</v>
      </c>
      <c r="B70" s="5" t="inlineStr">
        <is>
          <t>東京都</t>
        </is>
      </c>
      <c r="C70" s="5" t="inlineStr">
        <is>
          <t>稲城市</t>
        </is>
      </c>
      <c r="D70" s="5" t="inlineStr">
        <is>
          <t>駒沢学園女子高等学校</t>
        </is>
      </c>
      <c r="E70" s="6" t="inlineStr">
        <is>
          <t>042-350-7123</t>
        </is>
      </c>
      <c r="F70" s="7" t="inlineStr">
        <is>
          <t>高</t>
        </is>
      </c>
      <c r="G70" s="5" t="inlineStr">
        <is>
          <t>普通科</t>
        </is>
      </c>
      <c r="H70" s="8" t="n"/>
      <c r="I70" s="9" t="n"/>
      <c r="J70" s="9" t="inlineStr">
        <is>
          <t>未架電</t>
        </is>
      </c>
      <c r="K70" s="8" t="n"/>
      <c r="L70" s="9" t="n"/>
      <c r="M70" s="10" t="inlineStr">
        <is>
          <t>東京都の私立高校一覧と一致</t>
        </is>
      </c>
      <c r="N70" s="11" t="inlineStr">
        <is>
          <t>https://www.inter-edu.com/schools/school/1971 ; https://www.seikatubunka.metro.tokyo.lg.jp/documents/d/seikatubunka/07high_zennichi_r61201</t>
        </is>
      </c>
      <c r="O70" s="12" t="inlineStr">
        <is>
          <t>開く</t>
        </is>
      </c>
    </row>
    <row r="71">
      <c r="A71" s="4" t="n">
        <v>67</v>
      </c>
      <c r="B71" s="5" t="inlineStr">
        <is>
          <t>東京都</t>
        </is>
      </c>
      <c r="C71" s="5" t="inlineStr">
        <is>
          <t>世田谷区</t>
        </is>
      </c>
      <c r="D71" s="5" t="inlineStr">
        <is>
          <t>駒澤大学高等学校</t>
        </is>
      </c>
      <c r="E71" s="6" t="inlineStr">
        <is>
          <t>03-3700-6131</t>
        </is>
      </c>
      <c r="F71" s="13" t="inlineStr">
        <is>
          <t>中</t>
        </is>
      </c>
      <c r="G71" s="5" t="inlineStr">
        <is>
          <t>普通科</t>
        </is>
      </c>
      <c r="H71" s="8" t="n"/>
      <c r="I71" s="9" t="n"/>
      <c r="J71" s="9" t="inlineStr">
        <is>
          <t>未架電</t>
        </is>
      </c>
      <c r="K71" s="8" t="n"/>
      <c r="L71" s="9" t="n"/>
      <c r="M71" s="10" t="inlineStr">
        <is>
          <t>学校情報サイト1件のみで確認。大学の番号とは別</t>
        </is>
      </c>
      <c r="N71" s="11" t="inlineStr">
        <is>
          <t>https://www.inter-edu.com/schools/school/589</t>
        </is>
      </c>
      <c r="O71" s="12" t="inlineStr">
        <is>
          <t>開く</t>
        </is>
      </c>
    </row>
    <row r="72">
      <c r="A72" s="4" t="n">
        <v>68</v>
      </c>
      <c r="B72" s="5" t="inlineStr">
        <is>
          <t>東京都</t>
        </is>
      </c>
      <c r="C72" s="5" t="inlineStr">
        <is>
          <t>世田谷区</t>
        </is>
      </c>
      <c r="D72" s="5" t="inlineStr">
        <is>
          <t>駒場学園高等学校</t>
        </is>
      </c>
      <c r="E72" s="6" t="inlineStr">
        <is>
          <t>03-3413-5561</t>
        </is>
      </c>
      <c r="F72" s="13" t="inlineStr">
        <is>
          <t>中</t>
        </is>
      </c>
      <c r="G72" s="5" t="inlineStr">
        <is>
          <t>普通科・専門学科</t>
        </is>
      </c>
      <c r="H72" s="8" t="n"/>
      <c r="I72" s="9" t="n"/>
      <c r="J72" s="9" t="inlineStr">
        <is>
          <t>未架電</t>
        </is>
      </c>
      <c r="K72" s="8" t="n"/>
      <c r="L72" s="9" t="n"/>
      <c r="M72" s="10" t="inlineStr">
        <is>
          <t>学校情報サイト1件のみで確認</t>
        </is>
      </c>
      <c r="N72" s="11" t="inlineStr">
        <is>
          <t>https://www.inter-edu.com/schools/school/590</t>
        </is>
      </c>
      <c r="O72" s="12" t="inlineStr">
        <is>
          <t>開く</t>
        </is>
      </c>
    </row>
    <row r="73">
      <c r="A73" s="4" t="n">
        <v>69</v>
      </c>
      <c r="B73" s="5" t="inlineStr">
        <is>
          <t>東京都</t>
        </is>
      </c>
      <c r="C73" s="5" t="inlineStr">
        <is>
          <t>世田谷区</t>
        </is>
      </c>
      <c r="D73" s="5" t="inlineStr">
        <is>
          <t>駒場東邦高等学校</t>
        </is>
      </c>
      <c r="E73" s="6" t="inlineStr">
        <is>
          <t>03-3466-8221</t>
        </is>
      </c>
      <c r="F73" s="13" t="inlineStr">
        <is>
          <t>中</t>
        </is>
      </c>
      <c r="G73" s="5" t="inlineStr">
        <is>
          <t>普通科</t>
        </is>
      </c>
      <c r="H73" s="8" t="n"/>
      <c r="I73" s="9" t="n"/>
      <c r="J73" s="9" t="inlineStr">
        <is>
          <t>未架電</t>
        </is>
      </c>
      <c r="K73" s="8" t="n"/>
      <c r="L73" s="9" t="n"/>
      <c r="M73" s="10" t="inlineStr">
        <is>
          <t>中高共通。学校情報サイト1件のみで確認</t>
        </is>
      </c>
      <c r="N73" s="11" t="inlineStr">
        <is>
          <t>https://www.inter-edu.com/schools/school/10</t>
        </is>
      </c>
      <c r="O73" s="12" t="inlineStr">
        <is>
          <t>開く</t>
        </is>
      </c>
    </row>
    <row r="74">
      <c r="A74" s="4" t="n">
        <v>70</v>
      </c>
      <c r="B74" s="5" t="inlineStr">
        <is>
          <t>東京都</t>
        </is>
      </c>
      <c r="C74" s="5" t="inlineStr">
        <is>
          <t>北区</t>
        </is>
      </c>
      <c r="D74" s="5" t="inlineStr">
        <is>
          <t>桜丘高等学校（東京都）</t>
        </is>
      </c>
      <c r="E74" s="6" t="inlineStr">
        <is>
          <t>03-3910-6161</t>
        </is>
      </c>
      <c r="F74" s="7" t="inlineStr">
        <is>
          <t>高</t>
        </is>
      </c>
      <c r="G74" s="5" t="inlineStr">
        <is>
          <t>普通科</t>
        </is>
      </c>
      <c r="H74" s="8" t="n"/>
      <c r="I74" s="9" t="n"/>
      <c r="J74" s="9" t="inlineStr">
        <is>
          <t>未架電</t>
        </is>
      </c>
      <c r="K74" s="8" t="n"/>
      <c r="L74" s="9" t="n"/>
      <c r="M74" s="10" t="inlineStr">
        <is>
          <t>2つのサイトで一致</t>
        </is>
      </c>
      <c r="N74" s="11" t="inlineStr">
        <is>
          <t>https://www.inter-edu.com/schools/school/1939 ; https://school.js88.com/scl_h/22038680/</t>
        </is>
      </c>
      <c r="O74" s="12" t="inlineStr">
        <is>
          <t>開く</t>
        </is>
      </c>
    </row>
    <row r="75">
      <c r="A75" s="4" t="n">
        <v>71</v>
      </c>
      <c r="B75" s="5" t="inlineStr">
        <is>
          <t>東京都</t>
        </is>
      </c>
      <c r="C75" s="5" t="inlineStr">
        <is>
          <t>北区</t>
        </is>
      </c>
      <c r="D75" s="5" t="inlineStr">
        <is>
          <t>サレジアン国際学園高等学校</t>
        </is>
      </c>
      <c r="E75" s="6" t="inlineStr">
        <is>
          <t>03-3906-0054</t>
        </is>
      </c>
      <c r="F75" s="7" t="inlineStr">
        <is>
          <t>高</t>
        </is>
      </c>
      <c r="G75" s="5" t="inlineStr">
        <is>
          <t>普通科</t>
        </is>
      </c>
      <c r="H75" s="8" t="n"/>
      <c r="I75" s="9" t="n"/>
      <c r="J75" s="9" t="inlineStr">
        <is>
          <t>未架電</t>
        </is>
      </c>
      <c r="K75" s="8" t="n"/>
      <c r="L75" s="9" t="n"/>
      <c r="M75" s="10" t="inlineStr">
        <is>
          <t>東京都の私立高校一覧とYahoo!マップで一致。中高共通</t>
        </is>
      </c>
      <c r="N75" s="11" t="inlineStr">
        <is>
          <t>https://www.seikatubunka.metro.tokyo.lg.jp/documents/d/seikatubunka/07high_zennichi_r61201 ; https://map.yahoo.co.jp/v3/place/TcdA71hDDO2</t>
        </is>
      </c>
      <c r="O75" s="12" t="inlineStr">
        <is>
          <t>開く</t>
        </is>
      </c>
    </row>
    <row r="76">
      <c r="A76" s="4" t="n">
        <v>72</v>
      </c>
      <c r="B76" s="5" t="inlineStr">
        <is>
          <t>東京都</t>
        </is>
      </c>
      <c r="C76" s="5" t="inlineStr">
        <is>
          <t>世田谷区</t>
        </is>
      </c>
      <c r="D76" s="5" t="inlineStr">
        <is>
          <t>サレジアン国際学園世田谷高等学校</t>
        </is>
      </c>
      <c r="E76" s="6" t="inlineStr">
        <is>
          <t>03-3416-1150</t>
        </is>
      </c>
      <c r="F76" s="7" t="inlineStr">
        <is>
          <t>高</t>
        </is>
      </c>
      <c r="G76" s="5" t="inlineStr">
        <is>
          <t>普通科</t>
        </is>
      </c>
      <c r="H76" s="8" t="n"/>
      <c r="I76" s="9" t="n"/>
      <c r="J76" s="9" t="inlineStr">
        <is>
          <t>未架電</t>
        </is>
      </c>
      <c r="K76" s="8" t="n"/>
      <c r="L76" s="9" t="n"/>
      <c r="M76" s="10" t="inlineStr">
        <is>
          <t>中高共通。高校からの募集はないとの情報あり（要確認）</t>
        </is>
      </c>
      <c r="N76" s="11" t="inlineStr">
        <is>
          <t>https://www.inter-edu.com/schools/school/260 ; https://univpress.co.jp/gk_pdf/13659.pdf</t>
        </is>
      </c>
      <c r="O76" s="12" t="inlineStr">
        <is>
          <t>開く</t>
        </is>
      </c>
    </row>
    <row r="77">
      <c r="A77" s="4" t="n">
        <v>73</v>
      </c>
      <c r="B77" s="5" t="inlineStr">
        <is>
          <t>東京都</t>
        </is>
      </c>
      <c r="C77" s="5" t="inlineStr">
        <is>
          <t>品川区</t>
        </is>
      </c>
      <c r="D77" s="5" t="inlineStr">
        <is>
          <t>品川エトワール女子高等学校</t>
        </is>
      </c>
      <c r="E77" s="6" t="inlineStr">
        <is>
          <t>03-3474-2231</t>
        </is>
      </c>
      <c r="F77" s="7" t="inlineStr">
        <is>
          <t>高</t>
        </is>
      </c>
      <c r="G77" s="5" t="inlineStr">
        <is>
          <t>普通科</t>
        </is>
      </c>
      <c r="H77" s="8" t="n"/>
      <c r="I77" s="9" t="n"/>
      <c r="J77" s="9" t="inlineStr">
        <is>
          <t>未架電</t>
        </is>
      </c>
      <c r="K77" s="8" t="n"/>
      <c r="L77" s="9" t="n"/>
      <c r="M77" s="10" t="inlineStr">
        <is>
          <t>公式Xと複数のサイトで一致</t>
        </is>
      </c>
      <c r="N77" s="11" t="inlineStr">
        <is>
          <t>https://x.com/shinagawaetoile ; https://www.school-data.com/school_info/school.php/sc=133063</t>
        </is>
      </c>
      <c r="O77" s="12" t="inlineStr">
        <is>
          <t>開く</t>
        </is>
      </c>
    </row>
    <row r="78">
      <c r="A78" s="4" t="n">
        <v>74</v>
      </c>
      <c r="B78" s="5" t="inlineStr">
        <is>
          <t>東京都</t>
        </is>
      </c>
      <c r="C78" s="5" t="inlineStr">
        <is>
          <t>品川区</t>
        </is>
      </c>
      <c r="D78" s="5" t="inlineStr">
        <is>
          <t>品川学藝高等学校</t>
        </is>
      </c>
      <c r="E78" s="6" t="inlineStr">
        <is>
          <t>03-3786-1711</t>
        </is>
      </c>
      <c r="F78" s="13" t="inlineStr">
        <is>
          <t>中</t>
        </is>
      </c>
      <c r="G78" s="5" t="inlineStr">
        <is>
          <t>普通科・専門学科</t>
        </is>
      </c>
      <c r="H78" s="8" t="n"/>
      <c r="I78" s="9" t="n"/>
      <c r="J78" s="9" t="inlineStr">
        <is>
          <t>未架電</t>
        </is>
      </c>
      <c r="K78" s="8" t="n"/>
      <c r="L78" s="9" t="n"/>
      <c r="M78" s="10" t="inlineStr">
        <is>
          <t>学校情報サイト1件のみで確認</t>
        </is>
      </c>
      <c r="N78" s="11" t="inlineStr">
        <is>
          <t>https://www.inter-edu.com/schools/school/1808</t>
        </is>
      </c>
      <c r="O78" s="12" t="inlineStr">
        <is>
          <t>開く</t>
        </is>
      </c>
    </row>
    <row r="79">
      <c r="A79" s="4" t="n">
        <v>75</v>
      </c>
      <c r="B79" s="5" t="inlineStr">
        <is>
          <t>東京都</t>
        </is>
      </c>
      <c r="C79" s="5" t="inlineStr">
        <is>
          <t>品川区</t>
        </is>
      </c>
      <c r="D79" s="5" t="inlineStr">
        <is>
          <t>品川翔英高等学校</t>
        </is>
      </c>
      <c r="E79" s="6" t="inlineStr">
        <is>
          <t>03-3774-1151</t>
        </is>
      </c>
      <c r="F79" s="13" t="inlineStr">
        <is>
          <t>中</t>
        </is>
      </c>
      <c r="G79" s="5" t="inlineStr">
        <is>
          <t>普通科</t>
        </is>
      </c>
      <c r="H79" s="8" t="n"/>
      <c r="I79" s="9" t="n"/>
      <c r="J79" s="9" t="inlineStr">
        <is>
          <t>未架電</t>
        </is>
      </c>
      <c r="K79" s="8" t="n"/>
      <c r="L79" s="9" t="n"/>
      <c r="M79" s="10" t="inlineStr">
        <is>
          <t>学校情報サイト1件のみで確認</t>
        </is>
      </c>
      <c r="N79" s="11" t="inlineStr">
        <is>
          <t>https://www.inter-edu.com/schools/school/2110</t>
        </is>
      </c>
      <c r="O79" s="12" t="inlineStr">
        <is>
          <t>開く</t>
        </is>
      </c>
    </row>
    <row r="80">
      <c r="A80" s="4" t="n">
        <v>76</v>
      </c>
      <c r="B80" s="5" t="inlineStr">
        <is>
          <t>東京都</t>
        </is>
      </c>
      <c r="C80" s="5" t="inlineStr">
        <is>
          <t>品川区</t>
        </is>
      </c>
      <c r="D80" s="5" t="inlineStr">
        <is>
          <t>品川女子学院高等部</t>
        </is>
      </c>
      <c r="E80" s="6" t="inlineStr">
        <is>
          <t>03-3474-4048</t>
        </is>
      </c>
      <c r="F80" s="7" t="inlineStr">
        <is>
          <t>高</t>
        </is>
      </c>
      <c r="G80" s="5" t="inlineStr">
        <is>
          <t>普通科</t>
        </is>
      </c>
      <c r="H80" s="8" t="n"/>
      <c r="I80" s="9" t="n"/>
      <c r="J80" s="9" t="inlineStr">
        <is>
          <t>未架電</t>
        </is>
      </c>
      <c r="K80" s="8" t="n"/>
      <c r="L80" s="9" t="n"/>
      <c r="M80" s="10" t="inlineStr">
        <is>
          <t>2つのサイトで一致</t>
        </is>
      </c>
      <c r="N80" s="11" t="inlineStr">
        <is>
          <t>https://www.inter-edu.com/schools/school/90 ; https://school.js88.com/scl_h/22038930</t>
        </is>
      </c>
      <c r="O80" s="12" t="inlineStr">
        <is>
          <t>開く</t>
        </is>
      </c>
    </row>
    <row r="81">
      <c r="A81" s="4" t="n">
        <v>77</v>
      </c>
      <c r="B81" s="5" t="inlineStr">
        <is>
          <t>東京都</t>
        </is>
      </c>
      <c r="C81" s="5" t="inlineStr">
        <is>
          <t>江東区</t>
        </is>
      </c>
      <c r="D81" s="5" t="inlineStr">
        <is>
          <t>芝浦工業大学附属高等学校</t>
        </is>
      </c>
      <c r="E81" s="6" t="inlineStr">
        <is>
          <t>03-3520-8501</t>
        </is>
      </c>
      <c r="F81" s="13" t="inlineStr">
        <is>
          <t>中</t>
        </is>
      </c>
      <c r="G81" s="5" t="inlineStr">
        <is>
          <t>普通科</t>
        </is>
      </c>
      <c r="H81" s="8" t="n"/>
      <c r="I81" s="9" t="n"/>
      <c r="J81" s="9" t="inlineStr">
        <is>
          <t>未架電</t>
        </is>
      </c>
      <c r="K81" s="8" t="n"/>
      <c r="L81" s="9" t="n"/>
      <c r="M81" s="10" t="inlineStr">
        <is>
          <t>代表として掲載。学校情報サイトのみで確認</t>
        </is>
      </c>
      <c r="N81" s="11" t="inlineStr">
        <is>
          <t>https://www.inter-edu.com/schools/school/186</t>
        </is>
      </c>
      <c r="O81" s="12" t="inlineStr">
        <is>
          <t>開く</t>
        </is>
      </c>
    </row>
    <row r="82">
      <c r="A82" s="4" t="n">
        <v>78</v>
      </c>
      <c r="B82" s="5" t="inlineStr">
        <is>
          <t>東京都</t>
        </is>
      </c>
      <c r="C82" s="5" t="inlineStr">
        <is>
          <t>港区</t>
        </is>
      </c>
      <c r="D82" s="5" t="inlineStr">
        <is>
          <t>芝高等学校</t>
        </is>
      </c>
      <c r="E82" s="6" t="inlineStr">
        <is>
          <t>03-3431-2629</t>
        </is>
      </c>
      <c r="F82" s="7" t="inlineStr">
        <is>
          <t>高</t>
        </is>
      </c>
      <c r="G82" s="5" t="inlineStr">
        <is>
          <t>普通科</t>
        </is>
      </c>
      <c r="H82" s="8" t="n"/>
      <c r="I82" s="9" t="n"/>
      <c r="J82" s="9" t="inlineStr">
        <is>
          <t>未架電</t>
        </is>
      </c>
      <c r="K82" s="8" t="n"/>
      <c r="L82" s="9" t="n"/>
      <c r="M82" s="10" t="inlineStr">
        <is>
          <t>2つのサイトで一致</t>
        </is>
      </c>
      <c r="N82" s="11" t="inlineStr">
        <is>
          <t>https://www.inter-edu.com/schools/school/12 ; https://school.js88.com/scl_h/22038120/</t>
        </is>
      </c>
      <c r="O82" s="12" t="inlineStr">
        <is>
          <t>開く</t>
        </is>
      </c>
    </row>
    <row r="83">
      <c r="A83" s="4" t="n">
        <v>79</v>
      </c>
      <c r="B83" s="5" t="inlineStr">
        <is>
          <t>東京都</t>
        </is>
      </c>
      <c r="C83" s="5" t="inlineStr">
        <is>
          <t>港区</t>
        </is>
      </c>
      <c r="D83" s="5" t="inlineStr">
        <is>
          <t>芝国際高等学校</t>
        </is>
      </c>
      <c r="E83" s="6" t="inlineStr">
        <is>
          <t>03-5427-0666</t>
        </is>
      </c>
      <c r="F83" s="7" t="inlineStr">
        <is>
          <t>高</t>
        </is>
      </c>
      <c r="G83" s="5" t="inlineStr">
        <is>
          <t>普通科</t>
        </is>
      </c>
      <c r="H83" s="8" t="n"/>
      <c r="I83" s="9" t="n"/>
      <c r="J83" s="9" t="inlineStr">
        <is>
          <t>未架電</t>
        </is>
      </c>
      <c r="K83" s="8" t="n"/>
      <c r="L83" s="9" t="n"/>
      <c r="M83" s="10" t="inlineStr">
        <is>
          <t>中高共通。学校情報サイトで一致</t>
        </is>
      </c>
      <c r="N83" s="11" t="inlineStr">
        <is>
          <t>https://www.inter-edu.com/schools/school/2074</t>
        </is>
      </c>
      <c r="O83" s="12" t="inlineStr">
        <is>
          <t>開く</t>
        </is>
      </c>
    </row>
    <row r="84">
      <c r="A84" s="4" t="n">
        <v>80</v>
      </c>
      <c r="B84" s="5" t="inlineStr">
        <is>
          <t>東京都</t>
        </is>
      </c>
      <c r="C84" s="5" t="inlineStr">
        <is>
          <t>渋谷区</t>
        </is>
      </c>
      <c r="D84" s="5" t="inlineStr">
        <is>
          <t>渋谷教育学園渋谷高等学校</t>
        </is>
      </c>
      <c r="E84" s="6" t="inlineStr">
        <is>
          <t>03-3400-6363</t>
        </is>
      </c>
      <c r="F84" s="7" t="inlineStr">
        <is>
          <t>高</t>
        </is>
      </c>
      <c r="G84" s="5" t="inlineStr">
        <is>
          <t>普通科</t>
        </is>
      </c>
      <c r="H84" s="8" t="n"/>
      <c r="I84" s="9" t="n"/>
      <c r="J84" s="9" t="inlineStr">
        <is>
          <t>未架電</t>
        </is>
      </c>
      <c r="K84" s="8" t="n"/>
      <c r="L84" s="9" t="n"/>
      <c r="M84" s="10" t="inlineStr">
        <is>
          <t>中高共通。複数サイトで一致</t>
        </is>
      </c>
      <c r="N84" s="11" t="inlineStr">
        <is>
          <t>https://www.inter-edu.com/schools/school/88/ ; https://www.minkou.jp/junior/school/7736/</t>
        </is>
      </c>
      <c r="O84" s="12" t="inlineStr">
        <is>
          <t>開く</t>
        </is>
      </c>
    </row>
    <row r="85">
      <c r="A85" s="4" t="n">
        <v>81</v>
      </c>
      <c r="B85" s="5" t="inlineStr">
        <is>
          <t>東京都</t>
        </is>
      </c>
      <c r="C85" s="5" t="inlineStr">
        <is>
          <t>世田谷区</t>
        </is>
      </c>
      <c r="D85" s="5" t="inlineStr">
        <is>
          <t>下北沢成徳高等学校</t>
        </is>
      </c>
      <c r="E85" s="6" t="inlineStr">
        <is>
          <t>03-3468-1551</t>
        </is>
      </c>
      <c r="F85" s="7" t="inlineStr">
        <is>
          <t>高</t>
        </is>
      </c>
      <c r="G85" s="5" t="inlineStr">
        <is>
          <t>普通科</t>
        </is>
      </c>
      <c r="H85" s="8" t="n"/>
      <c r="I85" s="9" t="n"/>
      <c r="J85" s="9" t="inlineStr">
        <is>
          <t>未架電</t>
        </is>
      </c>
      <c r="K85" s="8" t="n"/>
      <c r="L85" s="9" t="n"/>
      <c r="M85" s="10" t="inlineStr">
        <is>
          <t>学校情報サイト3件で一致</t>
        </is>
      </c>
      <c r="N85" s="11" t="inlineStr">
        <is>
          <t>https://www.inter-edu.com/schools/school/608 ; https://school.js88.com/scl_h/22039260</t>
        </is>
      </c>
      <c r="O85" s="12" t="inlineStr">
        <is>
          <t>開く</t>
        </is>
      </c>
    </row>
    <row r="86">
      <c r="A86" s="4" t="n">
        <v>82</v>
      </c>
      <c r="B86" s="5" t="inlineStr">
        <is>
          <t>東京都</t>
        </is>
      </c>
      <c r="C86" s="5" t="inlineStr">
        <is>
          <t>葛飾区</t>
        </is>
      </c>
      <c r="D86" s="5" t="inlineStr">
        <is>
          <t>修徳高等学校</t>
        </is>
      </c>
      <c r="E86" s="6" t="inlineStr">
        <is>
          <t>03-3601-0116</t>
        </is>
      </c>
      <c r="F86" s="7" t="inlineStr">
        <is>
          <t>高</t>
        </is>
      </c>
      <c r="G86" s="5" t="inlineStr">
        <is>
          <t>普通科</t>
        </is>
      </c>
      <c r="H86" s="8" t="n"/>
      <c r="I86" s="9" t="n"/>
      <c r="J86" s="9" t="inlineStr">
        <is>
          <t>未架電</t>
        </is>
      </c>
      <c r="K86" s="8" t="n"/>
      <c r="L86" s="9" t="n"/>
      <c r="M86" s="10" t="inlineStr">
        <is>
          <t>中高共通</t>
        </is>
      </c>
      <c r="N86" s="11" t="inlineStr">
        <is>
          <t>https://www.inter-edu.com/schools/school/2076 ; https://www.minkou.jp/junior/school/7976/</t>
        </is>
      </c>
      <c r="O86" s="12" t="inlineStr">
        <is>
          <t>開く</t>
        </is>
      </c>
    </row>
    <row r="87">
      <c r="A87" s="4" t="n">
        <v>83</v>
      </c>
      <c r="B87" s="5" t="inlineStr">
        <is>
          <t>東京都</t>
        </is>
      </c>
      <c r="C87" s="5" t="inlineStr">
        <is>
          <t>板橋区</t>
        </is>
      </c>
      <c r="D87" s="5" t="inlineStr">
        <is>
          <t>淑徳高等学校</t>
        </is>
      </c>
      <c r="E87" s="6" t="inlineStr">
        <is>
          <t>03-3969-7411</t>
        </is>
      </c>
      <c r="F87" s="13" t="inlineStr">
        <is>
          <t>中</t>
        </is>
      </c>
      <c r="G87" s="5" t="inlineStr">
        <is>
          <t>普通科</t>
        </is>
      </c>
      <c r="H87" s="8" t="n"/>
      <c r="I87" s="9" t="n"/>
      <c r="J87" s="9" t="inlineStr">
        <is>
          <t>未架電</t>
        </is>
      </c>
      <c r="K87" s="8" t="n"/>
      <c r="L87" s="9" t="n"/>
      <c r="M87" s="10" t="inlineStr">
        <is>
          <t>中高共通。学校情報サイトのみで確認</t>
        </is>
      </c>
      <c r="N87" s="11" t="inlineStr">
        <is>
          <t>https://www.inter-edu.com/schools/school/1994</t>
        </is>
      </c>
      <c r="O87" s="12" t="inlineStr">
        <is>
          <t>開く</t>
        </is>
      </c>
    </row>
    <row r="88">
      <c r="A88" s="4" t="n">
        <v>84</v>
      </c>
      <c r="B88" s="5" t="inlineStr">
        <is>
          <t>東京都</t>
        </is>
      </c>
      <c r="C88" s="5" t="inlineStr">
        <is>
          <t>豊島区</t>
        </is>
      </c>
      <c r="D88" s="5" t="inlineStr">
        <is>
          <t>淑徳巣鴨高等学校</t>
        </is>
      </c>
      <c r="E88" s="6" t="inlineStr">
        <is>
          <t>03-3918-6451</t>
        </is>
      </c>
      <c r="F88" s="13" t="inlineStr">
        <is>
          <t>中</t>
        </is>
      </c>
      <c r="G88" s="5" t="inlineStr">
        <is>
          <t>普通科</t>
        </is>
      </c>
      <c r="H88" s="8" t="n"/>
      <c r="I88" s="9" t="n"/>
      <c r="J88" s="9" t="inlineStr">
        <is>
          <t>未架電</t>
        </is>
      </c>
      <c r="K88" s="8" t="n"/>
      <c r="L88" s="9" t="n"/>
      <c r="M88" s="10" t="inlineStr">
        <is>
          <t>中高共通。学校情報サイトのみで確認</t>
        </is>
      </c>
      <c r="N88" s="11" t="inlineStr">
        <is>
          <t>https://www.inter-edu.com/schools/school/2078</t>
        </is>
      </c>
      <c r="O88" s="12" t="inlineStr">
        <is>
          <t>開く</t>
        </is>
      </c>
    </row>
    <row r="89">
      <c r="A89" s="4" t="n">
        <v>85</v>
      </c>
      <c r="B89" s="5" t="inlineStr">
        <is>
          <t>東京都</t>
        </is>
      </c>
      <c r="C89" s="5" t="inlineStr">
        <is>
          <t>世田谷区</t>
        </is>
      </c>
      <c r="D89" s="5" t="inlineStr">
        <is>
          <t>松蔭大学附属松蔭高等学校（東京都）</t>
        </is>
      </c>
      <c r="E89" s="6" t="inlineStr">
        <is>
          <t>03-3467-1511</t>
        </is>
      </c>
      <c r="F89" s="7" t="inlineStr">
        <is>
          <t>高</t>
        </is>
      </c>
      <c r="G89" s="5" t="inlineStr">
        <is>
          <t>普通科</t>
        </is>
      </c>
      <c r="H89" s="8" t="n"/>
      <c r="I89" s="9" t="n"/>
      <c r="J89" s="9" t="inlineStr">
        <is>
          <t>未架電</t>
        </is>
      </c>
      <c r="K89" s="8" t="n"/>
      <c r="L89" s="9" t="n"/>
      <c r="M89" s="10" t="inlineStr">
        <is>
          <t>中高共通</t>
        </is>
      </c>
      <c r="N89" s="11" t="inlineStr">
        <is>
          <t>https://school.js88.com/scl_h/22039230 ; https://www.inter-edu.com/schools/school/2213</t>
        </is>
      </c>
      <c r="O89" s="12" t="inlineStr">
        <is>
          <t>開く</t>
        </is>
      </c>
    </row>
    <row r="90">
      <c r="A90" s="4" t="n">
        <v>86</v>
      </c>
      <c r="B90" s="5" t="inlineStr">
        <is>
          <t>東京都</t>
        </is>
      </c>
      <c r="C90" s="5" t="inlineStr">
        <is>
          <t>港区</t>
        </is>
      </c>
      <c r="D90" s="5" t="inlineStr">
        <is>
          <t>頌栄女子学院高等学校</t>
        </is>
      </c>
      <c r="E90" s="6" t="inlineStr">
        <is>
          <t>03-3441-2005</t>
        </is>
      </c>
      <c r="F90" s="13" t="inlineStr">
        <is>
          <t>中</t>
        </is>
      </c>
      <c r="G90" s="5" t="inlineStr">
        <is>
          <t>普通科</t>
        </is>
      </c>
      <c r="H90" s="8" t="n"/>
      <c r="I90" s="9" t="n"/>
      <c r="J90" s="9" t="inlineStr">
        <is>
          <t>未架電</t>
        </is>
      </c>
      <c r="K90" s="8" t="n"/>
      <c r="L90" s="9" t="n"/>
      <c r="M90" s="10" t="inlineStr">
        <is>
          <t>中高共通。学校情報サイト1件のみで確認</t>
        </is>
      </c>
      <c r="N90" s="11" t="inlineStr">
        <is>
          <t>https://www.inter-edu.com/schools/school/58</t>
        </is>
      </c>
      <c r="O90" s="12" t="inlineStr">
        <is>
          <t>開く</t>
        </is>
      </c>
    </row>
    <row r="91">
      <c r="A91" s="4" t="n">
        <v>87</v>
      </c>
      <c r="B91" s="5" t="inlineStr">
        <is>
          <t>東京都</t>
        </is>
      </c>
      <c r="C91" s="5" t="inlineStr">
        <is>
          <t>武蔵野市</t>
        </is>
      </c>
      <c r="D91" s="5" t="inlineStr">
        <is>
          <t>聖徳学園高等学校</t>
        </is>
      </c>
      <c r="E91" s="6" t="inlineStr">
        <is>
          <t>0422-31-5121</t>
        </is>
      </c>
      <c r="F91" s="7" t="inlineStr">
        <is>
          <t>高</t>
        </is>
      </c>
      <c r="G91" s="5" t="inlineStr">
        <is>
          <t>普通科</t>
        </is>
      </c>
      <c r="H91" s="8" t="n"/>
      <c r="I91" s="9" t="n"/>
      <c r="J91" s="9" t="inlineStr">
        <is>
          <t>未架電</t>
        </is>
      </c>
      <c r="K91" s="8" t="n"/>
      <c r="L91" s="9" t="n"/>
      <c r="M91" s="10" t="inlineStr">
        <is>
          <t>中高共通</t>
        </is>
      </c>
      <c r="N91" s="11" t="inlineStr">
        <is>
          <t>https://www.inter-edu.com/schools/school/2070 ; https://univpress.co.jp/gk_pdf/13731.pdf</t>
        </is>
      </c>
      <c r="O91" s="12" t="inlineStr">
        <is>
          <t>開く</t>
        </is>
      </c>
    </row>
    <row r="92">
      <c r="A92" s="4" t="n">
        <v>88</v>
      </c>
      <c r="B92" s="5" t="inlineStr">
        <is>
          <t>東京都</t>
        </is>
      </c>
      <c r="C92" s="5" t="inlineStr">
        <is>
          <t>世田谷区</t>
        </is>
      </c>
      <c r="D92" s="5" t="inlineStr">
        <is>
          <t>昭和女子大学附属昭和高等学校</t>
        </is>
      </c>
      <c r="E92" s="6" t="inlineStr">
        <is>
          <t>03-3411-5115</t>
        </is>
      </c>
      <c r="F92" s="7" t="inlineStr">
        <is>
          <t>高</t>
        </is>
      </c>
      <c r="G92" s="5" t="inlineStr">
        <is>
          <t>普通科</t>
        </is>
      </c>
      <c r="H92" s="8" t="n"/>
      <c r="I92" s="9" t="n"/>
      <c r="J92" s="9" t="inlineStr">
        <is>
          <t>未架電</t>
        </is>
      </c>
      <c r="K92" s="8" t="n"/>
      <c r="L92" s="9" t="n"/>
      <c r="M92" s="10" t="inlineStr">
        <is>
          <t>中高共通。東京都の私立高校一覧と一致</t>
        </is>
      </c>
      <c r="N92" s="11" t="inlineStr">
        <is>
          <t>https://www.seikatubunka.metro.tokyo.lg.jp/documents/d/seikatubunka/07high_zennichi_r61201 ; https://www.inter-edu.com/schools/school/225</t>
        </is>
      </c>
      <c r="O92" s="12" t="inlineStr">
        <is>
          <t>開く</t>
        </is>
      </c>
    </row>
    <row r="93">
      <c r="A93" s="4" t="n">
        <v>89</v>
      </c>
      <c r="B93" s="5" t="inlineStr">
        <is>
          <t>東京都</t>
        </is>
      </c>
      <c r="C93" s="5" t="inlineStr">
        <is>
          <t>立川市</t>
        </is>
      </c>
      <c r="D93" s="5" t="inlineStr">
        <is>
          <t>昭和第一学園高等学校</t>
        </is>
      </c>
      <c r="E93" s="6" t="inlineStr">
        <is>
          <t>042-536-1611</t>
        </is>
      </c>
      <c r="F93" s="7" t="inlineStr">
        <is>
          <t>高</t>
        </is>
      </c>
      <c r="G93" s="5" t="inlineStr">
        <is>
          <t>普通科・専門学科</t>
        </is>
      </c>
      <c r="H93" s="8" t="n"/>
      <c r="I93" s="9" t="n"/>
      <c r="J93" s="9" t="inlineStr">
        <is>
          <t>未架電</t>
        </is>
      </c>
      <c r="K93" s="8" t="n"/>
      <c r="L93" s="9" t="n"/>
      <c r="M93" s="10" t="inlineStr">
        <is>
          <t>立川市の学校。昭和第一高校（文京区）とは別の学校</t>
        </is>
      </c>
      <c r="N93" s="11" t="inlineStr">
        <is>
          <t>https://www.seikatubunka.metro.tokyo.lg.jp/documents/d/seikatubunka/07high_zennichi_r61201 ; https://www.inter-edu.com/schools/school/613</t>
        </is>
      </c>
      <c r="O93" s="12" t="inlineStr">
        <is>
          <t>開く</t>
        </is>
      </c>
    </row>
    <row r="94">
      <c r="A94" s="4" t="n">
        <v>90</v>
      </c>
      <c r="B94" s="5" t="inlineStr">
        <is>
          <t>東京都</t>
        </is>
      </c>
      <c r="C94" s="5" t="inlineStr">
        <is>
          <t>文京区</t>
        </is>
      </c>
      <c r="D94" s="5" t="inlineStr">
        <is>
          <t>昭和第一高等学校</t>
        </is>
      </c>
      <c r="E94" s="6" t="inlineStr">
        <is>
          <t>03-3811-0636</t>
        </is>
      </c>
      <c r="F94" s="7" t="inlineStr">
        <is>
          <t>高</t>
        </is>
      </c>
      <c r="G94" s="5" t="inlineStr">
        <is>
          <t>普通科</t>
        </is>
      </c>
      <c r="H94" s="8" t="n"/>
      <c r="I94" s="9" t="n"/>
      <c r="J94" s="9" t="inlineStr">
        <is>
          <t>未架電</t>
        </is>
      </c>
      <c r="K94" s="8" t="n"/>
      <c r="L94" s="9" t="n"/>
      <c r="M94" s="10" t="inlineStr">
        <is>
          <t>文京区の学校。昭和第一学園（立川市）とは別の学校</t>
        </is>
      </c>
      <c r="N94" s="11" t="inlineStr">
        <is>
          <t>https://www.minkou.jp/hischool/school/2372/ ; https://www.city.bunkyo.lg.jp/documents/5788/kizi_2024.pdf</t>
        </is>
      </c>
      <c r="O94" s="12" t="inlineStr">
        <is>
          <t>開く</t>
        </is>
      </c>
    </row>
    <row r="95">
      <c r="A95" s="4" t="n">
        <v>91</v>
      </c>
      <c r="B95" s="5" t="inlineStr">
        <is>
          <t>東京都</t>
        </is>
      </c>
      <c r="C95" s="5" t="inlineStr">
        <is>
          <t>豊島区</t>
        </is>
      </c>
      <c r="D95" s="5" t="inlineStr">
        <is>
          <t>昭和鉄道高等学校</t>
        </is>
      </c>
      <c r="E95" s="6" t="inlineStr">
        <is>
          <t>03-3988-5511</t>
        </is>
      </c>
      <c r="F95" s="13" t="inlineStr">
        <is>
          <t>中</t>
        </is>
      </c>
      <c r="G95" s="5" t="inlineStr">
        <is>
          <t>専門学科</t>
        </is>
      </c>
      <c r="H95" s="8" t="n"/>
      <c r="I95" s="9" t="n"/>
      <c r="J95" s="9" t="inlineStr">
        <is>
          <t>未架電</t>
        </is>
      </c>
      <c r="K95" s="8" t="n"/>
      <c r="L95" s="9" t="n"/>
      <c r="M95" s="10" t="inlineStr">
        <is>
          <t>東京都の私立高校一覧で確認。豊島学院高校と同じ番号（同じ学校法人・同じ敷地のため）</t>
        </is>
      </c>
      <c r="N95" s="11" t="inlineStr">
        <is>
          <t>https://www.seikatubunka.metro.tokyo.lg.jp/documents/d/seikatubunka/07high_zennichi_r61201</t>
        </is>
      </c>
      <c r="O95" s="12" t="inlineStr">
        <is>
          <t>開く</t>
        </is>
      </c>
    </row>
    <row r="96">
      <c r="A96" s="4" t="n">
        <v>92</v>
      </c>
      <c r="B96" s="5" t="inlineStr">
        <is>
          <t>東京都</t>
        </is>
      </c>
      <c r="C96" s="5" t="inlineStr">
        <is>
          <t>北区</t>
        </is>
      </c>
      <c r="D96" s="5" t="inlineStr">
        <is>
          <t>女子聖学院高等学校</t>
        </is>
      </c>
      <c r="E96" s="6" t="inlineStr">
        <is>
          <t>03-3917-2277</t>
        </is>
      </c>
      <c r="F96" s="13" t="inlineStr">
        <is>
          <t>中</t>
        </is>
      </c>
      <c r="G96" s="5" t="inlineStr">
        <is>
          <t>普通科</t>
        </is>
      </c>
      <c r="H96" s="8" t="n"/>
      <c r="I96" s="9" t="n"/>
      <c r="J96" s="9" t="inlineStr">
        <is>
          <t>未架電</t>
        </is>
      </c>
      <c r="K96" s="8" t="n"/>
      <c r="L96" s="9" t="n"/>
      <c r="M96" s="10" t="inlineStr">
        <is>
          <t>中高共通。高校募集なし（完全中高一貫）との情報あり</t>
        </is>
      </c>
      <c r="N96" s="11" t="inlineStr">
        <is>
          <t>https://www.inter-edu.com/schools/school/60</t>
        </is>
      </c>
      <c r="O96" s="12" t="inlineStr">
        <is>
          <t>開く</t>
        </is>
      </c>
    </row>
    <row r="97">
      <c r="A97" s="4" t="n">
        <v>93</v>
      </c>
      <c r="B97" s="5" t="inlineStr">
        <is>
          <t>東京都</t>
        </is>
      </c>
      <c r="C97" s="5" t="inlineStr">
        <is>
          <t>小平市</t>
        </is>
      </c>
      <c r="D97" s="5" t="inlineStr">
        <is>
          <t>白梅学園高等学校</t>
        </is>
      </c>
      <c r="E97" s="6" t="inlineStr">
        <is>
          <t>042-346-5691</t>
        </is>
      </c>
      <c r="F97" s="13" t="inlineStr">
        <is>
          <t>中</t>
        </is>
      </c>
      <c r="G97" s="5" t="inlineStr">
        <is>
          <t>普通科</t>
        </is>
      </c>
      <c r="H97" s="8" t="n"/>
      <c r="I97" s="9" t="n"/>
      <c r="J97" s="9" t="inlineStr">
        <is>
          <t>未架電</t>
        </is>
      </c>
      <c r="K97" s="8" t="n"/>
      <c r="L97" s="9" t="n"/>
      <c r="M97" s="10" t="inlineStr">
        <is>
          <t>学校情報サイトのみで確認。清修中高一貫部・大学は別番号</t>
        </is>
      </c>
      <c r="N97" s="11" t="inlineStr">
        <is>
          <t>https://www.inter-edu.com/schools/school/1800</t>
        </is>
      </c>
      <c r="O97" s="12" t="inlineStr">
        <is>
          <t>開く</t>
        </is>
      </c>
    </row>
    <row r="98">
      <c r="A98" s="4" t="n">
        <v>94</v>
      </c>
      <c r="B98" s="5" t="inlineStr">
        <is>
          <t>東京都</t>
        </is>
      </c>
      <c r="C98" s="5" t="inlineStr">
        <is>
          <t>千代田区</t>
        </is>
      </c>
      <c r="D98" s="5" t="inlineStr">
        <is>
          <t>白百合学園高等学校</t>
        </is>
      </c>
      <c r="E98" s="6" t="inlineStr">
        <is>
          <t>03-3234-6661</t>
        </is>
      </c>
      <c r="F98" s="7" t="inlineStr">
        <is>
          <t>高</t>
        </is>
      </c>
      <c r="G98" s="5" t="inlineStr">
        <is>
          <t>普通科</t>
        </is>
      </c>
      <c r="H98" s="8" t="n"/>
      <c r="I98" s="9" t="n"/>
      <c r="J98" s="9" t="inlineStr">
        <is>
          <t>未架電</t>
        </is>
      </c>
      <c r="K98" s="8" t="n"/>
      <c r="L98" s="9" t="n"/>
      <c r="M98" s="10" t="inlineStr">
        <is>
          <t>中高共通の代表番号。高校募集なし</t>
        </is>
      </c>
      <c r="N98" s="11" t="inlineStr">
        <is>
          <t>https://www.inter-edu.com/schools/school/61</t>
        </is>
      </c>
      <c r="O98" s="12" t="inlineStr">
        <is>
          <t>開く</t>
        </is>
      </c>
    </row>
    <row r="99">
      <c r="A99" s="4" t="n">
        <v>95</v>
      </c>
      <c r="B99" s="5" t="inlineStr">
        <is>
          <t>東京都</t>
        </is>
      </c>
      <c r="C99" s="5" t="inlineStr">
        <is>
          <t>中野区</t>
        </is>
      </c>
      <c r="D99" s="5" t="inlineStr">
        <is>
          <t>実践学園高等学校</t>
        </is>
      </c>
      <c r="E99" s="6" t="inlineStr">
        <is>
          <t>03-3371-5268</t>
        </is>
      </c>
      <c r="F99" s="13" t="inlineStr">
        <is>
          <t>中</t>
        </is>
      </c>
      <c r="G99" s="5" t="inlineStr">
        <is>
          <t>普通科</t>
        </is>
      </c>
      <c r="H99" s="8" t="n"/>
      <c r="I99" s="9" t="n"/>
      <c r="J99" s="9" t="inlineStr">
        <is>
          <t>未架電</t>
        </is>
      </c>
      <c r="K99" s="8" t="n"/>
      <c r="L99" s="9" t="n"/>
      <c r="M99" s="10" t="inlineStr">
        <is>
          <t>中高共通とみられる。学校情報サイトのみで確認</t>
        </is>
      </c>
      <c r="N99" s="11" t="inlineStr">
        <is>
          <t>https://www.inter-edu.com/schools/school/127/</t>
        </is>
      </c>
      <c r="O99" s="12" t="inlineStr">
        <is>
          <t>開く</t>
        </is>
      </c>
    </row>
    <row r="100">
      <c r="A100" s="4" t="n">
        <v>96</v>
      </c>
      <c r="B100" s="5" t="inlineStr">
        <is>
          <t>東京都</t>
        </is>
      </c>
      <c r="C100" s="5" t="inlineStr">
        <is>
          <t>渋谷区</t>
        </is>
      </c>
      <c r="D100" s="5" t="inlineStr">
        <is>
          <t>実践女子学園高等学校</t>
        </is>
      </c>
      <c r="E100" s="6" t="inlineStr">
        <is>
          <t>03-3409-1771</t>
        </is>
      </c>
      <c r="F100" s="7" t="inlineStr">
        <is>
          <t>高</t>
        </is>
      </c>
      <c r="G100" s="5" t="inlineStr">
        <is>
          <t>普通科</t>
        </is>
      </c>
      <c r="H100" s="8" t="n"/>
      <c r="I100" s="9" t="n"/>
      <c r="J100" s="9" t="inlineStr">
        <is>
          <t>未架電</t>
        </is>
      </c>
      <c r="K100" s="8" t="n"/>
      <c r="L100" s="9" t="n"/>
      <c r="M100" s="10" t="inlineStr">
        <is>
          <t>中高共通</t>
        </is>
      </c>
      <c r="N100" s="11" t="inlineStr">
        <is>
          <t>https://www.inter-edu.com/schools/school/223 ; https://school.js88.com/scl_h/22038360</t>
        </is>
      </c>
      <c r="O100" s="12" t="inlineStr">
        <is>
          <t>開く</t>
        </is>
      </c>
    </row>
    <row r="101">
      <c r="A101" s="4" t="n">
        <v>97</v>
      </c>
      <c r="B101" s="5" t="inlineStr">
        <is>
          <t>東京都</t>
        </is>
      </c>
      <c r="C101" s="5" t="inlineStr">
        <is>
          <t>豊島区</t>
        </is>
      </c>
      <c r="D101" s="5" t="inlineStr">
        <is>
          <t>十文字高等学校</t>
        </is>
      </c>
      <c r="E101" s="6" t="inlineStr">
        <is>
          <t>03-3918-0511</t>
        </is>
      </c>
      <c r="F101" s="7" t="inlineStr">
        <is>
          <t>高</t>
        </is>
      </c>
      <c r="G101" s="5" t="inlineStr">
        <is>
          <t>普通科</t>
        </is>
      </c>
      <c r="H101" s="8" t="n"/>
      <c r="I101" s="9" t="n"/>
      <c r="J101" s="9" t="inlineStr">
        <is>
          <t>未架電</t>
        </is>
      </c>
      <c r="K101" s="8" t="n"/>
      <c r="L101" s="9" t="n"/>
      <c r="M101" s="10" t="inlineStr">
        <is>
          <t>中高共通</t>
        </is>
      </c>
      <c r="N101" s="11" t="inlineStr">
        <is>
          <t>https://www.inter-edu.com/schools/school/2060 ; https://www.univpress.co.jp/gk_pdf/13686.pdf</t>
        </is>
      </c>
      <c r="O101" s="12" t="inlineStr">
        <is>
          <t>開く</t>
        </is>
      </c>
    </row>
    <row r="102">
      <c r="A102" s="4" t="n">
        <v>98</v>
      </c>
      <c r="B102" s="5" t="inlineStr">
        <is>
          <t>東京都</t>
        </is>
      </c>
      <c r="C102" s="5" t="inlineStr">
        <is>
          <t>足立区</t>
        </is>
      </c>
      <c r="D102" s="5" t="inlineStr">
        <is>
          <t>潤徳女子高等学校</t>
        </is>
      </c>
      <c r="E102" s="6" t="inlineStr">
        <is>
          <t>03-3881-7161</t>
        </is>
      </c>
      <c r="F102" s="7" t="inlineStr">
        <is>
          <t>高</t>
        </is>
      </c>
      <c r="G102" s="5" t="inlineStr">
        <is>
          <t>普通科</t>
        </is>
      </c>
      <c r="H102" s="8" t="n"/>
      <c r="I102" s="9" t="n"/>
      <c r="J102" s="9" t="inlineStr">
        <is>
          <t>未架電</t>
        </is>
      </c>
      <c r="K102" s="8" t="n"/>
      <c r="L102" s="9" t="n"/>
      <c r="M102" s="10" t="inlineStr">
        <is>
          <t>2つの情報源で一致</t>
        </is>
      </c>
      <c r="N102" s="11" t="inlineStr">
        <is>
          <t>https://www.inter-edu.com/schools/school/607 ; https://www.univpress.co.jp/gk_pdf/13602.pdf</t>
        </is>
      </c>
      <c r="O102" s="12" t="inlineStr">
        <is>
          <t>開く</t>
        </is>
      </c>
    </row>
    <row r="103">
      <c r="A103" s="4" t="n">
        <v>99</v>
      </c>
      <c r="B103" s="5" t="inlineStr">
        <is>
          <t>東京都</t>
        </is>
      </c>
      <c r="C103" s="5" t="inlineStr">
        <is>
          <t>目黒区</t>
        </is>
      </c>
      <c r="D103" s="5" t="inlineStr">
        <is>
          <t>自由ヶ丘学園高等学校</t>
        </is>
      </c>
      <c r="E103" s="14" t="n"/>
      <c r="F103" s="15" t="inlineStr">
        <is>
          <t>要調査</t>
        </is>
      </c>
      <c r="G103" s="5" t="inlineStr">
        <is>
          <t>普通科</t>
        </is>
      </c>
      <c r="H103" s="8" t="n"/>
      <c r="I103" s="9" t="n"/>
      <c r="J103" s="9" t="inlineStr">
        <is>
          <t>未架電</t>
        </is>
      </c>
      <c r="K103" s="8" t="n"/>
      <c r="L103" s="9" t="n"/>
      <c r="M103" s="10" t="inlineStr">
        <is>
          <t>代表番号を確定できず。候補：03-3717-0388（学校情報サイト）／03-4330-2530（公式チラシの広報部）</t>
        </is>
      </c>
      <c r="N103" s="11" t="inlineStr">
        <is>
          <t>https://school.js88.com/scl_h/22039000/ ; https://www.jiyugaoka.ed.jp/wp-content/uploads/2026/06/2026オープンスクールチラシ.pdf</t>
        </is>
      </c>
      <c r="O103" s="12" t="inlineStr">
        <is>
          <t>開く</t>
        </is>
      </c>
    </row>
    <row r="104">
      <c r="A104" s="4" t="n">
        <v>100</v>
      </c>
      <c r="B104" s="5" t="inlineStr">
        <is>
          <t>東京都</t>
        </is>
      </c>
      <c r="C104" s="5" t="inlineStr">
        <is>
          <t>東久留米市</t>
        </is>
      </c>
      <c r="D104" s="5" t="inlineStr">
        <is>
          <t>自由学園高等科</t>
        </is>
      </c>
      <c r="E104" s="6" t="inlineStr">
        <is>
          <t>042-422-3111</t>
        </is>
      </c>
      <c r="F104" s="13" t="inlineStr">
        <is>
          <t>中</t>
        </is>
      </c>
      <c r="G104" s="5" t="inlineStr">
        <is>
          <t>普通科</t>
        </is>
      </c>
      <c r="H104" s="8" t="n"/>
      <c r="I104" s="9" t="n"/>
      <c r="J104" s="9" t="inlineStr">
        <is>
          <t>未架電</t>
        </is>
      </c>
      <c r="K104" s="8" t="n"/>
      <c r="L104" s="9" t="n"/>
      <c r="M104" s="10" t="inlineStr">
        <is>
          <t>学園全体の代表番号の可能性。高等部職員室の直通は042-422-1079</t>
        </is>
      </c>
      <c r="N104" s="11" t="inlineStr">
        <is>
          <t>https://www.inter-edu.com/schools/school/2103 ; https://www.jiyu.ac.jp/nyushi/2027_sh.pdf</t>
        </is>
      </c>
      <c r="O104" s="12" t="inlineStr">
        <is>
          <t>開く</t>
        </is>
      </c>
    </row>
    <row r="105">
      <c r="A105" s="4" t="n">
        <v>101</v>
      </c>
      <c r="B105" s="5" t="inlineStr">
        <is>
          <t>東京都</t>
        </is>
      </c>
      <c r="C105" s="5" t="inlineStr">
        <is>
          <t>豊島区</t>
        </is>
      </c>
      <c r="D105" s="5" t="inlineStr">
        <is>
          <t>城西大学附属城西高等学校</t>
        </is>
      </c>
      <c r="E105" s="6" t="inlineStr">
        <is>
          <t>03-3973-6331</t>
        </is>
      </c>
      <c r="F105" s="7" t="inlineStr">
        <is>
          <t>高</t>
        </is>
      </c>
      <c r="G105" s="5" t="inlineStr">
        <is>
          <t>普通科</t>
        </is>
      </c>
      <c r="H105" s="8" t="n"/>
      <c r="I105" s="9" t="n"/>
      <c r="J105" s="9" t="inlineStr">
        <is>
          <t>未架電</t>
        </is>
      </c>
      <c r="K105" s="8" t="n"/>
      <c r="L105" s="9" t="n"/>
      <c r="M105" s="10" t="inlineStr">
        <is>
          <t>中高共通</t>
        </is>
      </c>
      <c r="N105" s="11" t="inlineStr">
        <is>
          <t>https://www.inter-edu.com/schools/school/1996 ; https://www.minkou.jp/junior/school/7807/</t>
        </is>
      </c>
      <c r="O105" s="12" t="inlineStr">
        <is>
          <t>開く</t>
        </is>
      </c>
    </row>
    <row r="106">
      <c r="A106" s="4" t="n">
        <v>102</v>
      </c>
      <c r="B106" s="5" t="inlineStr">
        <is>
          <t>東京都</t>
        </is>
      </c>
      <c r="C106" s="5" t="inlineStr">
        <is>
          <t>板橋区</t>
        </is>
      </c>
      <c r="D106" s="5" t="inlineStr">
        <is>
          <t>城北高等学校（東京都）</t>
        </is>
      </c>
      <c r="E106" s="6" t="inlineStr">
        <is>
          <t>03-3956-3157</t>
        </is>
      </c>
      <c r="F106" s="7" t="inlineStr">
        <is>
          <t>高</t>
        </is>
      </c>
      <c r="G106" s="5" t="inlineStr">
        <is>
          <t>普通科</t>
        </is>
      </c>
      <c r="H106" s="8" t="n"/>
      <c r="I106" s="9" t="n"/>
      <c r="J106" s="9" t="inlineStr">
        <is>
          <t>未架電</t>
        </is>
      </c>
      <c r="K106" s="8" t="n"/>
      <c r="L106" s="9" t="n"/>
      <c r="M106" s="10" t="inlineStr">
        <is>
          <t>学校の募集要項に「代表」と記載。中高共通</t>
        </is>
      </c>
      <c r="N106" s="11" t="inlineStr">
        <is>
          <t>https://www.johoku.ac.jp/media/47118 ; https://www.seikatubunka.metro.tokyo.lg.jp/documents/d/seikatubunka/07high_zennichi_r61201</t>
        </is>
      </c>
      <c r="O106" s="12" t="inlineStr">
        <is>
          <t>開く</t>
        </is>
      </c>
    </row>
    <row r="107">
      <c r="A107" s="4" t="n">
        <v>103</v>
      </c>
      <c r="B107" s="5" t="inlineStr">
        <is>
          <t>東京都</t>
        </is>
      </c>
      <c r="C107" s="5" t="inlineStr">
        <is>
          <t>千代田区</t>
        </is>
      </c>
      <c r="D107" s="5" t="inlineStr">
        <is>
          <t>女子学院高等学校</t>
        </is>
      </c>
      <c r="E107" s="6" t="inlineStr">
        <is>
          <t>03-3263-1711</t>
        </is>
      </c>
      <c r="F107" s="7" t="inlineStr">
        <is>
          <t>高</t>
        </is>
      </c>
      <c r="G107" s="5" t="inlineStr">
        <is>
          <t>普通科</t>
        </is>
      </c>
      <c r="H107" s="8" t="n"/>
      <c r="I107" s="9" t="n"/>
      <c r="J107" s="9" t="inlineStr">
        <is>
          <t>未架電</t>
        </is>
      </c>
      <c r="K107" s="8" t="n"/>
      <c r="L107" s="9" t="n"/>
      <c r="M107" s="10" t="inlineStr">
        <is>
          <t>中高共通。高校募集なし（完全中高一貫）</t>
        </is>
      </c>
      <c r="N107" s="11" t="inlineStr">
        <is>
          <t>https://www.inter-edu.com/schools/school/59 ; https://school.js88.com/scl_j/31130011</t>
        </is>
      </c>
      <c r="O107" s="12" t="inlineStr">
        <is>
          <t>開く</t>
        </is>
      </c>
    </row>
    <row r="108">
      <c r="A108" s="4" t="n">
        <v>104</v>
      </c>
      <c r="B108" s="5" t="inlineStr">
        <is>
          <t>東京都</t>
        </is>
      </c>
      <c r="C108" s="5" t="inlineStr">
        <is>
          <t>杉並区</t>
        </is>
      </c>
      <c r="D108" s="5" t="inlineStr">
        <is>
          <t>女子美術大学付属高等学校</t>
        </is>
      </c>
      <c r="E108" s="6" t="inlineStr">
        <is>
          <t>03-5340-4541</t>
        </is>
      </c>
      <c r="F108" s="7" t="inlineStr">
        <is>
          <t>高</t>
        </is>
      </c>
      <c r="G108" s="5" t="inlineStr">
        <is>
          <t>普通科</t>
        </is>
      </c>
      <c r="H108" s="8" t="n"/>
      <c r="I108" s="9" t="n"/>
      <c r="J108" s="9" t="inlineStr">
        <is>
          <t>未架電</t>
        </is>
      </c>
      <c r="K108" s="8" t="n"/>
      <c r="L108" s="9" t="n"/>
      <c r="M108" s="10" t="inlineStr">
        <is>
          <t>中高共通</t>
        </is>
      </c>
      <c r="N108" s="11" t="inlineStr">
        <is>
          <t>https://www.seikatubunka.metro.tokyo.lg.jp/documents/d/seikatubunka/07high_zennichi_r61201 ; https://www.inter-edu.com/schools/school/2065</t>
        </is>
      </c>
      <c r="O108" s="12" t="inlineStr">
        <is>
          <t>開く</t>
        </is>
      </c>
    </row>
    <row r="109">
      <c r="A109" s="4" t="n">
        <v>105</v>
      </c>
      <c r="B109" s="5" t="inlineStr">
        <is>
          <t>東京都</t>
        </is>
      </c>
      <c r="C109" s="5" t="inlineStr">
        <is>
          <t>豊島区</t>
        </is>
      </c>
      <c r="D109" s="5" t="inlineStr">
        <is>
          <t>巣鴨高等学校</t>
        </is>
      </c>
      <c r="E109" s="6" t="inlineStr">
        <is>
          <t>03-3918-5311</t>
        </is>
      </c>
      <c r="F109" s="7" t="inlineStr">
        <is>
          <t>高</t>
        </is>
      </c>
      <c r="G109" s="5" t="inlineStr">
        <is>
          <t>普通科</t>
        </is>
      </c>
      <c r="H109" s="8" t="n"/>
      <c r="I109" s="9" t="n"/>
      <c r="J109" s="9" t="inlineStr">
        <is>
          <t>未架電</t>
        </is>
      </c>
      <c r="K109" s="8" t="n"/>
      <c r="L109" s="9" t="n"/>
      <c r="M109" s="10" t="inlineStr">
        <is>
          <t>中高共通。複数サイトで一致</t>
        </is>
      </c>
      <c r="N109" s="11" t="inlineStr">
        <is>
          <t>https://www.inter-edu.com/schools/school/1945</t>
        </is>
      </c>
      <c r="O109" s="12" t="inlineStr">
        <is>
          <t>開く</t>
        </is>
      </c>
    </row>
    <row r="110">
      <c r="A110" s="4" t="n">
        <v>106</v>
      </c>
      <c r="B110" s="5" t="inlineStr">
        <is>
          <t>東京都</t>
        </is>
      </c>
      <c r="C110" s="5" t="inlineStr">
        <is>
          <t>杉並区</t>
        </is>
      </c>
      <c r="D110" s="5" t="inlineStr">
        <is>
          <t>杉並学院高等学校</t>
        </is>
      </c>
      <c r="E110" s="6" t="inlineStr">
        <is>
          <t>03-3316-3311</t>
        </is>
      </c>
      <c r="F110" s="7" t="inlineStr">
        <is>
          <t>高</t>
        </is>
      </c>
      <c r="G110" s="5" t="inlineStr">
        <is>
          <t>普通科</t>
        </is>
      </c>
      <c r="H110" s="8" t="n"/>
      <c r="I110" s="9" t="n"/>
      <c r="J110" s="9" t="inlineStr">
        <is>
          <t>未架電</t>
        </is>
      </c>
      <c r="K110" s="8" t="n"/>
      <c r="L110" s="9" t="n"/>
      <c r="M110" s="10" t="inlineStr">
        <is>
          <t>杉並区の一覧ほかで一致</t>
        </is>
      </c>
      <c r="N110" s="11" t="inlineStr">
        <is>
          <t>https://www.inter-edu.com/schools/school/1019 ; https://www.city.suginami.tokyo.jp/kusei/gaiyou/shisetsu/genre/school/shiritsukoukou/index.html</t>
        </is>
      </c>
      <c r="O110" s="12" t="inlineStr">
        <is>
          <t>開く</t>
        </is>
      </c>
    </row>
    <row r="111">
      <c r="A111" s="4" t="n">
        <v>107</v>
      </c>
      <c r="B111" s="5" t="inlineStr">
        <is>
          <t>東京都</t>
        </is>
      </c>
      <c r="C111" s="5" t="inlineStr">
        <is>
          <t>北区</t>
        </is>
      </c>
      <c r="D111" s="5" t="inlineStr">
        <is>
          <t>駿台学園高等学校</t>
        </is>
      </c>
      <c r="E111" s="6" t="inlineStr">
        <is>
          <t>03-3913-5735</t>
        </is>
      </c>
      <c r="F111" s="7" t="inlineStr">
        <is>
          <t>高</t>
        </is>
      </c>
      <c r="G111" s="5" t="inlineStr">
        <is>
          <t>普通科</t>
        </is>
      </c>
      <c r="H111" s="8" t="n"/>
      <c r="I111" s="9" t="n"/>
      <c r="J111" s="9" t="inlineStr">
        <is>
          <t>未架電</t>
        </is>
      </c>
      <c r="K111" s="8" t="n"/>
      <c r="L111" s="9" t="n"/>
      <c r="M111" s="10" t="inlineStr">
        <is>
          <t>全日制の代表。定時制は03-3914-5849</t>
        </is>
      </c>
      <c r="N111" s="11" t="inlineStr">
        <is>
          <t>https://www.inter-edu.com/schools/school/2104 ; https://school.js88.com/scl_h/22038710</t>
        </is>
      </c>
      <c r="O111" s="12" t="inlineStr">
        <is>
          <t>開く</t>
        </is>
      </c>
    </row>
    <row r="112">
      <c r="A112" s="4" t="n">
        <v>108</v>
      </c>
      <c r="B112" s="5" t="inlineStr">
        <is>
          <t>東京都</t>
        </is>
      </c>
      <c r="C112" s="5" t="inlineStr">
        <is>
          <t>北区</t>
        </is>
      </c>
      <c r="D112" s="5" t="inlineStr">
        <is>
          <t>聖学院高等学校</t>
        </is>
      </c>
      <c r="E112" s="6" t="inlineStr">
        <is>
          <t>03-3917-1121</t>
        </is>
      </c>
      <c r="F112" s="7" t="inlineStr">
        <is>
          <t>高</t>
        </is>
      </c>
      <c r="G112" s="5" t="inlineStr">
        <is>
          <t>普通科</t>
        </is>
      </c>
      <c r="H112" s="8" t="n"/>
      <c r="I112" s="9" t="n"/>
      <c r="J112" s="9" t="inlineStr">
        <is>
          <t>未架電</t>
        </is>
      </c>
      <c r="K112" s="8" t="n"/>
      <c r="L112" s="9" t="n"/>
      <c r="M112" s="10" t="inlineStr">
        <is>
          <t>中高共通。複数サイトで一致</t>
        </is>
      </c>
      <c r="N112" s="11" t="inlineStr">
        <is>
          <t>https://www.inter-edu.com/schools/school/1946</t>
        </is>
      </c>
      <c r="O112" s="12" t="inlineStr">
        <is>
          <t>開く</t>
        </is>
      </c>
    </row>
    <row r="113">
      <c r="A113" s="4" t="n">
        <v>109</v>
      </c>
      <c r="B113" s="5" t="inlineStr">
        <is>
          <t>東京都</t>
        </is>
      </c>
      <c r="C113" s="5" t="inlineStr">
        <is>
          <t>武蔵野市</t>
        </is>
      </c>
      <c r="D113" s="5" t="inlineStr">
        <is>
          <t>成蹊高等学校</t>
        </is>
      </c>
      <c r="E113" s="6" t="inlineStr">
        <is>
          <t>0422-37-3818</t>
        </is>
      </c>
      <c r="F113" s="7" t="inlineStr">
        <is>
          <t>高</t>
        </is>
      </c>
      <c r="G113" s="5" t="inlineStr">
        <is>
          <t>普通科</t>
        </is>
      </c>
      <c r="H113" s="8" t="n"/>
      <c r="I113" s="9" t="n"/>
      <c r="J113" s="9" t="inlineStr">
        <is>
          <t>未架電</t>
        </is>
      </c>
      <c r="K113" s="8" t="n"/>
      <c r="L113" s="9" t="n"/>
      <c r="M113" s="10" t="inlineStr">
        <is>
          <t>中高共通</t>
        </is>
      </c>
      <c r="N113" s="11" t="inlineStr">
        <is>
          <t>https://www.inter-edu.com/schools/school/1997 ; https://www.minkou.jp/junior/school/8075/</t>
        </is>
      </c>
      <c r="O113" s="12" t="inlineStr">
        <is>
          <t>開く</t>
        </is>
      </c>
    </row>
    <row r="114">
      <c r="A114" s="4" t="n">
        <v>110</v>
      </c>
      <c r="B114" s="5" t="inlineStr">
        <is>
          <t>東京都</t>
        </is>
      </c>
      <c r="C114" s="5" t="inlineStr">
        <is>
          <t>港区</t>
        </is>
      </c>
      <c r="D114" s="5" t="inlineStr">
        <is>
          <t>聖心女子学院高等科</t>
        </is>
      </c>
      <c r="E114" s="6" t="inlineStr">
        <is>
          <t>03-3444-7671</t>
        </is>
      </c>
      <c r="F114" s="7" t="inlineStr">
        <is>
          <t>高</t>
        </is>
      </c>
      <c r="G114" s="5" t="inlineStr">
        <is>
          <t>普通科</t>
        </is>
      </c>
      <c r="H114" s="8" t="n"/>
      <c r="I114" s="9" t="n"/>
      <c r="J114" s="9" t="inlineStr">
        <is>
          <t>未架電</t>
        </is>
      </c>
      <c r="K114" s="8" t="n"/>
      <c r="L114" s="9" t="n"/>
      <c r="M114" s="10" t="inlineStr">
        <is>
          <t>初等科〜高等科共通の代表番号。高校募集なし</t>
        </is>
      </c>
      <c r="N114" s="11" t="inlineStr">
        <is>
          <t>https://www.minkou.jp/hischool/school/2433/</t>
        </is>
      </c>
      <c r="O114" s="12" t="inlineStr">
        <is>
          <t>開く</t>
        </is>
      </c>
    </row>
    <row r="115">
      <c r="A115" s="4" t="n">
        <v>111</v>
      </c>
      <c r="B115" s="5" t="inlineStr">
        <is>
          <t>東京都</t>
        </is>
      </c>
      <c r="C115" s="5" t="inlineStr">
        <is>
          <t>世田谷区</t>
        </is>
      </c>
      <c r="D115" s="5" t="inlineStr">
        <is>
          <t>成城学園高等学校</t>
        </is>
      </c>
      <c r="E115" s="6" t="inlineStr">
        <is>
          <t>03-3482-2104</t>
        </is>
      </c>
      <c r="F115" s="13" t="inlineStr">
        <is>
          <t>中</t>
        </is>
      </c>
      <c r="G115" s="5" t="inlineStr">
        <is>
          <t>普通科</t>
        </is>
      </c>
      <c r="H115" s="8" t="n"/>
      <c r="I115" s="9" t="n"/>
      <c r="J115" s="9" t="inlineStr">
        <is>
          <t>未架電</t>
        </is>
      </c>
      <c r="K115" s="8" t="n"/>
      <c r="L115" s="9" t="n"/>
      <c r="M115" s="10" t="inlineStr">
        <is>
          <t>公式の中学校高等学校事務室の番号（検索要約による）。03-3482-2105を載せるサイトもあり。成城高校（新宿区）とは別の学校</t>
        </is>
      </c>
      <c r="N115" s="11" t="inlineStr">
        <is>
          <t>https://www.seijogakuen.ed.jp/chukou/info/</t>
        </is>
      </c>
      <c r="O115" s="12" t="inlineStr">
        <is>
          <t>開く</t>
        </is>
      </c>
    </row>
    <row r="116">
      <c r="A116" s="4" t="n">
        <v>112</v>
      </c>
      <c r="B116" s="5" t="inlineStr">
        <is>
          <t>東京都</t>
        </is>
      </c>
      <c r="C116" s="5" t="inlineStr">
        <is>
          <t>新宿区</t>
        </is>
      </c>
      <c r="D116" s="5" t="inlineStr">
        <is>
          <t>成城高等学校</t>
        </is>
      </c>
      <c r="E116" s="6" t="inlineStr">
        <is>
          <t>03-3341-6141</t>
        </is>
      </c>
      <c r="F116" s="7" t="inlineStr">
        <is>
          <t>高</t>
        </is>
      </c>
      <c r="G116" s="5" t="inlineStr">
        <is>
          <t>普通科</t>
        </is>
      </c>
      <c r="H116" s="8" t="n"/>
      <c r="I116" s="9" t="n"/>
      <c r="J116" s="9" t="inlineStr">
        <is>
          <t>未架電</t>
        </is>
      </c>
      <c r="K116" s="8" t="n"/>
      <c r="L116" s="9" t="n"/>
      <c r="M116" s="10" t="inlineStr">
        <is>
          <t>中高共通。成城学園とは別の学校。高校募集停止（完全中高一貫）との情報あり</t>
        </is>
      </c>
      <c r="N116" s="11" t="inlineStr">
        <is>
          <t>https://www.inter-edu.com/schools/school/16 ; https://map.yahoo.co.jp/v3/place/M-_odyJ2xIg</t>
        </is>
      </c>
      <c r="O116" s="12" t="inlineStr">
        <is>
          <t>開く</t>
        </is>
      </c>
    </row>
    <row r="117">
      <c r="A117" s="4" t="n">
        <v>113</v>
      </c>
      <c r="B117" s="5" t="inlineStr">
        <is>
          <t>東京都</t>
        </is>
      </c>
      <c r="C117" s="5" t="inlineStr">
        <is>
          <t>新宿区</t>
        </is>
      </c>
      <c r="D117" s="5" t="inlineStr">
        <is>
          <t>成女高等学校</t>
        </is>
      </c>
      <c r="E117" s="6" t="inlineStr">
        <is>
          <t>03-3351-2330</t>
        </is>
      </c>
      <c r="F117" s="7" t="inlineStr">
        <is>
          <t>高</t>
        </is>
      </c>
      <c r="G117" s="5" t="inlineStr">
        <is>
          <t>普通科</t>
        </is>
      </c>
      <c r="H117" s="8" t="n"/>
      <c r="I117" s="9" t="n"/>
      <c r="J117" s="9" t="inlineStr">
        <is>
          <t>未架電</t>
        </is>
      </c>
      <c r="K117" s="8" t="n"/>
      <c r="L117" s="9" t="n"/>
      <c r="M117" s="10" t="inlineStr">
        <is>
          <t>東京都の私立高校一覧ほかで一致</t>
        </is>
      </c>
      <c r="N117" s="11" t="inlineStr">
        <is>
          <t>https://www.seikatubunka.metro.tokyo.lg.jp/documents/d/seikatubunka/07high_zennichi_r61201 ; https://school.js88.com/scl_h/22038270/</t>
        </is>
      </c>
      <c r="O117" s="12" t="inlineStr">
        <is>
          <t>開く</t>
        </is>
      </c>
    </row>
    <row r="118">
      <c r="A118" s="4" t="n">
        <v>114</v>
      </c>
      <c r="B118" s="5" t="inlineStr">
        <is>
          <t>東京都</t>
        </is>
      </c>
      <c r="C118" s="5" t="inlineStr">
        <is>
          <t>千代田区</t>
        </is>
      </c>
      <c r="D118" s="5" t="inlineStr">
        <is>
          <t>正則学園高等学校</t>
        </is>
      </c>
      <c r="E118" s="6" t="inlineStr">
        <is>
          <t>03-3295-3011</t>
        </is>
      </c>
      <c r="F118" s="7" t="inlineStr">
        <is>
          <t>高</t>
        </is>
      </c>
      <c r="G118" s="5" t="inlineStr">
        <is>
          <t>普通科</t>
        </is>
      </c>
      <c r="H118" s="8" t="n"/>
      <c r="I118" s="9" t="n"/>
      <c r="J118" s="9" t="inlineStr">
        <is>
          <t>未架電</t>
        </is>
      </c>
      <c r="K118" s="8" t="n"/>
      <c r="L118" s="9" t="n"/>
      <c r="M118" s="10" t="inlineStr">
        <is>
          <t>千代田区の学校。正則高校（港区）とは別の学校</t>
        </is>
      </c>
      <c r="N118" s="11" t="inlineStr">
        <is>
          <t>https://www.inter-edu.com/schools/school/995 ; https://school.js88.com/scl_h/22037990?page=5</t>
        </is>
      </c>
      <c r="O118" s="12" t="inlineStr">
        <is>
          <t>開く</t>
        </is>
      </c>
    </row>
    <row r="119">
      <c r="A119" s="4" t="n">
        <v>115</v>
      </c>
      <c r="B119" s="5" t="inlineStr">
        <is>
          <t>東京都</t>
        </is>
      </c>
      <c r="C119" s="5" t="inlineStr">
        <is>
          <t>港区</t>
        </is>
      </c>
      <c r="D119" s="5" t="inlineStr">
        <is>
          <t>正則高等学校</t>
        </is>
      </c>
      <c r="E119" s="6" t="inlineStr">
        <is>
          <t>03-3431-0913</t>
        </is>
      </c>
      <c r="F119" s="7" t="inlineStr">
        <is>
          <t>高</t>
        </is>
      </c>
      <c r="G119" s="5" t="inlineStr">
        <is>
          <t>普通科</t>
        </is>
      </c>
      <c r="H119" s="8" t="n"/>
      <c r="I119" s="9" t="n"/>
      <c r="J119" s="9" t="inlineStr">
        <is>
          <t>未架電</t>
        </is>
      </c>
      <c r="K119" s="8" t="n"/>
      <c r="L119" s="9" t="n"/>
      <c r="M119" s="10" t="inlineStr">
        <is>
          <t>港区の学校。正則学園（千代田区）とは別の学校</t>
        </is>
      </c>
      <c r="N119" s="11" t="inlineStr">
        <is>
          <t>https://www.inter-edu.com/schools/school/1020 ; https://univpress.co.jp/gk_pdf/13529.pdf</t>
        </is>
      </c>
      <c r="O119" s="12" t="inlineStr">
        <is>
          <t>開く</t>
        </is>
      </c>
    </row>
    <row r="120">
      <c r="A120" s="4" t="n">
        <v>116</v>
      </c>
      <c r="B120" s="5" t="inlineStr">
        <is>
          <t>東京都</t>
        </is>
      </c>
      <c r="C120" s="5" t="inlineStr">
        <is>
          <t>世田谷区</t>
        </is>
      </c>
      <c r="D120" s="5" t="inlineStr">
        <is>
          <t>聖ドミニコ学園高等学校</t>
        </is>
      </c>
      <c r="E120" s="6" t="inlineStr">
        <is>
          <t>03-3700-0017</t>
        </is>
      </c>
      <c r="F120" s="7" t="inlineStr">
        <is>
          <t>高</t>
        </is>
      </c>
      <c r="G120" s="5" t="inlineStr">
        <is>
          <t>普通科</t>
        </is>
      </c>
      <c r="H120" s="8" t="n"/>
      <c r="I120" s="9" t="n"/>
      <c r="J120" s="9" t="inlineStr">
        <is>
          <t>未架電</t>
        </is>
      </c>
      <c r="K120" s="8" t="n"/>
      <c r="L120" s="9" t="n"/>
      <c r="M120" s="10" t="inlineStr">
        <is>
          <t>学園事務局の番号（学園共通の代表とみられる）</t>
        </is>
      </c>
      <c r="N120" s="11" t="inlineStr">
        <is>
          <t>https://www.inter-edu.com/schools/school/235 ; https://school.js88.com/scl_h/22039270</t>
        </is>
      </c>
      <c r="O120" s="12" t="inlineStr">
        <is>
          <t>開く</t>
        </is>
      </c>
    </row>
    <row r="121">
      <c r="A121" s="4" t="n">
        <v>117</v>
      </c>
      <c r="B121" s="5" t="inlineStr">
        <is>
          <t>東京都</t>
        </is>
      </c>
      <c r="C121" s="5" t="inlineStr">
        <is>
          <t>八王子市</t>
        </is>
      </c>
      <c r="D121" s="5" t="inlineStr">
        <is>
          <t>聖パウロ学園高等学校</t>
        </is>
      </c>
      <c r="E121" s="6" t="inlineStr">
        <is>
          <t>042-651-3893</t>
        </is>
      </c>
      <c r="F121" s="7" t="inlineStr">
        <is>
          <t>高</t>
        </is>
      </c>
      <c r="G121" s="5" t="inlineStr">
        <is>
          <t>普通科</t>
        </is>
      </c>
      <c r="H121" s="8" t="n"/>
      <c r="I121" s="9" t="n"/>
      <c r="J121" s="9" t="inlineStr">
        <is>
          <t>未架電</t>
        </is>
      </c>
      <c r="K121" s="8" t="n"/>
      <c r="L121" s="9" t="n"/>
      <c r="M121" s="10" t="inlineStr">
        <is>
          <t>全日制の番号。通信制は042-651-3882を案内する資料あり</t>
        </is>
      </c>
      <c r="N121" s="11" t="inlineStr">
        <is>
          <t>https://www.inter-edu.com/schools/school/620 ; https://univpress.co.jp/gk_pdf/13710.pdf</t>
        </is>
      </c>
      <c r="O121" s="12" t="inlineStr">
        <is>
          <t>開く</t>
        </is>
      </c>
    </row>
    <row r="122">
      <c r="A122" s="4" t="n">
        <v>118</v>
      </c>
      <c r="B122" s="5" t="inlineStr">
        <is>
          <t>東京都</t>
        </is>
      </c>
      <c r="C122" s="5" t="inlineStr">
        <is>
          <t>北区</t>
        </is>
      </c>
      <c r="D122" s="5" t="inlineStr">
        <is>
          <t>成立学園高等学校</t>
        </is>
      </c>
      <c r="E122" s="6" t="inlineStr">
        <is>
          <t>03-3902-5494</t>
        </is>
      </c>
      <c r="F122" s="7" t="inlineStr">
        <is>
          <t>高</t>
        </is>
      </c>
      <c r="G122" s="5" t="inlineStr">
        <is>
          <t>普通科</t>
        </is>
      </c>
      <c r="H122" s="8" t="n"/>
      <c r="I122" s="9" t="n"/>
      <c r="J122" s="9" t="inlineStr">
        <is>
          <t>未架電</t>
        </is>
      </c>
      <c r="K122" s="8" t="n"/>
      <c r="L122" s="9" t="n"/>
      <c r="M122" s="10" t="inlineStr">
        <is>
          <t>学校の公式資料に代表として記載。中高共通</t>
        </is>
      </c>
      <c r="N122" s="11" t="inlineStr">
        <is>
          <t>https://www.inter-edu.com/schools/school/2087</t>
        </is>
      </c>
      <c r="O122" s="12" t="inlineStr">
        <is>
          <t>開く</t>
        </is>
      </c>
    </row>
    <row r="123">
      <c r="A123" s="4" t="n">
        <v>119</v>
      </c>
      <c r="B123" s="5" t="inlineStr">
        <is>
          <t>東京都</t>
        </is>
      </c>
      <c r="C123" s="5" t="inlineStr">
        <is>
          <t>品川区</t>
        </is>
      </c>
      <c r="D123" s="5" t="inlineStr">
        <is>
          <t>青稜高等学校</t>
        </is>
      </c>
      <c r="E123" s="6" t="inlineStr">
        <is>
          <t>03-3782-1502</t>
        </is>
      </c>
      <c r="F123" s="7" t="inlineStr">
        <is>
          <t>高</t>
        </is>
      </c>
      <c r="G123" s="5" t="inlineStr">
        <is>
          <t>普通科</t>
        </is>
      </c>
      <c r="H123" s="8" t="n"/>
      <c r="I123" s="9" t="n"/>
      <c r="J123" s="9" t="inlineStr">
        <is>
          <t>未架電</t>
        </is>
      </c>
      <c r="K123" s="8" t="n"/>
      <c r="L123" s="9" t="n"/>
      <c r="M123" s="10" t="inlineStr">
        <is>
          <t>中高共通</t>
        </is>
      </c>
      <c r="N123" s="11" t="inlineStr">
        <is>
          <t>https://www.inter-edu.com/schools/school/2000 ; https://school.js88.com/scl_h/22038940</t>
        </is>
      </c>
      <c r="O123" s="12" t="inlineStr">
        <is>
          <t>開く</t>
        </is>
      </c>
    </row>
    <row r="124">
      <c r="A124" s="4" t="n">
        <v>120</v>
      </c>
      <c r="B124" s="5" t="inlineStr">
        <is>
          <t>東京都</t>
        </is>
      </c>
      <c r="C124" s="5" t="inlineStr">
        <is>
          <t>世田谷区</t>
        </is>
      </c>
      <c r="D124" s="5" t="inlineStr">
        <is>
          <t>世田谷学園高等学校</t>
        </is>
      </c>
      <c r="E124" s="6" t="inlineStr">
        <is>
          <t>03-3411-8661</t>
        </is>
      </c>
      <c r="F124" s="7" t="inlineStr">
        <is>
          <t>高</t>
        </is>
      </c>
      <c r="G124" s="5" t="inlineStr">
        <is>
          <t>普通科</t>
        </is>
      </c>
      <c r="H124" s="8" t="n"/>
      <c r="I124" s="9" t="n"/>
      <c r="J124" s="9" t="inlineStr">
        <is>
          <t>未架電</t>
        </is>
      </c>
      <c r="K124" s="8" t="n"/>
      <c r="L124" s="9" t="n"/>
      <c r="M124" s="10" t="inlineStr">
        <is>
          <t>中高共通</t>
        </is>
      </c>
      <c r="N124" s="11" t="inlineStr">
        <is>
          <t>https://www.inter-edu.com/schools/school/80 ; https://www.univpress.co.jp/gk_pdf/13649.pdf</t>
        </is>
      </c>
      <c r="O124" s="12" t="inlineStr">
        <is>
          <t>開く</t>
        </is>
      </c>
    </row>
    <row r="125">
      <c r="A125" s="4" t="n">
        <v>121</v>
      </c>
      <c r="B125" s="5" t="inlineStr">
        <is>
          <t>東京都</t>
        </is>
      </c>
      <c r="C125" s="5" t="inlineStr">
        <is>
          <t>杉並区</t>
        </is>
      </c>
      <c r="D125" s="5" t="inlineStr">
        <is>
          <t>専修大学附属高等学校</t>
        </is>
      </c>
      <c r="E125" s="6" t="inlineStr">
        <is>
          <t>03-3322-7171</t>
        </is>
      </c>
      <c r="F125" s="13" t="inlineStr">
        <is>
          <t>中</t>
        </is>
      </c>
      <c r="G125" s="5" t="inlineStr">
        <is>
          <t>普通科</t>
        </is>
      </c>
      <c r="H125" s="8" t="n"/>
      <c r="I125" s="9" t="n"/>
      <c r="J125" s="9" t="inlineStr">
        <is>
          <t>未架電</t>
        </is>
      </c>
      <c r="K125" s="8" t="n"/>
      <c r="L125" s="9" t="n"/>
      <c r="M125" s="10" t="inlineStr">
        <is>
          <t>学校情報サイトのみで確認</t>
        </is>
      </c>
      <c r="N125" s="11" t="inlineStr">
        <is>
          <t>https://school.js88.com/scl_h/22039570?page=5</t>
        </is>
      </c>
      <c r="O125" s="12" t="inlineStr">
        <is>
          <t>開く</t>
        </is>
      </c>
    </row>
    <row r="126">
      <c r="A126" s="4" t="n">
        <v>122</v>
      </c>
      <c r="B126" s="5" t="inlineStr">
        <is>
          <t>東京都</t>
        </is>
      </c>
      <c r="C126" s="5" t="inlineStr">
        <is>
          <t>小平市</t>
        </is>
      </c>
      <c r="D126" s="5" t="inlineStr">
        <is>
          <t>創価高等学校</t>
        </is>
      </c>
      <c r="E126" s="6" t="inlineStr">
        <is>
          <t>042-342-2611</t>
        </is>
      </c>
      <c r="F126" s="7" t="inlineStr">
        <is>
          <t>高</t>
        </is>
      </c>
      <c r="G126" s="5" t="inlineStr">
        <is>
          <t>普通科</t>
        </is>
      </c>
      <c r="H126" s="8" t="n"/>
      <c r="I126" s="9" t="n"/>
      <c r="J126" s="9" t="inlineStr">
        <is>
          <t>未架電</t>
        </is>
      </c>
      <c r="K126" s="8" t="n"/>
      <c r="L126" s="9" t="n"/>
      <c r="M126" s="10" t="inlineStr">
        <is>
          <t>2つの情報源で一致。042-341-2611は中学校の番号なので注意</t>
        </is>
      </c>
      <c r="N126" s="11" t="inlineStr">
        <is>
          <t>https://www.univpress.Co.jp/gk_pdf/13722.pdf ; https://map.yahoo.co.jp/v3/place/6edwbApzAAk</t>
        </is>
      </c>
      <c r="O126" s="12" t="inlineStr">
        <is>
          <t>開く</t>
        </is>
      </c>
    </row>
    <row r="127">
      <c r="A127" s="4" t="n">
        <v>123</v>
      </c>
      <c r="B127" s="5" t="inlineStr">
        <is>
          <t>東京都</t>
        </is>
      </c>
      <c r="C127" s="5" t="inlineStr">
        <is>
          <t>三鷹市</t>
        </is>
      </c>
      <c r="D127" s="5" t="inlineStr">
        <is>
          <t>大成高等学校（東京都）</t>
        </is>
      </c>
      <c r="E127" s="6" t="inlineStr">
        <is>
          <t>0422-43-3196</t>
        </is>
      </c>
      <c r="F127" s="13" t="inlineStr">
        <is>
          <t>中</t>
        </is>
      </c>
      <c r="G127" s="5" t="inlineStr">
        <is>
          <t>普通科</t>
        </is>
      </c>
      <c r="H127" s="8" t="n"/>
      <c r="I127" s="9" t="n"/>
      <c r="J127" s="9" t="inlineStr">
        <is>
          <t>未架電</t>
        </is>
      </c>
      <c r="K127" s="8" t="n"/>
      <c r="L127" s="9" t="n"/>
      <c r="M127" s="10" t="inlineStr">
        <is>
          <t>学校情報サイト1件のみで確認</t>
        </is>
      </c>
      <c r="N127" s="11" t="inlineStr">
        <is>
          <t>https://www.inter-edu.com/schools/school/626</t>
        </is>
      </c>
      <c r="O127" s="12" t="inlineStr">
        <is>
          <t>開く</t>
        </is>
      </c>
    </row>
    <row r="128">
      <c r="A128" s="4" t="n">
        <v>124</v>
      </c>
      <c r="B128" s="5" t="inlineStr">
        <is>
          <t>東京都</t>
        </is>
      </c>
      <c r="C128" s="5" t="inlineStr">
        <is>
          <t>港区</t>
        </is>
      </c>
      <c r="D128" s="5" t="inlineStr">
        <is>
          <t>高輪高等学校</t>
        </is>
      </c>
      <c r="E128" s="6" t="inlineStr">
        <is>
          <t>03-3441-7201</t>
        </is>
      </c>
      <c r="F128" s="7" t="inlineStr">
        <is>
          <t>高</t>
        </is>
      </c>
      <c r="G128" s="5" t="inlineStr">
        <is>
          <t>普通科</t>
        </is>
      </c>
      <c r="H128" s="8" t="n"/>
      <c r="I128" s="9" t="n"/>
      <c r="J128" s="9" t="inlineStr">
        <is>
          <t>未架電</t>
        </is>
      </c>
      <c r="K128" s="8" t="n"/>
      <c r="L128" s="9" t="n"/>
      <c r="M128" s="10" t="inlineStr">
        <is>
          <t>中高共通。高校募集なし（完全中高一貫）</t>
        </is>
      </c>
      <c r="N128" s="11" t="inlineStr">
        <is>
          <t>https://www.minkou.jp/junior/school/7509/</t>
        </is>
      </c>
      <c r="O128" s="12" t="inlineStr">
        <is>
          <t>開く</t>
        </is>
      </c>
    </row>
    <row r="129">
      <c r="A129" s="4" t="n">
        <v>125</v>
      </c>
      <c r="B129" s="5" t="inlineStr">
        <is>
          <t>東京都</t>
        </is>
      </c>
      <c r="C129" s="5" t="inlineStr">
        <is>
          <t>北区</t>
        </is>
      </c>
      <c r="D129" s="5" t="inlineStr">
        <is>
          <t>瀧野川女子学園高等学校</t>
        </is>
      </c>
      <c r="E129" s="6" t="inlineStr">
        <is>
          <t>03-3910-6315</t>
        </is>
      </c>
      <c r="F129" s="13" t="inlineStr">
        <is>
          <t>中</t>
        </is>
      </c>
      <c r="G129" s="5" t="inlineStr">
        <is>
          <t>普通科</t>
        </is>
      </c>
      <c r="H129" s="8" t="n"/>
      <c r="I129" s="9" t="n"/>
      <c r="J129" s="9" t="inlineStr">
        <is>
          <t>未架電</t>
        </is>
      </c>
      <c r="K129" s="8" t="n"/>
      <c r="L129" s="9" t="n"/>
      <c r="M129" s="10" t="inlineStr">
        <is>
          <t>学校情報サイト1件のみで確認</t>
        </is>
      </c>
      <c r="N129" s="11" t="inlineStr">
        <is>
          <t>https://www.inter-edu.com/schools/school/1926</t>
        </is>
      </c>
      <c r="O129" s="12" t="inlineStr">
        <is>
          <t>開く</t>
        </is>
      </c>
    </row>
    <row r="130">
      <c r="A130" s="4" t="n">
        <v>126</v>
      </c>
      <c r="B130" s="5" t="inlineStr">
        <is>
          <t>東京都</t>
        </is>
      </c>
      <c r="C130" s="5" t="inlineStr">
        <is>
          <t>武蔵村山市</t>
        </is>
      </c>
      <c r="D130" s="5" t="inlineStr">
        <is>
          <t>拓殖大学第一高等学校</t>
        </is>
      </c>
      <c r="E130" s="6" t="inlineStr">
        <is>
          <t>042-590-3311</t>
        </is>
      </c>
      <c r="F130" s="13" t="inlineStr">
        <is>
          <t>中</t>
        </is>
      </c>
      <c r="G130" s="5" t="inlineStr">
        <is>
          <t>普通科</t>
        </is>
      </c>
      <c r="H130" s="8" t="n"/>
      <c r="I130" s="9" t="n"/>
      <c r="J130" s="9" t="inlineStr">
        <is>
          <t>未架電</t>
        </is>
      </c>
      <c r="K130" s="8" t="n"/>
      <c r="L130" s="9" t="n"/>
      <c r="M130" s="10" t="inlineStr">
        <is>
          <t>学校情報サイト1件のみで確認</t>
        </is>
      </c>
      <c r="N130" s="11" t="inlineStr">
        <is>
          <t>https://www.inter-edu.com/schools/school/546</t>
        </is>
      </c>
      <c r="O130" s="12" t="inlineStr">
        <is>
          <t>開く</t>
        </is>
      </c>
    </row>
    <row r="131">
      <c r="A131" s="4" t="n">
        <v>127</v>
      </c>
      <c r="B131" s="5" t="inlineStr">
        <is>
          <t>東京都</t>
        </is>
      </c>
      <c r="C131" s="5" t="inlineStr">
        <is>
          <t>立川市</t>
        </is>
      </c>
      <c r="D131" s="5" t="inlineStr">
        <is>
          <t>立川女子高等学校</t>
        </is>
      </c>
      <c r="E131" s="6" t="inlineStr">
        <is>
          <t>042-524-5188</t>
        </is>
      </c>
      <c r="F131" s="7" t="inlineStr">
        <is>
          <t>高</t>
        </is>
      </c>
      <c r="G131" s="5" t="inlineStr">
        <is>
          <t>普通科</t>
        </is>
      </c>
      <c r="H131" s="8" t="n"/>
      <c r="I131" s="9" t="n"/>
      <c r="J131" s="9" t="inlineStr">
        <is>
          <t>未架電</t>
        </is>
      </c>
      <c r="K131" s="8" t="n"/>
      <c r="L131" s="9" t="n"/>
      <c r="M131" s="10" t="inlineStr">
        <is>
          <t>2つの情報源で一致。042-524-5288を載せるサイトは誤記とみられる</t>
        </is>
      </c>
      <c r="N131" s="11" t="inlineStr">
        <is>
          <t>https://univpress.co.jp/gk_pdf/13716.pdf ; https://map.yahoo.co.jp/v3/place/yNs4D15xvU-</t>
        </is>
      </c>
      <c r="O131" s="12" t="inlineStr">
        <is>
          <t>開く</t>
        </is>
      </c>
    </row>
    <row r="132">
      <c r="A132" s="4" t="n">
        <v>128</v>
      </c>
      <c r="B132" s="5" t="inlineStr">
        <is>
          <t>東京都</t>
        </is>
      </c>
      <c r="C132" s="5" t="inlineStr">
        <is>
          <t>町田市</t>
        </is>
      </c>
      <c r="D132" s="5" t="inlineStr">
        <is>
          <t>玉川学園高等部</t>
        </is>
      </c>
      <c r="E132" s="6" t="inlineStr">
        <is>
          <t>042-739-8931</t>
        </is>
      </c>
      <c r="F132" s="7" t="inlineStr">
        <is>
          <t>高</t>
        </is>
      </c>
      <c r="G132" s="5" t="inlineStr">
        <is>
          <t>普通科</t>
        </is>
      </c>
      <c r="H132" s="8" t="n"/>
      <c r="I132" s="9" t="n"/>
      <c r="J132" s="9" t="inlineStr">
        <is>
          <t>未架電</t>
        </is>
      </c>
      <c r="K132" s="8" t="n"/>
      <c r="L132" s="9" t="n"/>
      <c r="M132" s="10" t="inlineStr">
        <is>
          <t>学園（K-12）共通の代表番号とみられる</t>
        </is>
      </c>
      <c r="N132" s="11" t="inlineStr">
        <is>
          <t>https://www.inter-edu.com/schools/school/2001 ; https://www.univpress.co.jp/wp-content/uploads/45tamagawagakuen-.pdf</t>
        </is>
      </c>
      <c r="O132" s="12" t="inlineStr">
        <is>
          <t>開く</t>
        </is>
      </c>
    </row>
    <row r="133">
      <c r="A133" s="4" t="n">
        <v>129</v>
      </c>
      <c r="B133" s="5" t="inlineStr">
        <is>
          <t>東京都</t>
        </is>
      </c>
      <c r="C133" s="5" t="inlineStr">
        <is>
          <t>世田谷区</t>
        </is>
      </c>
      <c r="D133" s="5" t="inlineStr">
        <is>
          <t>玉川聖学院高等部</t>
        </is>
      </c>
      <c r="E133" s="6" t="inlineStr">
        <is>
          <t>03-3702-4141</t>
        </is>
      </c>
      <c r="F133" s="7" t="inlineStr">
        <is>
          <t>高</t>
        </is>
      </c>
      <c r="G133" s="5" t="inlineStr">
        <is>
          <t>普通科</t>
        </is>
      </c>
      <c r="H133" s="8" t="n"/>
      <c r="I133" s="9" t="n"/>
      <c r="J133" s="9" t="inlineStr">
        <is>
          <t>未架電</t>
        </is>
      </c>
      <c r="K133" s="8" t="n"/>
      <c r="L133" s="9" t="n"/>
      <c r="M133" s="10" t="inlineStr">
        <is>
          <t>中高共通。複数サイトで一致</t>
        </is>
      </c>
      <c r="N133" s="11" t="inlineStr">
        <is>
          <t>https://www.inter-edu.com/schools/school/1972</t>
        </is>
      </c>
      <c r="O133" s="12" t="inlineStr">
        <is>
          <t>開く</t>
        </is>
      </c>
    </row>
    <row r="134">
      <c r="A134" s="4" t="n">
        <v>130</v>
      </c>
      <c r="B134" s="5" t="inlineStr">
        <is>
          <t>東京都</t>
        </is>
      </c>
      <c r="C134" s="5" t="inlineStr">
        <is>
          <t>多摩市</t>
        </is>
      </c>
      <c r="D134" s="5" t="inlineStr">
        <is>
          <t>多摩大学附属聖ヶ丘高等学校</t>
        </is>
      </c>
      <c r="E134" s="6" t="inlineStr">
        <is>
          <t>042-372-9393</t>
        </is>
      </c>
      <c r="F134" s="13" t="inlineStr">
        <is>
          <t>中</t>
        </is>
      </c>
      <c r="G134" s="5" t="inlineStr">
        <is>
          <t>普通科</t>
        </is>
      </c>
      <c r="H134" s="8" t="n"/>
      <c r="I134" s="9" t="n"/>
      <c r="J134" s="9" t="inlineStr">
        <is>
          <t>未架電</t>
        </is>
      </c>
      <c r="K134" s="8" t="n"/>
      <c r="L134" s="9" t="n"/>
      <c r="M134" s="10" t="inlineStr">
        <is>
          <t>中高共通。学校情報サイトのみで確認</t>
        </is>
      </c>
      <c r="N134" s="11" t="inlineStr">
        <is>
          <t>https://www.inter-edu.com/schools/school/1982</t>
        </is>
      </c>
      <c r="O134" s="12" t="inlineStr">
        <is>
          <t>開く</t>
        </is>
      </c>
    </row>
    <row r="135">
      <c r="A135" s="4" t="n">
        <v>131</v>
      </c>
      <c r="B135" s="5" t="inlineStr">
        <is>
          <t>東京都</t>
        </is>
      </c>
      <c r="C135" s="5" t="inlineStr">
        <is>
          <t>目黒区</t>
        </is>
      </c>
      <c r="D135" s="5" t="inlineStr">
        <is>
          <t>多摩大学目黒高等学校</t>
        </is>
      </c>
      <c r="E135" s="6" t="inlineStr">
        <is>
          <t>03-3714-2661</t>
        </is>
      </c>
      <c r="F135" s="7" t="inlineStr">
        <is>
          <t>高</t>
        </is>
      </c>
      <c r="G135" s="5" t="inlineStr">
        <is>
          <t>普通科</t>
        </is>
      </c>
      <c r="H135" s="8" t="n"/>
      <c r="I135" s="9" t="n"/>
      <c r="J135" s="9" t="inlineStr">
        <is>
          <t>未架電</t>
        </is>
      </c>
      <c r="K135" s="8" t="n"/>
      <c r="L135" s="9" t="n"/>
      <c r="M135" s="10" t="inlineStr">
        <is>
          <t>中高共通</t>
        </is>
      </c>
      <c r="N135" s="11" t="inlineStr">
        <is>
          <t>https://school.js88.com/scl_h/22039060?page=5 ; https://www.inter-edu.com/schools/school/2002</t>
        </is>
      </c>
      <c r="O135" s="12" t="inlineStr">
        <is>
          <t>開く</t>
        </is>
      </c>
    </row>
    <row r="136">
      <c r="A136" s="4" t="n">
        <v>132</v>
      </c>
      <c r="B136" s="5" t="inlineStr">
        <is>
          <t>東京都</t>
        </is>
      </c>
      <c r="C136" s="5" t="inlineStr">
        <is>
          <t>新宿区</t>
        </is>
      </c>
      <c r="D136" s="5" t="inlineStr">
        <is>
          <t>大智学園高等学校</t>
        </is>
      </c>
      <c r="E136" s="6" t="inlineStr">
        <is>
          <t>03-5925-2773</t>
        </is>
      </c>
      <c r="F136" s="13" t="inlineStr">
        <is>
          <t>中</t>
        </is>
      </c>
      <c r="G136" s="5" t="inlineStr">
        <is>
          <t>普通科</t>
        </is>
      </c>
      <c r="H136" s="8" t="n"/>
      <c r="I136" s="9" t="n"/>
      <c r="J136" s="9" t="inlineStr">
        <is>
          <t>未架電</t>
        </is>
      </c>
      <c r="K136" s="8" t="n"/>
      <c r="L136" s="9" t="n"/>
      <c r="M136" s="10" t="inlineStr">
        <is>
          <t>広域通信制。新宿校舎の番号（本校は福島県川内村）。学校の公式LINEで確認</t>
        </is>
      </c>
      <c r="N136" s="11" t="inlineStr">
        <is>
          <t>https://page.line.me/065bkmjx</t>
        </is>
      </c>
      <c r="O136" s="12" t="inlineStr">
        <is>
          <t>開く</t>
        </is>
      </c>
    </row>
    <row r="137">
      <c r="A137" s="4" t="n">
        <v>133</v>
      </c>
      <c r="B137" s="5" t="inlineStr">
        <is>
          <t>東京都</t>
        </is>
      </c>
      <c r="C137" s="5" t="inlineStr">
        <is>
          <t>世田谷区</t>
        </is>
      </c>
      <c r="D137" s="5" t="inlineStr">
        <is>
          <t>大東学園高等学校</t>
        </is>
      </c>
      <c r="E137" s="6" t="inlineStr">
        <is>
          <t>03-3483-1901</t>
        </is>
      </c>
      <c r="F137" s="7" t="inlineStr">
        <is>
          <t>高</t>
        </is>
      </c>
      <c r="G137" s="5" t="inlineStr">
        <is>
          <t>普通科</t>
        </is>
      </c>
      <c r="H137" s="8" t="n"/>
      <c r="I137" s="9" t="n"/>
      <c r="J137" s="9" t="inlineStr">
        <is>
          <t>未架電</t>
        </is>
      </c>
      <c r="K137" s="8" t="n"/>
      <c r="L137" s="9" t="n"/>
      <c r="M137" s="10" t="inlineStr">
        <is>
          <t>複数サイトで一致</t>
        </is>
      </c>
      <c r="N137" s="11" t="inlineStr">
        <is>
          <t>https://www.inter-edu.com/schools/school/1812 ; https://school.js88.com/scl_h/22039290</t>
        </is>
      </c>
      <c r="O137" s="12" t="inlineStr">
        <is>
          <t>開く</t>
        </is>
      </c>
    </row>
    <row r="138">
      <c r="A138" s="4" t="n">
        <v>134</v>
      </c>
      <c r="B138" s="5" t="inlineStr">
        <is>
          <t>東京都</t>
        </is>
      </c>
      <c r="C138" s="5" t="inlineStr">
        <is>
          <t>板橋区</t>
        </is>
      </c>
      <c r="D138" s="5" t="inlineStr">
        <is>
          <t>大東文化大学第一高等学校</t>
        </is>
      </c>
      <c r="E138" s="6" t="inlineStr">
        <is>
          <t>03-3935-1115</t>
        </is>
      </c>
      <c r="F138" s="13" t="inlineStr">
        <is>
          <t>中</t>
        </is>
      </c>
      <c r="G138" s="5" t="inlineStr">
        <is>
          <t>普通科</t>
        </is>
      </c>
      <c r="H138" s="8" t="n"/>
      <c r="I138" s="9" t="n"/>
      <c r="J138" s="9" t="inlineStr">
        <is>
          <t>未架電</t>
        </is>
      </c>
      <c r="K138" s="8" t="n"/>
      <c r="L138" s="9" t="n"/>
      <c r="M138" s="10" t="inlineStr">
        <is>
          <t>学校情報サイト1件のみで確認</t>
        </is>
      </c>
      <c r="N138" s="11" t="inlineStr">
        <is>
          <t>https://www.inter-edu.com/schools/school/547</t>
        </is>
      </c>
      <c r="O138" s="12" t="inlineStr">
        <is>
          <t>開く</t>
        </is>
      </c>
    </row>
    <row r="139">
      <c r="A139" s="4" t="n">
        <v>135</v>
      </c>
      <c r="B139" s="5" t="inlineStr">
        <is>
          <t>東京都</t>
        </is>
      </c>
      <c r="C139" s="5" t="inlineStr">
        <is>
          <t>江東区</t>
        </is>
      </c>
      <c r="D139" s="5" t="inlineStr">
        <is>
          <t>中央学院大学中央高等学校</t>
        </is>
      </c>
      <c r="E139" s="6" t="inlineStr">
        <is>
          <t>03-5836-7020</t>
        </is>
      </c>
      <c r="F139" s="7" t="inlineStr">
        <is>
          <t>高</t>
        </is>
      </c>
      <c r="G139" s="5" t="inlineStr">
        <is>
          <t>普通科・専門学科</t>
        </is>
      </c>
      <c r="H139" s="8" t="n"/>
      <c r="I139" s="9" t="n"/>
      <c r="J139" s="9" t="inlineStr">
        <is>
          <t>未架電</t>
        </is>
      </c>
      <c r="K139" s="8" t="n"/>
      <c r="L139" s="9" t="n"/>
      <c r="M139" s="10" t="inlineStr">
        <is>
          <t>代表として掲載</t>
        </is>
      </c>
      <c r="N139" s="11" t="inlineStr">
        <is>
          <t>https://school.js88.com/scl_h/22038080</t>
        </is>
      </c>
      <c r="O139" s="12" t="inlineStr">
        <is>
          <t>開く</t>
        </is>
      </c>
    </row>
    <row r="140">
      <c r="A140" s="4" t="n">
        <v>136</v>
      </c>
      <c r="B140" s="5" t="inlineStr">
        <is>
          <t>東京都</t>
        </is>
      </c>
      <c r="C140" s="5" t="inlineStr">
        <is>
          <t>文京区</t>
        </is>
      </c>
      <c r="D140" s="5" t="inlineStr">
        <is>
          <t>中央大学高等学校</t>
        </is>
      </c>
      <c r="E140" s="6" t="inlineStr">
        <is>
          <t>03-3814-5275</t>
        </is>
      </c>
      <c r="F140" s="7" t="inlineStr">
        <is>
          <t>高</t>
        </is>
      </c>
      <c r="G140" s="5" t="inlineStr">
        <is>
          <t>普通科</t>
        </is>
      </c>
      <c r="H140" s="8" t="n"/>
      <c r="I140" s="9" t="n"/>
      <c r="J140" s="9" t="inlineStr">
        <is>
          <t>未架電</t>
        </is>
      </c>
      <c r="K140" s="8" t="n"/>
      <c r="L140" s="9" t="n"/>
      <c r="M140" s="10" t="inlineStr">
        <is>
          <t>昼間定時制。東京都の定時制一覧と一致</t>
        </is>
      </c>
      <c r="N140" s="11" t="inlineStr">
        <is>
          <t>https://www.inter-edu.com/schools/school/628 ; https://www.seikatubunka.metro.tokyo.lg.jp/documents/d/seikatubunka/10high_teiji_r20401_01</t>
        </is>
      </c>
      <c r="O140" s="12" t="inlineStr">
        <is>
          <t>開く</t>
        </is>
      </c>
    </row>
    <row r="141">
      <c r="A141" s="4" t="n">
        <v>137</v>
      </c>
      <c r="B141" s="5" t="inlineStr">
        <is>
          <t>東京都</t>
        </is>
      </c>
      <c r="C141" s="5" t="inlineStr">
        <is>
          <t>杉並区</t>
        </is>
      </c>
      <c r="D141" s="5" t="inlineStr">
        <is>
          <t>中央大学杉並高等学校</t>
        </is>
      </c>
      <c r="E141" s="6" t="inlineStr">
        <is>
          <t>03-3390-3175</t>
        </is>
      </c>
      <c r="F141" s="13" t="inlineStr">
        <is>
          <t>中</t>
        </is>
      </c>
      <c r="G141" s="5" t="inlineStr">
        <is>
          <t>普通科</t>
        </is>
      </c>
      <c r="H141" s="8" t="n"/>
      <c r="I141" s="9" t="n"/>
      <c r="J141" s="9" t="inlineStr">
        <is>
          <t>未架電</t>
        </is>
      </c>
      <c r="K141" s="8" t="n"/>
      <c r="L141" s="9" t="n"/>
      <c r="M141" s="10" t="inlineStr">
        <is>
          <t>学校情報サイト1件のみで確認</t>
        </is>
      </c>
      <c r="N141" s="11" t="inlineStr">
        <is>
          <t>https://www.inter-edu.com/schools/school/629</t>
        </is>
      </c>
      <c r="O141" s="12" t="inlineStr">
        <is>
          <t>開く</t>
        </is>
      </c>
    </row>
    <row r="142">
      <c r="A142" s="4" t="n">
        <v>138</v>
      </c>
      <c r="B142" s="5" t="inlineStr">
        <is>
          <t>東京都</t>
        </is>
      </c>
      <c r="C142" s="5" t="inlineStr">
        <is>
          <t>小金井市</t>
        </is>
      </c>
      <c r="D142" s="5" t="inlineStr">
        <is>
          <t>中央大学附属高等学校</t>
        </is>
      </c>
      <c r="E142" s="6" t="inlineStr">
        <is>
          <t>042-381-5413</t>
        </is>
      </c>
      <c r="F142" s="7" t="inlineStr">
        <is>
          <t>高</t>
        </is>
      </c>
      <c r="G142" s="5" t="inlineStr">
        <is>
          <t>普通科</t>
        </is>
      </c>
      <c r="H142" s="8" t="n"/>
      <c r="I142" s="9" t="n"/>
      <c r="J142" s="9" t="inlineStr">
        <is>
          <t>未架電</t>
        </is>
      </c>
      <c r="K142" s="8" t="n"/>
      <c r="L142" s="9" t="n"/>
      <c r="M142" s="10" t="inlineStr">
        <is>
          <t>大学の公式資料と学校情報サイトで一致</t>
        </is>
      </c>
      <c r="N142" s="11" t="inlineStr">
        <is>
          <t>https://www.chuo-u.ac.jp/media/gaiyo/gaiyo26-27_54.pdf ; https://school.js88.com/scl_h/22040170?page=5</t>
        </is>
      </c>
      <c r="O142" s="12" t="inlineStr">
        <is>
          <t>開く</t>
        </is>
      </c>
    </row>
    <row r="143">
      <c r="A143" s="4" t="n">
        <v>139</v>
      </c>
      <c r="B143" s="5" t="inlineStr">
        <is>
          <t>東京都</t>
        </is>
      </c>
      <c r="C143" s="5" t="inlineStr">
        <is>
          <t>千代田区</t>
        </is>
      </c>
      <c r="D143" s="5" t="inlineStr">
        <is>
          <t>千代田高等学校</t>
        </is>
      </c>
      <c r="E143" s="6" t="inlineStr">
        <is>
          <t>03-3263-6551</t>
        </is>
      </c>
      <c r="F143" s="7" t="inlineStr">
        <is>
          <t>高</t>
        </is>
      </c>
      <c r="G143" s="5" t="inlineStr">
        <is>
          <t>普通科</t>
        </is>
      </c>
      <c r="H143" s="8" t="n"/>
      <c r="I143" s="9" t="n"/>
      <c r="J143" s="9" t="inlineStr">
        <is>
          <t>未架電</t>
        </is>
      </c>
      <c r="K143" s="8" t="n"/>
      <c r="L143" s="9" t="n"/>
      <c r="M143" s="10" t="inlineStr">
        <is>
          <t>旧 千代田女学園。中高共通</t>
        </is>
      </c>
      <c r="N143" s="11" t="inlineStr">
        <is>
          <t>https://www.inter-edu.com/schools/school/2072 ; https://univpress.co.jp/gk_pdf/13512.pdf</t>
        </is>
      </c>
      <c r="O143" s="12" t="inlineStr">
        <is>
          <t>開く</t>
        </is>
      </c>
    </row>
    <row r="144">
      <c r="A144" s="4" t="n">
        <v>140</v>
      </c>
      <c r="B144" s="5" t="inlineStr">
        <is>
          <t>東京都</t>
        </is>
      </c>
      <c r="C144" s="5" t="inlineStr">
        <is>
          <t>板橋区</t>
        </is>
      </c>
      <c r="D144" s="5" t="inlineStr">
        <is>
          <t>帝京高等学校</t>
        </is>
      </c>
      <c r="E144" s="6" t="inlineStr">
        <is>
          <t>03-3963-4711</t>
        </is>
      </c>
      <c r="F144" s="7" t="inlineStr">
        <is>
          <t>高</t>
        </is>
      </c>
      <c r="G144" s="5" t="inlineStr">
        <is>
          <t>普通科</t>
        </is>
      </c>
      <c r="H144" s="8" t="n"/>
      <c r="I144" s="9" t="n"/>
      <c r="J144" s="9" t="inlineStr">
        <is>
          <t>未架電</t>
        </is>
      </c>
      <c r="K144" s="8" t="n"/>
      <c r="L144" s="9" t="n"/>
      <c r="M144" s="10" t="inlineStr">
        <is>
          <t>代表として掲載。03-3963-6383を載せるサイトもあり（別の窓口か）</t>
        </is>
      </c>
      <c r="N144" s="11" t="inlineStr">
        <is>
          <t>https://school.js88.com/scl_h/22039800 ; https://www.minkou.jp/hischool/school/university/2732/</t>
        </is>
      </c>
      <c r="O144" s="12" t="inlineStr">
        <is>
          <t>開く</t>
        </is>
      </c>
    </row>
    <row r="145">
      <c r="A145" s="4" t="n">
        <v>141</v>
      </c>
      <c r="B145" s="5" t="inlineStr">
        <is>
          <t>東京都</t>
        </is>
      </c>
      <c r="C145" s="5" t="inlineStr">
        <is>
          <t>八王子市</t>
        </is>
      </c>
      <c r="D145" s="5" t="inlineStr">
        <is>
          <t>帝京大学高等学校</t>
        </is>
      </c>
      <c r="E145" s="6" t="inlineStr">
        <is>
          <t>042-676-9511</t>
        </is>
      </c>
      <c r="F145" s="13" t="inlineStr">
        <is>
          <t>中</t>
        </is>
      </c>
      <c r="G145" s="5" t="inlineStr">
        <is>
          <t>普通科</t>
        </is>
      </c>
      <c r="H145" s="8" t="n"/>
      <c r="I145" s="9" t="n"/>
      <c r="J145" s="9" t="inlineStr">
        <is>
          <t>未架電</t>
        </is>
      </c>
      <c r="K145" s="8" t="n"/>
      <c r="L145" s="9" t="n"/>
      <c r="M145" s="10" t="inlineStr">
        <is>
          <t>学校情報サイトのみで確認、公式未確認。中高共通の可能性</t>
        </is>
      </c>
      <c r="N145" s="11" t="inlineStr">
        <is>
          <t>https://www.inter-edu.com/schools/school/2003</t>
        </is>
      </c>
      <c r="O145" s="12" t="inlineStr">
        <is>
          <t>開く</t>
        </is>
      </c>
    </row>
    <row r="146">
      <c r="A146" s="4" t="n">
        <v>142</v>
      </c>
      <c r="B146" s="5" t="inlineStr">
        <is>
          <t>東京都</t>
        </is>
      </c>
      <c r="C146" s="5" t="inlineStr">
        <is>
          <t>八王子市</t>
        </is>
      </c>
      <c r="D146" s="5" t="inlineStr">
        <is>
          <t>帝京八王子高等学校</t>
        </is>
      </c>
      <c r="E146" s="6" t="inlineStr">
        <is>
          <t>042-654-6141</t>
        </is>
      </c>
      <c r="F146" s="7" t="inlineStr">
        <is>
          <t>高</t>
        </is>
      </c>
      <c r="G146" s="5" t="inlineStr">
        <is>
          <t>普通科</t>
        </is>
      </c>
      <c r="H146" s="8" t="n"/>
      <c r="I146" s="9" t="n"/>
      <c r="J146" s="9" t="inlineStr">
        <is>
          <t>未架電</t>
        </is>
      </c>
      <c r="K146" s="8" t="n"/>
      <c r="L146" s="9" t="n"/>
      <c r="M146" s="10" t="inlineStr">
        <is>
          <t>複数サイトに「代表」と記載</t>
        </is>
      </c>
      <c r="N146" s="11" t="inlineStr">
        <is>
          <t>https://www.inter-edu.com/schools/school/1961 ; https://school.js88.com/scl_h/22038380?page=5</t>
        </is>
      </c>
      <c r="O146" s="12" t="inlineStr">
        <is>
          <t>開く</t>
        </is>
      </c>
    </row>
    <row r="147">
      <c r="A147" s="4" t="n">
        <v>143</v>
      </c>
      <c r="B147" s="5" t="inlineStr">
        <is>
          <t>東京都</t>
        </is>
      </c>
      <c r="C147" s="5" t="inlineStr">
        <is>
          <t>文京区</t>
        </is>
      </c>
      <c r="D147" s="5" t="inlineStr">
        <is>
          <t>貞静学園高等学校</t>
        </is>
      </c>
      <c r="E147" s="6" t="inlineStr">
        <is>
          <t>03-3943-3711</t>
        </is>
      </c>
      <c r="F147" s="7" t="inlineStr">
        <is>
          <t>高</t>
        </is>
      </c>
      <c r="G147" s="5" t="inlineStr">
        <is>
          <t>普通科</t>
        </is>
      </c>
      <c r="H147" s="8" t="n"/>
      <c r="I147" s="9" t="n"/>
      <c r="J147" s="9" t="inlineStr">
        <is>
          <t>未架電</t>
        </is>
      </c>
      <c r="K147" s="8" t="n"/>
      <c r="L147" s="9" t="n"/>
      <c r="M147" s="10" t="inlineStr">
        <is>
          <t>中高共通。複数サイトで一致</t>
        </is>
      </c>
      <c r="N147" s="11" t="inlineStr">
        <is>
          <t>https://www.inter-edu.com/schools/school/2507</t>
        </is>
      </c>
      <c r="O147" s="12" t="inlineStr">
        <is>
          <t>開く</t>
        </is>
      </c>
    </row>
    <row r="148">
      <c r="A148" s="4" t="n">
        <v>144</v>
      </c>
      <c r="B148" s="5" t="inlineStr">
        <is>
          <t>東京都</t>
        </is>
      </c>
      <c r="C148" s="5" t="inlineStr">
        <is>
          <t>世田谷区</t>
        </is>
      </c>
      <c r="D148" s="5" t="inlineStr">
        <is>
          <t>田園調布学園高等部</t>
        </is>
      </c>
      <c r="E148" s="6" t="inlineStr">
        <is>
          <t>03-3727-6121</t>
        </is>
      </c>
      <c r="F148" s="7" t="inlineStr">
        <is>
          <t>高</t>
        </is>
      </c>
      <c r="G148" s="5" t="inlineStr">
        <is>
          <t>普通科</t>
        </is>
      </c>
      <c r="H148" s="8" t="n"/>
      <c r="I148" s="9" t="n"/>
      <c r="J148" s="9" t="inlineStr">
        <is>
          <t>未架電</t>
        </is>
      </c>
      <c r="K148" s="8" t="n"/>
      <c r="L148" s="9" t="n"/>
      <c r="M148" s="10" t="inlineStr">
        <is>
          <t>中高共通。複数サイトで一致</t>
        </is>
      </c>
      <c r="N148" s="11" t="inlineStr">
        <is>
          <t>https://www.inter-edu.com/schools/school/240</t>
        </is>
      </c>
      <c r="O148" s="12" t="inlineStr">
        <is>
          <t>開く</t>
        </is>
      </c>
    </row>
    <row r="149">
      <c r="A149" s="4" t="n">
        <v>145</v>
      </c>
      <c r="B149" s="5" t="inlineStr">
        <is>
          <t>東京都</t>
        </is>
      </c>
      <c r="C149" s="5" t="inlineStr">
        <is>
          <t>世田谷区</t>
        </is>
      </c>
      <c r="D149" s="5" t="inlineStr">
        <is>
          <t>田園調布雙葉高等学校</t>
        </is>
      </c>
      <c r="E149" s="6" t="inlineStr">
        <is>
          <t>03-3721-1772</t>
        </is>
      </c>
      <c r="F149" s="7" t="inlineStr">
        <is>
          <t>高</t>
        </is>
      </c>
      <c r="G149" s="5" t="inlineStr">
        <is>
          <t>普通科</t>
        </is>
      </c>
      <c r="H149" s="8" t="n"/>
      <c r="I149" s="9" t="n"/>
      <c r="J149" s="9" t="inlineStr">
        <is>
          <t>未架電</t>
        </is>
      </c>
      <c r="K149" s="8" t="n"/>
      <c r="L149" s="9" t="n"/>
      <c r="M149" s="10" t="inlineStr">
        <is>
          <t>公式サイトで確認（高校の番号）。中学校03-3721-5087、事務局03-3721-5484は別番号</t>
        </is>
      </c>
      <c r="N149" s="11" t="inlineStr">
        <is>
          <t>https://www.denenchofufutaba.ed.jp/about/access.html</t>
        </is>
      </c>
      <c r="O149" s="12" t="inlineStr">
        <is>
          <t>開く</t>
        </is>
      </c>
    </row>
    <row r="150">
      <c r="A150" s="4" t="n">
        <v>146</v>
      </c>
      <c r="B150" s="5" t="inlineStr">
        <is>
          <t>東京都</t>
        </is>
      </c>
      <c r="C150" s="5" t="inlineStr">
        <is>
          <t>中野区</t>
        </is>
      </c>
      <c r="D150" s="5" t="inlineStr">
        <is>
          <t>東亜学園高等学校</t>
        </is>
      </c>
      <c r="E150" s="6" t="inlineStr">
        <is>
          <t>03-3387-6331</t>
        </is>
      </c>
      <c r="F150" s="13" t="inlineStr">
        <is>
          <t>中</t>
        </is>
      </c>
      <c r="G150" s="5" t="inlineStr">
        <is>
          <t>普通科</t>
        </is>
      </c>
      <c r="H150" s="8" t="n"/>
      <c r="I150" s="9" t="n"/>
      <c r="J150" s="9" t="inlineStr">
        <is>
          <t>未架電</t>
        </is>
      </c>
      <c r="K150" s="8" t="n"/>
      <c r="L150" s="9" t="n"/>
      <c r="M150" s="10" t="inlineStr">
        <is>
          <t>学校情報サイト1件のみで確認</t>
        </is>
      </c>
      <c r="N150" s="11" t="inlineStr">
        <is>
          <t>https://www.inter-edu.com/schools/school/654</t>
        </is>
      </c>
      <c r="O150" s="12" t="inlineStr">
        <is>
          <t>開く</t>
        </is>
      </c>
    </row>
    <row r="151">
      <c r="A151" s="4" t="n">
        <v>147</v>
      </c>
      <c r="B151" s="5" t="inlineStr">
        <is>
          <t>東京都</t>
        </is>
      </c>
      <c r="C151" s="5" t="inlineStr">
        <is>
          <t>あきる野市</t>
        </is>
      </c>
      <c r="D151" s="5" t="inlineStr">
        <is>
          <t>東海大学菅生高等学校</t>
        </is>
      </c>
      <c r="E151" s="6" t="inlineStr">
        <is>
          <t>042-559-2200</t>
        </is>
      </c>
      <c r="F151" s="13" t="inlineStr">
        <is>
          <t>中</t>
        </is>
      </c>
      <c r="G151" s="5" t="inlineStr">
        <is>
          <t>普通科</t>
        </is>
      </c>
      <c r="H151" s="8" t="n"/>
      <c r="I151" s="9" t="n"/>
      <c r="J151" s="9" t="inlineStr">
        <is>
          <t>未架電</t>
        </is>
      </c>
      <c r="K151" s="8" t="n"/>
      <c r="L151" s="9" t="n"/>
      <c r="M151" s="10" t="inlineStr">
        <is>
          <t>学校情報サイト1件のみで確認。中等部は別番号（042-559-2411）</t>
        </is>
      </c>
      <c r="N151" s="11" t="inlineStr">
        <is>
          <t>https://school.js88.com/scl_h/22040210</t>
        </is>
      </c>
      <c r="O151" s="12" t="inlineStr">
        <is>
          <t>開く</t>
        </is>
      </c>
    </row>
    <row r="152">
      <c r="A152" s="4" t="n">
        <v>148</v>
      </c>
      <c r="B152" s="5" t="inlineStr">
        <is>
          <t>東京都</t>
        </is>
      </c>
      <c r="C152" s="5" t="inlineStr">
        <is>
          <t>港区</t>
        </is>
      </c>
      <c r="D152" s="5" t="inlineStr">
        <is>
          <t>東海大学付属高輪台高等学校</t>
        </is>
      </c>
      <c r="E152" s="6" t="inlineStr">
        <is>
          <t>03-3448-4011</t>
        </is>
      </c>
      <c r="F152" s="7" t="inlineStr">
        <is>
          <t>高</t>
        </is>
      </c>
      <c r="G152" s="5" t="inlineStr">
        <is>
          <t>普通科</t>
        </is>
      </c>
      <c r="H152" s="8" t="n"/>
      <c r="I152" s="9" t="n"/>
      <c r="J152" s="9" t="inlineStr">
        <is>
          <t>未架電</t>
        </is>
      </c>
      <c r="K152" s="8" t="n"/>
      <c r="L152" s="9" t="n"/>
      <c r="M152" s="10" t="inlineStr">
        <is>
          <t>複数の情報源で一致</t>
        </is>
      </c>
      <c r="N152" s="11" t="inlineStr">
        <is>
          <t>https://www.inter-edu.com/schools/school/2005 ; https://univpress.co.jp/gk_pdf/13533.pdf</t>
        </is>
      </c>
      <c r="O152" s="12" t="inlineStr">
        <is>
          <t>開く</t>
        </is>
      </c>
    </row>
    <row r="153">
      <c r="A153" s="4" t="n">
        <v>149</v>
      </c>
      <c r="B153" s="5" t="inlineStr">
        <is>
          <t>東京都</t>
        </is>
      </c>
      <c r="C153" s="5" t="inlineStr">
        <is>
          <t>渋谷区</t>
        </is>
      </c>
      <c r="D153" s="5" t="inlineStr">
        <is>
          <t>東海大学付属望星高等学校</t>
        </is>
      </c>
      <c r="E153" s="6" t="inlineStr">
        <is>
          <t>03-3467-8111</t>
        </is>
      </c>
      <c r="F153" s="7" t="inlineStr">
        <is>
          <t>高</t>
        </is>
      </c>
      <c r="G153" s="5" t="inlineStr">
        <is>
          <t>普通科</t>
        </is>
      </c>
      <c r="H153" s="8" t="n"/>
      <c r="I153" s="9" t="n"/>
      <c r="J153" s="9" t="inlineStr">
        <is>
          <t>未架電</t>
        </is>
      </c>
      <c r="K153" s="8" t="n"/>
      <c r="L153" s="9" t="n"/>
      <c r="M153" s="10" t="inlineStr">
        <is>
          <t>東京都の通信制高校一覧で確認（通信制）</t>
        </is>
      </c>
      <c r="N153" s="11" t="inlineStr">
        <is>
          <t>https://www.seikatubunka.metro.tokyo.lg.jp/documents/d/seikatubunka/13high_tushin_r61201</t>
        </is>
      </c>
      <c r="O153" s="12" t="inlineStr">
        <is>
          <t>開く</t>
        </is>
      </c>
    </row>
    <row r="154">
      <c r="A154" s="4" t="n">
        <v>150</v>
      </c>
      <c r="B154" s="5" t="inlineStr">
        <is>
          <t>東京都</t>
        </is>
      </c>
      <c r="C154" s="5" t="inlineStr">
        <is>
          <t>文京区</t>
        </is>
      </c>
      <c r="D154" s="5" t="inlineStr">
        <is>
          <t>東京音楽大学付属高等学校</t>
        </is>
      </c>
      <c r="E154" s="6" t="inlineStr">
        <is>
          <t>03-3988-6214</t>
        </is>
      </c>
      <c r="F154" s="7" t="inlineStr">
        <is>
          <t>高</t>
        </is>
      </c>
      <c r="G154" s="5" t="inlineStr">
        <is>
          <t>専門学科</t>
        </is>
      </c>
      <c r="H154" s="8" t="n"/>
      <c r="I154" s="9" t="n"/>
      <c r="J154" s="9" t="inlineStr">
        <is>
          <t>未架電</t>
        </is>
      </c>
      <c r="K154" s="8" t="n"/>
      <c r="L154" s="9" t="n"/>
      <c r="M154" s="10" t="inlineStr">
        <is>
          <t>公式サイトで確認。【移転】現在は豊島区南池袋。旧番号03-3945-6214は使わない</t>
        </is>
      </c>
      <c r="N154" s="11" t="inlineStr">
        <is>
          <t>https://hs.tokyo-ondai.ac.jp/access/</t>
        </is>
      </c>
      <c r="O154" s="12" t="inlineStr">
        <is>
          <t>開く</t>
        </is>
      </c>
    </row>
    <row r="155">
      <c r="A155" s="4" t="n">
        <v>151</v>
      </c>
      <c r="B155" s="5" t="inlineStr">
        <is>
          <t>東京都</t>
        </is>
      </c>
      <c r="C155" s="5" t="inlineStr">
        <is>
          <t>千代田区</t>
        </is>
      </c>
      <c r="D155" s="5" t="inlineStr">
        <is>
          <t>東京家政学院高等学校</t>
        </is>
      </c>
      <c r="E155" s="6" t="inlineStr">
        <is>
          <t>03-3262-2559</t>
        </is>
      </c>
      <c r="F155" s="13" t="inlineStr">
        <is>
          <t>中</t>
        </is>
      </c>
      <c r="G155" s="5" t="inlineStr">
        <is>
          <t>普通科</t>
        </is>
      </c>
      <c r="H155" s="8" t="n"/>
      <c r="I155" s="9" t="n"/>
      <c r="J155" s="9" t="inlineStr">
        <is>
          <t>未架電</t>
        </is>
      </c>
      <c r="K155" s="8" t="n"/>
      <c r="L155" s="9" t="n"/>
      <c r="M155" s="10" t="inlineStr">
        <is>
          <t>学校情報サイトのみで確認。中高共通</t>
        </is>
      </c>
      <c r="N155" s="11" t="inlineStr">
        <is>
          <t>https://www.inter-edu.com/schools/school/2073</t>
        </is>
      </c>
      <c r="O155" s="12" t="inlineStr">
        <is>
          <t>開く</t>
        </is>
      </c>
    </row>
    <row r="156">
      <c r="A156" s="4" t="n">
        <v>152</v>
      </c>
      <c r="B156" s="5" t="inlineStr">
        <is>
          <t>東京都</t>
        </is>
      </c>
      <c r="C156" s="5" t="inlineStr">
        <is>
          <t>板橋区</t>
        </is>
      </c>
      <c r="D156" s="5" t="inlineStr">
        <is>
          <t>東京家政大学附属女子高等学校</t>
        </is>
      </c>
      <c r="E156" s="6" t="inlineStr">
        <is>
          <t>03-3961-2447</t>
        </is>
      </c>
      <c r="F156" s="13" t="inlineStr">
        <is>
          <t>中</t>
        </is>
      </c>
      <c r="G156" s="5" t="inlineStr">
        <is>
          <t>普通科</t>
        </is>
      </c>
      <c r="H156" s="8" t="n"/>
      <c r="I156" s="9" t="n"/>
      <c r="J156" s="9" t="inlineStr">
        <is>
          <t>未架電</t>
        </is>
      </c>
      <c r="K156" s="8" t="n"/>
      <c r="L156" s="9" t="n"/>
      <c r="M156" s="10" t="inlineStr">
        <is>
          <t>複数サイトに掲載。入試広報部は03-3961-0748。代表か未確定</t>
        </is>
      </c>
      <c r="N156" s="11" t="inlineStr">
        <is>
          <t>https://www.inter-edu.com/schools/school/1973 ; https://school.js88.com/scl_h/22039810</t>
        </is>
      </c>
      <c r="O156" s="12" t="inlineStr">
        <is>
          <t>開く</t>
        </is>
      </c>
    </row>
    <row r="157">
      <c r="A157" s="4" t="n">
        <v>153</v>
      </c>
      <c r="B157" s="5" t="inlineStr">
        <is>
          <t>東京都</t>
        </is>
      </c>
      <c r="C157" s="5" t="inlineStr">
        <is>
          <t>大田区</t>
        </is>
      </c>
      <c r="D157" s="5" t="inlineStr">
        <is>
          <t>東京高等学校</t>
        </is>
      </c>
      <c r="E157" s="6" t="inlineStr">
        <is>
          <t>03-3750-2635</t>
        </is>
      </c>
      <c r="F157" s="7" t="inlineStr">
        <is>
          <t>高</t>
        </is>
      </c>
      <c r="G157" s="5" t="inlineStr">
        <is>
          <t>普通科</t>
        </is>
      </c>
      <c r="H157" s="8" t="n"/>
      <c r="I157" s="9" t="n"/>
      <c r="J157" s="9" t="inlineStr">
        <is>
          <t>未架電</t>
        </is>
      </c>
      <c r="K157" s="8" t="n"/>
      <c r="L157" s="9" t="n"/>
      <c r="M157" s="10" t="inlineStr">
        <is>
          <t>複数の情報源で一致</t>
        </is>
      </c>
      <c r="N157" s="11" t="inlineStr">
        <is>
          <t>https://www.inter-edu.com/schools/school/653 ; https://www.univpress.co.jp/gk_pdf/13629.pdf</t>
        </is>
      </c>
      <c r="O157" s="12" t="inlineStr">
        <is>
          <t>開く</t>
        </is>
      </c>
    </row>
    <row r="158">
      <c r="A158" s="4" t="n">
        <v>154</v>
      </c>
      <c r="B158" s="5" t="inlineStr">
        <is>
          <t>東京都</t>
        </is>
      </c>
      <c r="C158" s="5" t="inlineStr">
        <is>
          <t>大田区</t>
        </is>
      </c>
      <c r="D158" s="5" t="inlineStr">
        <is>
          <t>東京実業高等学校</t>
        </is>
      </c>
      <c r="E158" s="6" t="inlineStr">
        <is>
          <t>03-3732-4481</t>
        </is>
      </c>
      <c r="F158" s="13" t="inlineStr">
        <is>
          <t>中</t>
        </is>
      </c>
      <c r="G158" s="5" t="inlineStr">
        <is>
          <t>普通科・専門学科</t>
        </is>
      </c>
      <c r="H158" s="8" t="n"/>
      <c r="I158" s="9" t="n"/>
      <c r="J158" s="9" t="inlineStr">
        <is>
          <t>未架電</t>
        </is>
      </c>
      <c r="K158" s="8" t="n"/>
      <c r="L158" s="9" t="n"/>
      <c r="M158" s="10" t="inlineStr">
        <is>
          <t>学校情報サイト1件のみで確認</t>
        </is>
      </c>
      <c r="N158" s="11" t="inlineStr">
        <is>
          <t>https://www.inter-edu.com/schools/school/1022</t>
        </is>
      </c>
      <c r="O158" s="12" t="inlineStr">
        <is>
          <t>開く</t>
        </is>
      </c>
    </row>
    <row r="159">
      <c r="A159" s="4" t="n">
        <v>155</v>
      </c>
      <c r="B159" s="5" t="inlineStr">
        <is>
          <t>東京都</t>
        </is>
      </c>
      <c r="C159" s="5" t="inlineStr">
        <is>
          <t>八王子市</t>
        </is>
      </c>
      <c r="D159" s="5" t="inlineStr">
        <is>
          <t>東京純心女子高等学校</t>
        </is>
      </c>
      <c r="E159" s="6" t="inlineStr">
        <is>
          <t>042-691-1345</t>
        </is>
      </c>
      <c r="F159" s="7" t="inlineStr">
        <is>
          <t>高</t>
        </is>
      </c>
      <c r="G159" s="5" t="inlineStr">
        <is>
          <t>普通科</t>
        </is>
      </c>
      <c r="H159" s="8" t="n"/>
      <c r="I159" s="9" t="n"/>
      <c r="J159" s="9" t="inlineStr">
        <is>
          <t>未架電</t>
        </is>
      </c>
      <c r="K159" s="8" t="n"/>
      <c r="L159" s="9" t="n"/>
      <c r="M159" s="10" t="inlineStr">
        <is>
          <t>中高共通。複数サイトで一致</t>
        </is>
      </c>
      <c r="N159" s="11" t="inlineStr">
        <is>
          <t>https://www.inter-edu.com/schools/school/1974 ; https://www.minkou.jp/junior/school/8023/</t>
        </is>
      </c>
      <c r="O159" s="12" t="inlineStr">
        <is>
          <t>開く</t>
        </is>
      </c>
    </row>
    <row r="160">
      <c r="A160" s="4" t="n">
        <v>156</v>
      </c>
      <c r="B160" s="5" t="inlineStr">
        <is>
          <t>東京都</t>
        </is>
      </c>
      <c r="C160" s="5" t="inlineStr">
        <is>
          <t>渋谷区</t>
        </is>
      </c>
      <c r="D160" s="5" t="inlineStr">
        <is>
          <t>東京女学館高等学校</t>
        </is>
      </c>
      <c r="E160" s="6" t="inlineStr">
        <is>
          <t>03-3400-0867</t>
        </is>
      </c>
      <c r="F160" s="13" t="inlineStr">
        <is>
          <t>中</t>
        </is>
      </c>
      <c r="G160" s="5" t="inlineStr">
        <is>
          <t>普通科</t>
        </is>
      </c>
      <c r="H160" s="8" t="n"/>
      <c r="I160" s="9" t="n"/>
      <c r="J160" s="9" t="inlineStr">
        <is>
          <t>未架電</t>
        </is>
      </c>
      <c r="K160" s="8" t="n"/>
      <c r="L160" s="9" t="n"/>
      <c r="M160" s="10" t="inlineStr">
        <is>
          <t>中高共通。学校情報サイト1件のみで確認</t>
        </is>
      </c>
      <c r="N160" s="11" t="inlineStr">
        <is>
          <t>https://www.inter-edu.com/schools/school/86</t>
        </is>
      </c>
      <c r="O160" s="12" t="inlineStr">
        <is>
          <t>開く</t>
        </is>
      </c>
    </row>
    <row r="161">
      <c r="A161" s="4" t="n">
        <v>157</v>
      </c>
      <c r="B161" s="5" t="inlineStr">
        <is>
          <t>東京都</t>
        </is>
      </c>
      <c r="C161" s="5" t="inlineStr">
        <is>
          <t>北区</t>
        </is>
      </c>
      <c r="D161" s="5" t="inlineStr">
        <is>
          <t>東京成徳大学高等学校</t>
        </is>
      </c>
      <c r="E161" s="6" t="inlineStr">
        <is>
          <t>03-3911-5196</t>
        </is>
      </c>
      <c r="F161" s="7" t="inlineStr">
        <is>
          <t>高</t>
        </is>
      </c>
      <c r="G161" s="5" t="inlineStr">
        <is>
          <t>普通科</t>
        </is>
      </c>
      <c r="H161" s="8" t="n"/>
      <c r="I161" s="9" t="n"/>
      <c r="J161" s="9" t="inlineStr">
        <is>
          <t>未架電</t>
        </is>
      </c>
      <c r="K161" s="8" t="n"/>
      <c r="L161" s="9" t="n"/>
      <c r="M161" s="10" t="inlineStr">
        <is>
          <t>高等部（王子）の番号（公式の学校案内）。中高一貫部（豊島）は03-3911-7109</t>
        </is>
      </c>
      <c r="N161" s="11" t="inlineStr">
        <is>
          <t>https://www.tokyoseitoku.jp/hs/assets/pdf/information/pamphlet.pdf</t>
        </is>
      </c>
      <c r="O161" s="12" t="inlineStr">
        <is>
          <t>開く</t>
        </is>
      </c>
    </row>
    <row r="162">
      <c r="A162" s="4" t="n">
        <v>158</v>
      </c>
      <c r="B162" s="5" t="inlineStr">
        <is>
          <t>東京都</t>
        </is>
      </c>
      <c r="C162" s="5" t="inlineStr">
        <is>
          <t>小金井市</t>
        </is>
      </c>
      <c r="D162" s="5" t="inlineStr">
        <is>
          <t>東京電機大学高等学校</t>
        </is>
      </c>
      <c r="E162" s="6" t="inlineStr">
        <is>
          <t>0422-37-6441</t>
        </is>
      </c>
      <c r="F162" s="7" t="inlineStr">
        <is>
          <t>高</t>
        </is>
      </c>
      <c r="G162" s="5" t="inlineStr">
        <is>
          <t>普通科</t>
        </is>
      </c>
      <c r="H162" s="8" t="n"/>
      <c r="I162" s="9" t="n"/>
      <c r="J162" s="9" t="inlineStr">
        <is>
          <t>未架電</t>
        </is>
      </c>
      <c r="K162" s="8" t="n"/>
      <c r="L162" s="9" t="n"/>
      <c r="M162" s="10" t="inlineStr">
        <is>
          <t>事務室の番号。中高共通</t>
        </is>
      </c>
      <c r="N162" s="11" t="inlineStr">
        <is>
          <t>https://school.js88.com/scl_h/22038580 ; https://www.inter-edu.com/schools/school/1962</t>
        </is>
      </c>
      <c r="O162" s="12" t="inlineStr">
        <is>
          <t>開く</t>
        </is>
      </c>
    </row>
    <row r="163">
      <c r="A163" s="4" t="n">
        <v>159</v>
      </c>
      <c r="B163" s="5" t="inlineStr">
        <is>
          <t>東京都</t>
        </is>
      </c>
      <c r="C163" s="5" t="inlineStr">
        <is>
          <t>世田谷区</t>
        </is>
      </c>
      <c r="D163" s="5" t="inlineStr">
        <is>
          <t>東京都市大学等々力高等学校</t>
        </is>
      </c>
      <c r="E163" s="6" t="inlineStr">
        <is>
          <t>03-5962-0104</t>
        </is>
      </c>
      <c r="F163" s="13" t="inlineStr">
        <is>
          <t>中</t>
        </is>
      </c>
      <c r="G163" s="5" t="inlineStr">
        <is>
          <t>普通科</t>
        </is>
      </c>
      <c r="H163" s="8" t="n"/>
      <c r="I163" s="9" t="n"/>
      <c r="J163" s="9" t="inlineStr">
        <is>
          <t>未架電</t>
        </is>
      </c>
      <c r="K163" s="8" t="n"/>
      <c r="L163" s="9" t="n"/>
      <c r="M163" s="10" t="inlineStr">
        <is>
          <t>学校情報サイトのみで確認</t>
        </is>
      </c>
      <c r="N163" s="11" t="inlineStr">
        <is>
          <t>https://www.inter-edu.com/schools/school/2004</t>
        </is>
      </c>
      <c r="O163" s="12" t="inlineStr">
        <is>
          <t>開く</t>
        </is>
      </c>
    </row>
    <row r="164">
      <c r="A164" s="4" t="n">
        <v>160</v>
      </c>
      <c r="B164" s="5" t="inlineStr">
        <is>
          <t>東京都</t>
        </is>
      </c>
      <c r="C164" s="5" t="inlineStr">
        <is>
          <t>世田谷区</t>
        </is>
      </c>
      <c r="D164" s="5" t="inlineStr">
        <is>
          <t>東京都市大学付属高等学校</t>
        </is>
      </c>
      <c r="E164" s="6" t="inlineStr">
        <is>
          <t>03-3415-0104</t>
        </is>
      </c>
      <c r="F164" s="13" t="inlineStr">
        <is>
          <t>中</t>
        </is>
      </c>
      <c r="G164" s="5" t="inlineStr">
        <is>
          <t>普通科</t>
        </is>
      </c>
      <c r="H164" s="8" t="n"/>
      <c r="I164" s="9" t="n"/>
      <c r="J164" s="9" t="inlineStr">
        <is>
          <t>未架電</t>
        </is>
      </c>
      <c r="K164" s="8" t="n"/>
      <c r="L164" s="9" t="n"/>
      <c r="M164" s="10" t="inlineStr">
        <is>
          <t>中高共通。学校情報サイトで一致、公式未確認</t>
        </is>
      </c>
      <c r="N164" s="11" t="inlineStr">
        <is>
          <t>https://www.inter-edu.com/schools/school/84 ; https://www.minkou.jp/junior/school/7706/</t>
        </is>
      </c>
      <c r="O164" s="12" t="inlineStr">
        <is>
          <t>開く</t>
        </is>
      </c>
    </row>
    <row r="165">
      <c r="A165" s="4" t="n">
        <v>161</v>
      </c>
      <c r="B165" s="5" t="inlineStr">
        <is>
          <t>東京都</t>
        </is>
      </c>
      <c r="C165" s="5" t="inlineStr">
        <is>
          <t>世田谷区</t>
        </is>
      </c>
      <c r="D165" s="5" t="inlineStr">
        <is>
          <t>東京農業大学第一高等学校</t>
        </is>
      </c>
      <c r="E165" s="6" t="inlineStr">
        <is>
          <t>03-3425-4481</t>
        </is>
      </c>
      <c r="F165" s="7" t="inlineStr">
        <is>
          <t>高</t>
        </is>
      </c>
      <c r="G165" s="5" t="inlineStr">
        <is>
          <t>普通科</t>
        </is>
      </c>
      <c r="H165" s="8" t="n"/>
      <c r="I165" s="9" t="n"/>
      <c r="J165" s="9" t="inlineStr">
        <is>
          <t>未架電</t>
        </is>
      </c>
      <c r="K165" s="8" t="n"/>
      <c r="L165" s="9" t="n"/>
      <c r="M165" s="10" t="inlineStr">
        <is>
          <t>中高共通。2025年度から高校募集を停止（完全中高一貫）との情報あり</t>
        </is>
      </c>
      <c r="N165" s="11" t="inlineStr">
        <is>
          <t>https://www.inter-edu.com/schools/school/139 ; https://www.minkou.jp/junior/school/7689/</t>
        </is>
      </c>
      <c r="O165" s="12" t="inlineStr">
        <is>
          <t>開く</t>
        </is>
      </c>
    </row>
    <row r="166">
      <c r="A166" s="4" t="n">
        <v>162</v>
      </c>
      <c r="B166" s="5" t="inlineStr">
        <is>
          <t>東京都</t>
        </is>
      </c>
      <c r="C166" s="5" t="inlineStr">
        <is>
          <t>西東京市</t>
        </is>
      </c>
      <c r="D166" s="5" t="inlineStr">
        <is>
          <t>東京文華高等学校</t>
        </is>
      </c>
      <c r="E166" s="6" t="inlineStr">
        <is>
          <t>042-463-2903</t>
        </is>
      </c>
      <c r="F166" s="7" t="inlineStr">
        <is>
          <t>高</t>
        </is>
      </c>
      <c r="G166" s="5" t="inlineStr">
        <is>
          <t>普通科</t>
        </is>
      </c>
      <c r="H166" s="8" t="n"/>
      <c r="I166" s="9" t="n"/>
      <c r="J166" s="9" t="inlineStr">
        <is>
          <t>未架電</t>
        </is>
      </c>
      <c r="K166" s="8" t="n"/>
      <c r="L166" s="9" t="n"/>
      <c r="M166" s="10" t="inlineStr">
        <is>
          <t>【校名変更】2026年4月に文華女子高校から改称・共学化。番号は変更なし</t>
        </is>
      </c>
      <c r="N166" s="11" t="inlineStr">
        <is>
          <t>https://school.js88.com/scl_h/22040190 ; https://www.minkou.jp/hischool/school/96254/</t>
        </is>
      </c>
      <c r="O166" s="12" t="inlineStr">
        <is>
          <t>開く</t>
        </is>
      </c>
    </row>
    <row r="167">
      <c r="A167" s="4" t="n">
        <v>163</v>
      </c>
      <c r="B167" s="5" t="inlineStr">
        <is>
          <t>東京都</t>
        </is>
      </c>
      <c r="C167" s="5" t="inlineStr">
        <is>
          <t>杉並区</t>
        </is>
      </c>
      <c r="D167" s="5" t="inlineStr">
        <is>
          <t>東京立正高等学校</t>
        </is>
      </c>
      <c r="E167" s="6" t="inlineStr">
        <is>
          <t>03-3312-1111</t>
        </is>
      </c>
      <c r="F167" s="7" t="inlineStr">
        <is>
          <t>高</t>
        </is>
      </c>
      <c r="G167" s="5" t="inlineStr">
        <is>
          <t>普通科</t>
        </is>
      </c>
      <c r="H167" s="8" t="n"/>
      <c r="I167" s="9" t="n"/>
      <c r="J167" s="9" t="inlineStr">
        <is>
          <t>未架電</t>
        </is>
      </c>
      <c r="K167" s="8" t="n"/>
      <c r="L167" s="9" t="n"/>
      <c r="M167" s="10" t="inlineStr">
        <is>
          <t>公式パンフレットに「代表」と記載</t>
        </is>
      </c>
      <c r="N167" s="11" t="inlineStr">
        <is>
          <t>https://tokyorissho.ed.jp/exam/pdf/senior_panf2027.pdf</t>
        </is>
      </c>
      <c r="O167" s="12" t="inlineStr">
        <is>
          <t>開く</t>
        </is>
      </c>
    </row>
    <row r="168">
      <c r="A168" s="4" t="n">
        <v>164</v>
      </c>
      <c r="B168" s="5" t="inlineStr">
        <is>
          <t>東京都</t>
        </is>
      </c>
      <c r="C168" s="5" t="inlineStr">
        <is>
          <t>清瀬市</t>
        </is>
      </c>
      <c r="D168" s="5" t="inlineStr">
        <is>
          <t>東星学園高等学校</t>
        </is>
      </c>
      <c r="E168" s="6" t="inlineStr">
        <is>
          <t>042-493-3201</t>
        </is>
      </c>
      <c r="F168" s="7" t="inlineStr">
        <is>
          <t>高</t>
        </is>
      </c>
      <c r="G168" s="5" t="inlineStr">
        <is>
          <t>普通科</t>
        </is>
      </c>
      <c r="H168" s="8" t="n"/>
      <c r="I168" s="9" t="n"/>
      <c r="J168" s="9" t="inlineStr">
        <is>
          <t>未架電</t>
        </is>
      </c>
      <c r="K168" s="8" t="n"/>
      <c r="L168" s="9" t="n"/>
      <c r="M168" s="10" t="inlineStr">
        <is>
          <t>代表として掲載。中高共通</t>
        </is>
      </c>
      <c r="N168" s="11" t="inlineStr">
        <is>
          <t>https://www.inter-edu.com/schools/school/2105 ; https://school.js88.com/scl_h/22039870?page=5</t>
        </is>
      </c>
      <c r="O168" s="12" t="inlineStr">
        <is>
          <t>開く</t>
        </is>
      </c>
    </row>
    <row r="169">
      <c r="A169" s="4" t="n">
        <v>165</v>
      </c>
      <c r="B169" s="5" t="inlineStr">
        <is>
          <t>東京都</t>
        </is>
      </c>
      <c r="C169" s="5" t="inlineStr">
        <is>
          <t>国立市</t>
        </is>
      </c>
      <c r="D169" s="5" t="inlineStr">
        <is>
          <t>桐朋高等学校</t>
        </is>
      </c>
      <c r="E169" s="6" t="inlineStr">
        <is>
          <t>042-577-2171</t>
        </is>
      </c>
      <c r="F169" s="7" t="inlineStr">
        <is>
          <t>高</t>
        </is>
      </c>
      <c r="G169" s="5" t="inlineStr">
        <is>
          <t>普通科</t>
        </is>
      </c>
      <c r="H169" s="8" t="n"/>
      <c r="I169" s="9" t="n"/>
      <c r="J169" s="9" t="inlineStr">
        <is>
          <t>未架電</t>
        </is>
      </c>
      <c r="K169" s="8" t="n"/>
      <c r="L169" s="9" t="n"/>
      <c r="M169" s="10" t="inlineStr">
        <is>
          <t>中高共通。複数サイトで一致。桐朋女子（調布市）とは別の学校</t>
        </is>
      </c>
      <c r="N169" s="11" t="inlineStr">
        <is>
          <t>https://www.inter-edu.com/schools/school/1947</t>
        </is>
      </c>
      <c r="O169" s="12" t="inlineStr">
        <is>
          <t>開く</t>
        </is>
      </c>
    </row>
    <row r="170">
      <c r="A170" s="4" t="n">
        <v>166</v>
      </c>
      <c r="B170" s="5" t="inlineStr">
        <is>
          <t>東京都</t>
        </is>
      </c>
      <c r="C170" s="5" t="inlineStr">
        <is>
          <t>調布市</t>
        </is>
      </c>
      <c r="D170" s="5" t="inlineStr">
        <is>
          <t>桐朋女子高等学校</t>
        </is>
      </c>
      <c r="E170" s="6" t="inlineStr">
        <is>
          <t>03-3300-2111</t>
        </is>
      </c>
      <c r="F170" s="7" t="inlineStr">
        <is>
          <t>高</t>
        </is>
      </c>
      <c r="G170" s="5" t="inlineStr">
        <is>
          <t>普通科・専門学科</t>
        </is>
      </c>
      <c r="H170" s="8" t="n"/>
      <c r="I170" s="9" t="n"/>
      <c r="J170" s="9" t="inlineStr">
        <is>
          <t>未架電</t>
        </is>
      </c>
      <c r="K170" s="8" t="n"/>
      <c r="L170" s="9" t="n"/>
      <c r="M170" s="10" t="inlineStr">
        <is>
          <t>公式の募集要項に「代表」と記載。入試事務局は03-3300-2116</t>
        </is>
      </c>
      <c r="N170" s="11" t="inlineStr">
        <is>
          <t>https://chuko.toho.ac.jp/pdf/2026high_suisen_youkou.pdf</t>
        </is>
      </c>
      <c r="O170" s="12" t="inlineStr">
        <is>
          <t>開く</t>
        </is>
      </c>
    </row>
    <row r="171">
      <c r="A171" s="4" t="n">
        <v>167</v>
      </c>
      <c r="B171" s="5" t="inlineStr">
        <is>
          <t>東京都</t>
        </is>
      </c>
      <c r="C171" s="5" t="inlineStr">
        <is>
          <t>港区</t>
        </is>
      </c>
      <c r="D171" s="5" t="inlineStr">
        <is>
          <t>東洋英和女学院高等部</t>
        </is>
      </c>
      <c r="E171" s="6" t="inlineStr">
        <is>
          <t>03-3583-0696</t>
        </is>
      </c>
      <c r="F171" s="7" t="inlineStr">
        <is>
          <t>高</t>
        </is>
      </c>
      <c r="G171" s="5" t="inlineStr">
        <is>
          <t>普通科</t>
        </is>
      </c>
      <c r="H171" s="8" t="n"/>
      <c r="I171" s="9" t="n"/>
      <c r="J171" s="9" t="inlineStr">
        <is>
          <t>未架電</t>
        </is>
      </c>
      <c r="K171" s="8" t="n"/>
      <c r="L171" s="9" t="n"/>
      <c r="M171" s="10" t="inlineStr">
        <is>
          <t>中高共通。高校募集なし（完全中高一貫）</t>
        </is>
      </c>
      <c r="N171" s="11" t="inlineStr">
        <is>
          <t>https://www.inter-edu.com/schools/school/65</t>
        </is>
      </c>
      <c r="O171" s="12" t="inlineStr">
        <is>
          <t>開く</t>
        </is>
      </c>
    </row>
    <row r="172">
      <c r="A172" s="4" t="n">
        <v>168</v>
      </c>
      <c r="B172" s="5" t="inlineStr">
        <is>
          <t>東京都</t>
        </is>
      </c>
      <c r="C172" s="5" t="inlineStr">
        <is>
          <t>千代田区</t>
        </is>
      </c>
      <c r="D172" s="5" t="inlineStr">
        <is>
          <t>東洋高等学校</t>
        </is>
      </c>
      <c r="E172" s="6" t="inlineStr">
        <is>
          <t>03-3291-3824</t>
        </is>
      </c>
      <c r="F172" s="7" t="inlineStr">
        <is>
          <t>高</t>
        </is>
      </c>
      <c r="G172" s="5" t="inlineStr">
        <is>
          <t>普通科</t>
        </is>
      </c>
      <c r="H172" s="8" t="n"/>
      <c r="I172" s="9" t="n"/>
      <c r="J172" s="9" t="inlineStr">
        <is>
          <t>未架電</t>
        </is>
      </c>
      <c r="K172" s="8" t="n"/>
      <c r="L172" s="9" t="n"/>
      <c r="M172" s="10" t="inlineStr">
        <is>
          <t>公式資料で確認</t>
        </is>
      </c>
      <c r="N172" s="11" t="inlineStr">
        <is>
          <t>https://toyo.ed.jp/wordpress/wp-content/uploads/2024/07/20240701-6681de45f02f1.pdf</t>
        </is>
      </c>
      <c r="O172" s="12" t="inlineStr">
        <is>
          <t>開く</t>
        </is>
      </c>
    </row>
    <row r="173">
      <c r="A173" s="4" t="n">
        <v>169</v>
      </c>
      <c r="B173" s="5" t="inlineStr">
        <is>
          <t>東京都</t>
        </is>
      </c>
      <c r="C173" s="5" t="inlineStr">
        <is>
          <t>文京区</t>
        </is>
      </c>
      <c r="D173" s="5" t="inlineStr">
        <is>
          <t>東洋女子高等学校</t>
        </is>
      </c>
      <c r="E173" s="6" t="inlineStr">
        <is>
          <t>03-3941-2680</t>
        </is>
      </c>
      <c r="F173" s="7" t="inlineStr">
        <is>
          <t>高</t>
        </is>
      </c>
      <c r="G173" s="5" t="inlineStr">
        <is>
          <t>普通科</t>
        </is>
      </c>
      <c r="H173" s="8" t="n"/>
      <c r="I173" s="9" t="n"/>
      <c r="J173" s="9" t="inlineStr">
        <is>
          <t>未架電</t>
        </is>
      </c>
      <c r="K173" s="8" t="n"/>
      <c r="L173" s="9" t="n"/>
      <c r="M173" s="10" t="inlineStr">
        <is>
          <t>文京区の一覧ほかで一致</t>
        </is>
      </c>
      <c r="N173" s="11" t="inlineStr">
        <is>
          <t>https://www.city.bunkyo.lg.jp/documents/5788/kizi_2024.pdf ; https://www.inter-edu.com/schools/school/652</t>
        </is>
      </c>
      <c r="O173" s="12" t="inlineStr">
        <is>
          <t>開く</t>
        </is>
      </c>
    </row>
    <row r="174">
      <c r="A174" s="4" t="n">
        <v>170</v>
      </c>
      <c r="B174" s="5" t="inlineStr">
        <is>
          <t>東京都</t>
        </is>
      </c>
      <c r="C174" s="5" t="inlineStr">
        <is>
          <t>文京区</t>
        </is>
      </c>
      <c r="D174" s="5" t="inlineStr">
        <is>
          <t>東洋大学京北高等学校</t>
        </is>
      </c>
      <c r="E174" s="6" t="inlineStr">
        <is>
          <t>03-3816-6211</t>
        </is>
      </c>
      <c r="F174" s="7" t="inlineStr">
        <is>
          <t>高</t>
        </is>
      </c>
      <c r="G174" s="5" t="inlineStr">
        <is>
          <t>普通科</t>
        </is>
      </c>
      <c r="H174" s="8" t="n"/>
      <c r="I174" s="9" t="n"/>
      <c r="J174" s="9" t="inlineStr">
        <is>
          <t>未架電</t>
        </is>
      </c>
      <c r="K174" s="8" t="n"/>
      <c r="L174" s="9" t="n"/>
      <c r="M174" s="10" t="inlineStr">
        <is>
          <t>中高共通</t>
        </is>
      </c>
      <c r="N174" s="11" t="inlineStr">
        <is>
          <t>https://www.inter-edu.com/schools/school/2179 ; https://www.minkou.jp/junior/school/7822/</t>
        </is>
      </c>
      <c r="O174" s="12" t="inlineStr">
        <is>
          <t>開く</t>
        </is>
      </c>
    </row>
    <row r="175">
      <c r="A175" s="4" t="n">
        <v>171</v>
      </c>
      <c r="B175" s="5" t="inlineStr">
        <is>
          <t>東京都</t>
        </is>
      </c>
      <c r="C175" s="5" t="inlineStr">
        <is>
          <t>目黒区</t>
        </is>
      </c>
      <c r="D175" s="5" t="inlineStr">
        <is>
          <t>トキワ松学園高等学校</t>
        </is>
      </c>
      <c r="E175" s="6" t="inlineStr">
        <is>
          <t>03-3713-8161</t>
        </is>
      </c>
      <c r="F175" s="7" t="inlineStr">
        <is>
          <t>高</t>
        </is>
      </c>
      <c r="G175" s="5" t="inlineStr">
        <is>
          <t>普通科</t>
        </is>
      </c>
      <c r="H175" s="8" t="n"/>
      <c r="I175" s="9" t="n"/>
      <c r="J175" s="9" t="inlineStr">
        <is>
          <t>未架電</t>
        </is>
      </c>
      <c r="K175" s="8" t="n"/>
      <c r="L175" s="9" t="n"/>
      <c r="M175" s="10" t="inlineStr">
        <is>
          <t>代表として掲載。中高共通</t>
        </is>
      </c>
      <c r="N175" s="11" t="inlineStr">
        <is>
          <t>https://www.inter-edu.com/schools/school/2077 ; https://school.js88.com/scl_h/22039030/</t>
        </is>
      </c>
      <c r="O175" s="12" t="inlineStr">
        <is>
          <t>開く</t>
        </is>
      </c>
    </row>
    <row r="176">
      <c r="A176" s="4" t="n">
        <v>172</v>
      </c>
      <c r="B176" s="5" t="inlineStr">
        <is>
          <t>東京都</t>
        </is>
      </c>
      <c r="C176" s="5" t="inlineStr">
        <is>
          <t>豊島区</t>
        </is>
      </c>
      <c r="D176" s="5" t="inlineStr">
        <is>
          <t>豊島岡女子学園高等学校</t>
        </is>
      </c>
      <c r="E176" s="6" t="inlineStr">
        <is>
          <t>03-3983-8261</t>
        </is>
      </c>
      <c r="F176" s="13" t="inlineStr">
        <is>
          <t>中</t>
        </is>
      </c>
      <c r="G176" s="5" t="inlineStr">
        <is>
          <t>普通科</t>
        </is>
      </c>
      <c r="H176" s="8" t="n"/>
      <c r="I176" s="9" t="n"/>
      <c r="J176" s="9" t="inlineStr">
        <is>
          <t>未架電</t>
        </is>
      </c>
      <c r="K176" s="8" t="n"/>
      <c r="L176" s="9" t="n"/>
      <c r="M176" s="10" t="inlineStr">
        <is>
          <t>中高共通。学校情報サイトのみで確認</t>
        </is>
      </c>
      <c r="N176" s="11" t="inlineStr">
        <is>
          <t>https://www.inter-edu.com/schools/school/66</t>
        </is>
      </c>
      <c r="O176" s="12" t="inlineStr">
        <is>
          <t>開く</t>
        </is>
      </c>
    </row>
    <row r="177">
      <c r="A177" s="4" t="n">
        <v>173</v>
      </c>
      <c r="B177" s="5" t="inlineStr">
        <is>
          <t>東京都</t>
        </is>
      </c>
      <c r="C177" s="5" t="inlineStr">
        <is>
          <t>豊島区</t>
        </is>
      </c>
      <c r="D177" s="5" t="inlineStr">
        <is>
          <t>豊島学院高等学校</t>
        </is>
      </c>
      <c r="E177" s="6" t="inlineStr">
        <is>
          <t>03-3988-5511</t>
        </is>
      </c>
      <c r="F177" s="7" t="inlineStr">
        <is>
          <t>高</t>
        </is>
      </c>
      <c r="G177" s="5" t="inlineStr">
        <is>
          <t>普通科</t>
        </is>
      </c>
      <c r="H177" s="8" t="n"/>
      <c r="I177" s="9" t="n"/>
      <c r="J177" s="9" t="inlineStr">
        <is>
          <t>未架電</t>
        </is>
      </c>
      <c r="K177" s="8" t="n"/>
      <c r="L177" s="9" t="n"/>
      <c r="M177" s="10" t="inlineStr">
        <is>
          <t>3つの情報源で一致。昭和鉄道高校と同じ番号（同じ学校法人・同じ敷地）</t>
        </is>
      </c>
      <c r="N177" s="11" t="inlineStr">
        <is>
          <t>https://www.inter-edu.com/schools/school/655 ; https://school.js88.com/scl_h/22039730?page=5</t>
        </is>
      </c>
      <c r="O177" s="12" t="inlineStr">
        <is>
          <t>開く</t>
        </is>
      </c>
    </row>
    <row r="178">
      <c r="A178" s="4" t="n">
        <v>174</v>
      </c>
      <c r="B178" s="5" t="inlineStr">
        <is>
          <t>東京都</t>
        </is>
      </c>
      <c r="C178" s="5" t="inlineStr">
        <is>
          <t>文京区</t>
        </is>
      </c>
      <c r="D178" s="5" t="inlineStr">
        <is>
          <t>獨協高等学校</t>
        </is>
      </c>
      <c r="E178" s="6" t="inlineStr">
        <is>
          <t>03-3943-3651</t>
        </is>
      </c>
      <c r="F178" s="7" t="inlineStr">
        <is>
          <t>高</t>
        </is>
      </c>
      <c r="G178" s="5" t="inlineStr">
        <is>
          <t>普通科</t>
        </is>
      </c>
      <c r="H178" s="8" t="n"/>
      <c r="I178" s="9" t="n"/>
      <c r="J178" s="9" t="inlineStr">
        <is>
          <t>未架電</t>
        </is>
      </c>
      <c r="K178" s="8" t="n"/>
      <c r="L178" s="9" t="n"/>
      <c r="M178" s="10" t="inlineStr">
        <is>
          <t>代表として掲載。中高共通</t>
        </is>
      </c>
      <c r="N178" s="11" t="inlineStr">
        <is>
          <t>https://www.city.bunkyo.lg.jp/documents/5788/kizi_2024.pdf ; https://www.inter-edu.com/schools/school/93</t>
        </is>
      </c>
      <c r="O178" s="12" t="inlineStr">
        <is>
          <t>開く</t>
        </is>
      </c>
    </row>
    <row r="179">
      <c r="A179" s="4" t="n">
        <v>175</v>
      </c>
      <c r="B179" s="5" t="inlineStr">
        <is>
          <t>東京都</t>
        </is>
      </c>
      <c r="C179" s="5" t="inlineStr">
        <is>
          <t>調布市</t>
        </is>
      </c>
      <c r="D179" s="5" t="inlineStr">
        <is>
          <t>ドルトン東京学園高等部</t>
        </is>
      </c>
      <c r="E179" s="6" t="inlineStr">
        <is>
          <t>03-5787-7945</t>
        </is>
      </c>
      <c r="F179" s="7" t="inlineStr">
        <is>
          <t>高</t>
        </is>
      </c>
      <c r="G179" s="5" t="inlineStr">
        <is>
          <t>普通科</t>
        </is>
      </c>
      <c r="H179" s="8" t="n"/>
      <c r="I179" s="9" t="n"/>
      <c r="J179" s="9" t="inlineStr">
        <is>
          <t>未架電</t>
        </is>
      </c>
      <c r="K179" s="8" t="n"/>
      <c r="L179" s="9" t="n"/>
      <c r="M179" s="10" t="inlineStr">
        <is>
          <t>中高共通</t>
        </is>
      </c>
      <c r="N179" s="11" t="inlineStr">
        <is>
          <t>https://www.inter-edu.com/schools/school/2508 ; https://school.js88.com/scl_j/34041514</t>
        </is>
      </c>
      <c r="O179" s="12" t="inlineStr">
        <is>
          <t>開く</t>
        </is>
      </c>
    </row>
    <row r="180">
      <c r="A180" s="4" t="n">
        <v>176</v>
      </c>
      <c r="B180" s="5" t="inlineStr">
        <is>
          <t>東京都</t>
        </is>
      </c>
      <c r="C180" s="5" t="inlineStr">
        <is>
          <t>江東区</t>
        </is>
      </c>
      <c r="D180" s="5" t="inlineStr">
        <is>
          <t>中村高等学校</t>
        </is>
      </c>
      <c r="E180" s="6" t="inlineStr">
        <is>
          <t>03-3642-8041</t>
        </is>
      </c>
      <c r="F180" s="7" t="inlineStr">
        <is>
          <t>高</t>
        </is>
      </c>
      <c r="G180" s="5" t="inlineStr">
        <is>
          <t>普通科・専門学科</t>
        </is>
      </c>
      <c r="H180" s="8" t="n"/>
      <c r="I180" s="9" t="n"/>
      <c r="J180" s="9" t="inlineStr">
        <is>
          <t>未架電</t>
        </is>
      </c>
      <c r="K180" s="8" t="n"/>
      <c r="L180" s="9" t="n"/>
      <c r="M180" s="10" t="inlineStr">
        <is>
          <t>中高共通</t>
        </is>
      </c>
      <c r="N180" s="11" t="inlineStr">
        <is>
          <t>https://www.inter-edu.com/schools/school/2081 ; https://school.js88.com/scl_h/22038820/</t>
        </is>
      </c>
      <c r="O180" s="12" t="inlineStr">
        <is>
          <t>開く</t>
        </is>
      </c>
    </row>
    <row r="181">
      <c r="A181" s="4" t="n">
        <v>177</v>
      </c>
      <c r="B181" s="5" t="inlineStr">
        <is>
          <t>東京都</t>
        </is>
      </c>
      <c r="C181" s="5" t="inlineStr">
        <is>
          <t>千代田区</t>
        </is>
      </c>
      <c r="D181" s="5" t="inlineStr">
        <is>
          <t>二松学舎大学附属高等学校</t>
        </is>
      </c>
      <c r="E181" s="6" t="inlineStr">
        <is>
          <t>03-3261-9288</t>
        </is>
      </c>
      <c r="F181" s="13" t="inlineStr">
        <is>
          <t>中</t>
        </is>
      </c>
      <c r="G181" s="5" t="inlineStr">
        <is>
          <t>普通科</t>
        </is>
      </c>
      <c r="H181" s="8" t="n"/>
      <c r="I181" s="9" t="n"/>
      <c r="J181" s="9" t="inlineStr">
        <is>
          <t>未架電</t>
        </is>
      </c>
      <c r="K181" s="8" t="n"/>
      <c r="L181" s="9" t="n"/>
      <c r="M181" s="10" t="inlineStr">
        <is>
          <t>学校情報サイト1件のみで確認。柏校とは別の学校</t>
        </is>
      </c>
      <c r="N181" s="11" t="inlineStr">
        <is>
          <t>https://school.js88.com/scl_h/22038030</t>
        </is>
      </c>
      <c r="O181" s="12" t="inlineStr">
        <is>
          <t>開く</t>
        </is>
      </c>
    </row>
    <row r="182">
      <c r="A182" s="4" t="n">
        <v>178</v>
      </c>
      <c r="B182" s="5" t="inlineStr">
        <is>
          <t>東京都</t>
        </is>
      </c>
      <c r="C182" s="5" t="inlineStr">
        <is>
          <t>中野区</t>
        </is>
      </c>
      <c r="D182" s="5" t="inlineStr">
        <is>
          <t>新渡戸文化高等学校</t>
        </is>
      </c>
      <c r="E182" s="6" t="inlineStr">
        <is>
          <t>03-3381-0408</t>
        </is>
      </c>
      <c r="F182" s="13" t="inlineStr">
        <is>
          <t>中</t>
        </is>
      </c>
      <c r="G182" s="5" t="inlineStr">
        <is>
          <t>普通科</t>
        </is>
      </c>
      <c r="H182" s="8" t="n"/>
      <c r="I182" s="9" t="n"/>
      <c r="J182" s="9" t="inlineStr">
        <is>
          <t>未架電</t>
        </is>
      </c>
      <c r="K182" s="8" t="n"/>
      <c r="L182" s="9" t="n"/>
      <c r="M182" s="10" t="inlineStr">
        <is>
          <t>中高共通。学校情報サイトのみで確認</t>
        </is>
      </c>
      <c r="N182" s="11" t="inlineStr">
        <is>
          <t>https://www.inter-edu.com/schools/school/2101</t>
        </is>
      </c>
      <c r="O182" s="12" t="inlineStr">
        <is>
          <t>開く</t>
        </is>
      </c>
    </row>
    <row r="183">
      <c r="A183" s="4" t="n">
        <v>179</v>
      </c>
      <c r="B183" s="5" t="inlineStr">
        <is>
          <t>東京都</t>
        </is>
      </c>
      <c r="C183" s="5" t="inlineStr">
        <is>
          <t>目黒区</t>
        </is>
      </c>
      <c r="D183" s="5" t="inlineStr">
        <is>
          <t>日本工業大学駒場高等学校</t>
        </is>
      </c>
      <c r="E183" s="6" t="inlineStr">
        <is>
          <t>03-3467-2130</t>
        </is>
      </c>
      <c r="F183" s="13" t="inlineStr">
        <is>
          <t>中</t>
        </is>
      </c>
      <c r="G183" s="5" t="inlineStr">
        <is>
          <t>普通科</t>
        </is>
      </c>
      <c r="H183" s="8" t="n"/>
      <c r="I183" s="9" t="n"/>
      <c r="J183" s="9" t="inlineStr">
        <is>
          <t>未架電</t>
        </is>
      </c>
      <c r="K183" s="8" t="n"/>
      <c r="L183" s="9" t="n"/>
      <c r="M183" s="10" t="inlineStr">
        <is>
          <t>中高共通。学校情報サイトのみで確認</t>
        </is>
      </c>
      <c r="N183" s="11" t="inlineStr">
        <is>
          <t>https://www.inter-edu.com/schools/school/2079</t>
        </is>
      </c>
      <c r="O183" s="12" t="inlineStr">
        <is>
          <t>開く</t>
        </is>
      </c>
    </row>
    <row r="184">
      <c r="A184" s="4" t="n">
        <v>180</v>
      </c>
      <c r="B184" s="5" t="inlineStr">
        <is>
          <t>東京都</t>
        </is>
      </c>
      <c r="C184" s="5" t="inlineStr">
        <is>
          <t>世田谷区</t>
        </is>
      </c>
      <c r="D184" s="5" t="inlineStr">
        <is>
          <t>日本女子体育大学附属二階堂高等学校</t>
        </is>
      </c>
      <c r="E184" s="6" t="inlineStr">
        <is>
          <t>03-3322-9159</t>
        </is>
      </c>
      <c r="F184" s="13" t="inlineStr">
        <is>
          <t>中</t>
        </is>
      </c>
      <c r="G184" s="5" t="inlineStr">
        <is>
          <t>普通科</t>
        </is>
      </c>
      <c r="H184" s="8" t="n"/>
      <c r="I184" s="9" t="n"/>
      <c r="J184" s="9" t="inlineStr">
        <is>
          <t>未架電</t>
        </is>
      </c>
      <c r="K184" s="8" t="n"/>
      <c r="L184" s="9" t="n"/>
      <c r="M184" s="10" t="inlineStr">
        <is>
          <t>学校情報サイト1件のみで確認</t>
        </is>
      </c>
      <c r="N184" s="11" t="inlineStr">
        <is>
          <t>https://www.inter-edu.com/schools/school/1801</t>
        </is>
      </c>
      <c r="O184" s="12" t="inlineStr">
        <is>
          <t>開く</t>
        </is>
      </c>
    </row>
    <row r="185">
      <c r="A185" s="4" t="n">
        <v>181</v>
      </c>
      <c r="B185" s="5" t="inlineStr">
        <is>
          <t>東京都</t>
        </is>
      </c>
      <c r="C185" s="5" t="inlineStr">
        <is>
          <t>大田区</t>
        </is>
      </c>
      <c r="D185" s="5" t="inlineStr">
        <is>
          <t>日本体育大学荏原高等学校</t>
        </is>
      </c>
      <c r="E185" s="6" t="inlineStr">
        <is>
          <t>03-3759-3291</t>
        </is>
      </c>
      <c r="F185" s="7" t="inlineStr">
        <is>
          <t>高</t>
        </is>
      </c>
      <c r="G185" s="5" t="inlineStr">
        <is>
          <t>普通科</t>
        </is>
      </c>
      <c r="H185" s="8" t="n"/>
      <c r="I185" s="9" t="n"/>
      <c r="J185" s="9" t="inlineStr">
        <is>
          <t>未架電</t>
        </is>
      </c>
      <c r="K185" s="8" t="n"/>
      <c r="L185" s="9" t="n"/>
      <c r="M185" s="10" t="inlineStr">
        <is>
          <t>2つのサイトで一致</t>
        </is>
      </c>
      <c r="N185" s="11" t="inlineStr">
        <is>
          <t>https://www.inter-edu.com/schools/school/1023 ; https://school.js88.com/scl_h/22039120</t>
        </is>
      </c>
      <c r="O185" s="12" t="inlineStr">
        <is>
          <t>開く</t>
        </is>
      </c>
    </row>
    <row r="186">
      <c r="A186" s="4" t="n">
        <v>182</v>
      </c>
      <c r="B186" s="5" t="inlineStr">
        <is>
          <t>東京都</t>
        </is>
      </c>
      <c r="C186" s="5" t="inlineStr">
        <is>
          <t>東村山市</t>
        </is>
      </c>
      <c r="D186" s="5" t="inlineStr">
        <is>
          <t>日本体育大学桜華高等学校</t>
        </is>
      </c>
      <c r="E186" s="6" t="inlineStr">
        <is>
          <t>042-391-4133</t>
        </is>
      </c>
      <c r="F186" s="7" t="inlineStr">
        <is>
          <t>高</t>
        </is>
      </c>
      <c r="G186" s="5" t="inlineStr">
        <is>
          <t>普通科</t>
        </is>
      </c>
      <c r="H186" s="8" t="n"/>
      <c r="I186" s="9" t="n"/>
      <c r="J186" s="9" t="inlineStr">
        <is>
          <t>未架電</t>
        </is>
      </c>
      <c r="K186" s="8" t="n"/>
      <c r="L186" s="9" t="n"/>
      <c r="M186" s="10" t="inlineStr">
        <is>
          <t>中高共通</t>
        </is>
      </c>
      <c r="N186" s="11" t="inlineStr">
        <is>
          <t>https://school.js88.com/scl_h/22040050 ; https://www.inter-edu.com/schools/school/2212</t>
        </is>
      </c>
      <c r="O186" s="12" t="inlineStr">
        <is>
          <t>開く</t>
        </is>
      </c>
    </row>
    <row r="187">
      <c r="A187" s="4" t="n">
        <v>183</v>
      </c>
      <c r="B187" s="5" t="inlineStr">
        <is>
          <t>東京都</t>
        </is>
      </c>
      <c r="C187" s="5" t="inlineStr">
        <is>
          <t>世田谷区</t>
        </is>
      </c>
      <c r="D187" s="5" t="inlineStr">
        <is>
          <t>日本大学櫻丘高等学校</t>
        </is>
      </c>
      <c r="E187" s="6" t="inlineStr">
        <is>
          <t>03-5317-9300</t>
        </is>
      </c>
      <c r="F187" s="13" t="inlineStr">
        <is>
          <t>中</t>
        </is>
      </c>
      <c r="G187" s="5" t="inlineStr">
        <is>
          <t>普通科</t>
        </is>
      </c>
      <c r="H187" s="8" t="n"/>
      <c r="I187" s="9" t="n"/>
      <c r="J187" s="9" t="inlineStr">
        <is>
          <t>未架電</t>
        </is>
      </c>
      <c r="K187" s="8" t="n"/>
      <c r="L187" s="9" t="n"/>
      <c r="M187" s="10" t="inlineStr">
        <is>
          <t>学校情報サイト1件のみで確認</t>
        </is>
      </c>
      <c r="N187" s="11" t="inlineStr">
        <is>
          <t>https://www.inter-edu.com/schools/school/666</t>
        </is>
      </c>
      <c r="O187" s="12" t="inlineStr">
        <is>
          <t>開く</t>
        </is>
      </c>
    </row>
    <row r="188">
      <c r="A188" s="4" t="n">
        <v>184</v>
      </c>
      <c r="B188" s="5" t="inlineStr">
        <is>
          <t>東京都</t>
        </is>
      </c>
      <c r="C188" s="5" t="inlineStr">
        <is>
          <t>墨田区</t>
        </is>
      </c>
      <c r="D188" s="5" t="inlineStr">
        <is>
          <t>日本大学第一高等学校</t>
        </is>
      </c>
      <c r="E188" s="6" t="inlineStr">
        <is>
          <t>03-3625-0026</t>
        </is>
      </c>
      <c r="F188" s="13" t="inlineStr">
        <is>
          <t>中</t>
        </is>
      </c>
      <c r="G188" s="5" t="inlineStr">
        <is>
          <t>普通科</t>
        </is>
      </c>
      <c r="H188" s="8" t="n"/>
      <c r="I188" s="9" t="n"/>
      <c r="J188" s="9" t="inlineStr">
        <is>
          <t>未架電</t>
        </is>
      </c>
      <c r="K188" s="8" t="n"/>
      <c r="L188" s="9" t="n"/>
      <c r="M188" s="10" t="inlineStr">
        <is>
          <t>中高共通。学校情報サイトのみで確認</t>
        </is>
      </c>
      <c r="N188" s="11" t="inlineStr">
        <is>
          <t>https://www.inter-edu.com/schools/school/1963</t>
        </is>
      </c>
      <c r="O188" s="12" t="inlineStr">
        <is>
          <t>開く</t>
        </is>
      </c>
    </row>
    <row r="189">
      <c r="A189" s="4" t="n">
        <v>185</v>
      </c>
      <c r="B189" s="5" t="inlineStr">
        <is>
          <t>東京都</t>
        </is>
      </c>
      <c r="C189" s="5" t="inlineStr">
        <is>
          <t>町田市</t>
        </is>
      </c>
      <c r="D189" s="5" t="inlineStr">
        <is>
          <t>日本大学第三高等学校</t>
        </is>
      </c>
      <c r="E189" s="6" t="inlineStr">
        <is>
          <t>042-789-5535</t>
        </is>
      </c>
      <c r="F189" s="13" t="inlineStr">
        <is>
          <t>中</t>
        </is>
      </c>
      <c r="G189" s="5" t="inlineStr">
        <is>
          <t>普通科</t>
        </is>
      </c>
      <c r="H189" s="8" t="n"/>
      <c r="I189" s="9" t="n"/>
      <c r="J189" s="9" t="inlineStr">
        <is>
          <t>未架電</t>
        </is>
      </c>
      <c r="K189" s="8" t="n"/>
      <c r="L189" s="9" t="n"/>
      <c r="M189" s="10" t="inlineStr">
        <is>
          <t>学校情報サイトのみで確認。中学校は042-793-2131の可能性</t>
        </is>
      </c>
      <c r="N189" s="11" t="inlineStr">
        <is>
          <t>https://www.inter-edu.com/schools/school/1964</t>
        </is>
      </c>
      <c r="O189" s="12" t="inlineStr">
        <is>
          <t>開く</t>
        </is>
      </c>
    </row>
    <row r="190">
      <c r="A190" s="4" t="n">
        <v>186</v>
      </c>
      <c r="B190" s="5" t="inlineStr">
        <is>
          <t>東京都</t>
        </is>
      </c>
      <c r="C190" s="5" t="inlineStr">
        <is>
          <t>杉並区</t>
        </is>
      </c>
      <c r="D190" s="5" t="inlineStr">
        <is>
          <t>日本大学第二高等学校</t>
        </is>
      </c>
      <c r="E190" s="6" t="inlineStr">
        <is>
          <t>03-3391-0223</t>
        </is>
      </c>
      <c r="F190" s="7" t="inlineStr">
        <is>
          <t>高</t>
        </is>
      </c>
      <c r="G190" s="5" t="inlineStr">
        <is>
          <t>普通科</t>
        </is>
      </c>
      <c r="H190" s="8" t="n"/>
      <c r="I190" s="9" t="n"/>
      <c r="J190" s="9" t="inlineStr">
        <is>
          <t>未架電</t>
        </is>
      </c>
      <c r="K190" s="8" t="n"/>
      <c r="L190" s="9" t="n"/>
      <c r="M190" s="10" t="inlineStr">
        <is>
          <t>公式サイトで確認。中高共通</t>
        </is>
      </c>
      <c r="N190" s="11" t="inlineStr">
        <is>
          <t>https://www.nichidai2.ac.jp/access/</t>
        </is>
      </c>
      <c r="O190" s="12" t="inlineStr">
        <is>
          <t>開く</t>
        </is>
      </c>
    </row>
    <row r="191">
      <c r="A191" s="4" t="n">
        <v>187</v>
      </c>
      <c r="B191" s="5" t="inlineStr">
        <is>
          <t>東京都</t>
        </is>
      </c>
      <c r="C191" s="5" t="inlineStr">
        <is>
          <t>杉並区</t>
        </is>
      </c>
      <c r="D191" s="5" t="inlineStr">
        <is>
          <t>日本大学鶴ヶ丘高等学校</t>
        </is>
      </c>
      <c r="E191" s="6" t="inlineStr">
        <is>
          <t>03-3322-7521</t>
        </is>
      </c>
      <c r="F191" s="13" t="inlineStr">
        <is>
          <t>中</t>
        </is>
      </c>
      <c r="G191" s="5" t="inlineStr">
        <is>
          <t>普通科</t>
        </is>
      </c>
      <c r="H191" s="8" t="n"/>
      <c r="I191" s="9" t="n"/>
      <c r="J191" s="9" t="inlineStr">
        <is>
          <t>未架電</t>
        </is>
      </c>
      <c r="K191" s="8" t="n"/>
      <c r="L191" s="9" t="n"/>
      <c r="M191" s="10" t="inlineStr">
        <is>
          <t>学校情報サイト1件のみで確認</t>
        </is>
      </c>
      <c r="N191" s="11" t="inlineStr">
        <is>
          <t>https://www.inter-edu.com/schools/school/549</t>
        </is>
      </c>
      <c r="O191" s="12" t="inlineStr">
        <is>
          <t>開く</t>
        </is>
      </c>
    </row>
    <row r="192">
      <c r="A192" s="4" t="n">
        <v>188</v>
      </c>
      <c r="B192" s="5" t="inlineStr">
        <is>
          <t>東京都</t>
        </is>
      </c>
      <c r="C192" s="5" t="inlineStr">
        <is>
          <t>文京区</t>
        </is>
      </c>
      <c r="D192" s="5" t="inlineStr">
        <is>
          <t>日本大学豊山高等学校</t>
        </is>
      </c>
      <c r="E192" s="6" t="inlineStr">
        <is>
          <t>03-3943-2161</t>
        </is>
      </c>
      <c r="F192" s="7" t="inlineStr">
        <is>
          <t>高</t>
        </is>
      </c>
      <c r="G192" s="5" t="inlineStr">
        <is>
          <t>普通科</t>
        </is>
      </c>
      <c r="H192" s="8" t="n"/>
      <c r="I192" s="9" t="n"/>
      <c r="J192" s="9" t="inlineStr">
        <is>
          <t>未架電</t>
        </is>
      </c>
      <c r="K192" s="8" t="n"/>
      <c r="L192" s="9" t="n"/>
      <c r="M192" s="10" t="inlineStr">
        <is>
          <t>公式資料に「代表」と記載。中高共通</t>
        </is>
      </c>
      <c r="N192" s="11" t="inlineStr">
        <is>
          <t>https://www.buzan.hs.nihon-u.ac.jp/app/files/uploads/2023/07/0c3e5f5f42ed3ec2a5cc6564632ff9a9.pdf</t>
        </is>
      </c>
      <c r="O192" s="12" t="inlineStr">
        <is>
          <t>開く</t>
        </is>
      </c>
    </row>
    <row r="193">
      <c r="A193" s="4" t="n">
        <v>189</v>
      </c>
      <c r="B193" s="5" t="inlineStr">
        <is>
          <t>東京都</t>
        </is>
      </c>
      <c r="C193" s="5" t="inlineStr">
        <is>
          <t>板橋区</t>
        </is>
      </c>
      <c r="D193" s="5" t="inlineStr">
        <is>
          <t>日本大学豊山女子高等学校</t>
        </is>
      </c>
      <c r="E193" s="6" t="inlineStr">
        <is>
          <t>03-3934-2341</t>
        </is>
      </c>
      <c r="F193" s="7" t="inlineStr">
        <is>
          <t>高</t>
        </is>
      </c>
      <c r="G193" s="5" t="inlineStr">
        <is>
          <t>普通科・専門学科</t>
        </is>
      </c>
      <c r="H193" s="8" t="n"/>
      <c r="I193" s="9" t="n"/>
      <c r="J193" s="9" t="inlineStr">
        <is>
          <t>未架電</t>
        </is>
      </c>
      <c r="K193" s="8" t="n"/>
      <c r="L193" s="9" t="n"/>
      <c r="M193" s="10" t="inlineStr">
        <is>
          <t>中高共通。2つのサイトで一致</t>
        </is>
      </c>
      <c r="N193" s="11" t="inlineStr">
        <is>
          <t>https://www.inter-edu.com/schools/school/253</t>
        </is>
      </c>
      <c r="O193" s="12" t="inlineStr">
        <is>
          <t>開く</t>
        </is>
      </c>
    </row>
    <row r="194">
      <c r="A194" s="4" t="n">
        <v>190</v>
      </c>
      <c r="B194" s="5" t="inlineStr">
        <is>
          <t>東京都</t>
        </is>
      </c>
      <c r="C194" s="5" t="inlineStr">
        <is>
          <t>八王子市</t>
        </is>
      </c>
      <c r="D194" s="5" t="inlineStr">
        <is>
          <t>八王子学園八王子高等学校</t>
        </is>
      </c>
      <c r="E194" s="6" t="inlineStr">
        <is>
          <t>042-623-3461</t>
        </is>
      </c>
      <c r="F194" s="13" t="inlineStr">
        <is>
          <t>中</t>
        </is>
      </c>
      <c r="G194" s="5" t="inlineStr">
        <is>
          <t>普通科</t>
        </is>
      </c>
      <c r="H194" s="8" t="n"/>
      <c r="I194" s="9" t="n"/>
      <c r="J194" s="9" t="inlineStr">
        <is>
          <t>未架電</t>
        </is>
      </c>
      <c r="K194" s="8" t="n"/>
      <c r="L194" s="9" t="n"/>
      <c r="M194" s="10" t="inlineStr">
        <is>
          <t>中高共通。学校情報サイトのみで確認</t>
        </is>
      </c>
      <c r="N194" s="11" t="inlineStr">
        <is>
          <t>https://www.inter-edu.com/schools/school/2097</t>
        </is>
      </c>
      <c r="O194" s="12" t="inlineStr">
        <is>
          <t>開く</t>
        </is>
      </c>
    </row>
    <row r="195">
      <c r="A195" s="4" t="n">
        <v>191</v>
      </c>
      <c r="B195" s="5" t="inlineStr">
        <is>
          <t>東京都</t>
        </is>
      </c>
      <c r="C195" s="5" t="inlineStr">
        <is>
          <t>八王子市</t>
        </is>
      </c>
      <c r="D195" s="5" t="inlineStr">
        <is>
          <t>八王子実践高等学校</t>
        </is>
      </c>
      <c r="E195" s="6" t="inlineStr">
        <is>
          <t>042-622-0654</t>
        </is>
      </c>
      <c r="F195" s="13" t="inlineStr">
        <is>
          <t>中</t>
        </is>
      </c>
      <c r="G195" s="5" t="inlineStr">
        <is>
          <t>普通科</t>
        </is>
      </c>
      <c r="H195" s="8" t="n"/>
      <c r="I195" s="9" t="n"/>
      <c r="J195" s="9" t="inlineStr">
        <is>
          <t>未架電</t>
        </is>
      </c>
      <c r="K195" s="8" t="n"/>
      <c r="L195" s="9" t="n"/>
      <c r="M195" s="10" t="inlineStr">
        <is>
          <t>中高共通。学校情報サイトのみで確認</t>
        </is>
      </c>
      <c r="N195" s="11" t="inlineStr">
        <is>
          <t>https://www.inter-edu.com/schools/school/2106</t>
        </is>
      </c>
      <c r="O195" s="12" t="inlineStr">
        <is>
          <t>開く</t>
        </is>
      </c>
    </row>
    <row r="196">
      <c r="A196" s="4" t="n">
        <v>192</v>
      </c>
      <c r="B196" s="5" t="inlineStr">
        <is>
          <t>東京都</t>
        </is>
      </c>
      <c r="C196" s="5" t="inlineStr">
        <is>
          <t>大田区</t>
        </is>
      </c>
      <c r="D196" s="5" t="inlineStr">
        <is>
          <t>羽田国際高等学校</t>
        </is>
      </c>
      <c r="E196" s="6" t="inlineStr">
        <is>
          <t>03-3742-1511</t>
        </is>
      </c>
      <c r="F196" s="7" t="inlineStr">
        <is>
          <t>高</t>
        </is>
      </c>
      <c r="G196" s="5" t="inlineStr">
        <is>
          <t>普通科</t>
        </is>
      </c>
      <c r="H196" s="8" t="n"/>
      <c r="I196" s="9" t="n"/>
      <c r="J196" s="9" t="inlineStr">
        <is>
          <t>未架電</t>
        </is>
      </c>
      <c r="K196" s="8" t="n"/>
      <c r="L196" s="9" t="n"/>
      <c r="M196" s="10" t="inlineStr">
        <is>
          <t>法人の広報資料と学校情報サイトで一致。中高共通</t>
        </is>
      </c>
      <c r="N196" s="11" t="inlineStr">
        <is>
          <t>https://prtimes.jp/main/html/rd/p/000000037.000115210.html ; https://www.inter-edu.com/schools/school/1871</t>
        </is>
      </c>
      <c r="O196" s="12" t="inlineStr">
        <is>
          <t>開く</t>
        </is>
      </c>
    </row>
    <row r="197">
      <c r="A197" s="4" t="n">
        <v>193</v>
      </c>
      <c r="B197" s="5" t="inlineStr">
        <is>
          <t>東京都</t>
        </is>
      </c>
      <c r="C197" s="5" t="inlineStr">
        <is>
          <t>文京区</t>
        </is>
      </c>
      <c r="D197" s="5" t="inlineStr">
        <is>
          <t>広尾学園小石川高等学校</t>
        </is>
      </c>
      <c r="E197" s="6" t="inlineStr">
        <is>
          <t>03-5940-4455</t>
        </is>
      </c>
      <c r="F197" s="7" t="inlineStr">
        <is>
          <t>高</t>
        </is>
      </c>
      <c r="G197" s="5" t="inlineStr">
        <is>
          <t>普通科</t>
        </is>
      </c>
      <c r="H197" s="8" t="n"/>
      <c r="I197" s="9" t="n"/>
      <c r="J197" s="9" t="inlineStr">
        <is>
          <t>未架電</t>
        </is>
      </c>
      <c r="K197" s="8" t="n"/>
      <c r="L197" s="9" t="n"/>
      <c r="M197" s="10" t="inlineStr">
        <is>
          <t>公式サイトで確認。中高共通。入試専用は03-5940-4187</t>
        </is>
      </c>
      <c r="N197" s="11" t="inlineStr">
        <is>
          <t>https://hiroo-koishikawa.ed.jp/contact</t>
        </is>
      </c>
      <c r="O197" s="12" t="inlineStr">
        <is>
          <t>開く</t>
        </is>
      </c>
    </row>
    <row r="198">
      <c r="A198" s="4" t="n">
        <v>194</v>
      </c>
      <c r="B198" s="5" t="inlineStr">
        <is>
          <t>東京都</t>
        </is>
      </c>
      <c r="C198" s="5" t="inlineStr">
        <is>
          <t>港区</t>
        </is>
      </c>
      <c r="D198" s="5" t="inlineStr">
        <is>
          <t>広尾学園高等学校</t>
        </is>
      </c>
      <c r="E198" s="6" t="inlineStr">
        <is>
          <t>03-3444-7272</t>
        </is>
      </c>
      <c r="F198" s="7" t="inlineStr">
        <is>
          <t>高</t>
        </is>
      </c>
      <c r="G198" s="5" t="inlineStr">
        <is>
          <t>普通科</t>
        </is>
      </c>
      <c r="H198" s="8" t="n"/>
      <c r="I198" s="9" t="n"/>
      <c r="J198" s="9" t="inlineStr">
        <is>
          <t>未架電</t>
        </is>
      </c>
      <c r="K198" s="8" t="n"/>
      <c r="L198" s="9" t="n"/>
      <c r="M198" s="10" t="inlineStr">
        <is>
          <t>公式資料（広報室）と学校情報サイトで一致。中高共通</t>
        </is>
      </c>
      <c r="N198" s="11" t="inlineStr">
        <is>
          <t>https://www.hiroogakuen.ed.jp/junior/2026bosyuyoko_info.pdf</t>
        </is>
      </c>
      <c r="O198" s="12" t="inlineStr">
        <is>
          <t>開く</t>
        </is>
      </c>
    </row>
    <row r="199">
      <c r="A199" s="4" t="n">
        <v>195</v>
      </c>
      <c r="B199" s="5" t="inlineStr">
        <is>
          <t>東京都</t>
        </is>
      </c>
      <c r="C199" s="5" t="inlineStr">
        <is>
          <t>町田市</t>
        </is>
      </c>
      <c r="D199" s="5" t="inlineStr">
        <is>
          <t>フェリシア高等学校</t>
        </is>
      </c>
      <c r="E199" s="6" t="inlineStr">
        <is>
          <t>044-988-1126</t>
        </is>
      </c>
      <c r="F199" s="13" t="inlineStr">
        <is>
          <t>中</t>
        </is>
      </c>
      <c r="G199" s="5" t="inlineStr">
        <is>
          <t>普通科</t>
        </is>
      </c>
      <c r="H199" s="8" t="n"/>
      <c r="I199" s="9" t="n"/>
      <c r="J199" s="9" t="inlineStr">
        <is>
          <t>未架電</t>
        </is>
      </c>
      <c r="K199" s="8" t="n"/>
      <c r="L199" s="9" t="n"/>
      <c r="M199" s="10" t="inlineStr">
        <is>
          <t>学校情報サイト1件のみで確認（所在地は町田市、市外局番044）</t>
        </is>
      </c>
      <c r="N199" s="11" t="inlineStr">
        <is>
          <t>https://school.js88.com/scl_h/22039420</t>
        </is>
      </c>
      <c r="O199" s="12" t="inlineStr">
        <is>
          <t>開く</t>
        </is>
      </c>
    </row>
    <row r="200">
      <c r="A200" s="4" t="n">
        <v>196</v>
      </c>
      <c r="B200" s="5" t="inlineStr">
        <is>
          <t>東京都</t>
        </is>
      </c>
      <c r="C200" s="5" t="inlineStr">
        <is>
          <t>渋谷区</t>
        </is>
      </c>
      <c r="D200" s="5" t="inlineStr">
        <is>
          <t>富士見丘高等学校</t>
        </is>
      </c>
      <c r="E200" s="6" t="inlineStr">
        <is>
          <t>03-3376-1481</t>
        </is>
      </c>
      <c r="F200" s="7" t="inlineStr">
        <is>
          <t>高</t>
        </is>
      </c>
      <c r="G200" s="5" t="inlineStr">
        <is>
          <t>普通科</t>
        </is>
      </c>
      <c r="H200" s="8" t="n"/>
      <c r="I200" s="9" t="n"/>
      <c r="J200" s="9" t="inlineStr">
        <is>
          <t>未架電</t>
        </is>
      </c>
      <c r="K200" s="8" t="n"/>
      <c r="L200" s="9" t="n"/>
      <c r="M200" s="10" t="inlineStr">
        <is>
          <t>中高共通。富士見高校（練馬区）とは別の学校</t>
        </is>
      </c>
      <c r="N200" s="11" t="inlineStr">
        <is>
          <t>https://www.inter-edu.com/schools/school/256 ; https://www.minkou.jp/hischool/school/4180/</t>
        </is>
      </c>
      <c r="O200" s="12" t="inlineStr">
        <is>
          <t>開く</t>
        </is>
      </c>
    </row>
    <row r="201">
      <c r="A201" s="4" t="n">
        <v>197</v>
      </c>
      <c r="B201" s="5" t="inlineStr">
        <is>
          <t>東京都</t>
        </is>
      </c>
      <c r="C201" s="5" t="inlineStr">
        <is>
          <t>練馬区</t>
        </is>
      </c>
      <c r="D201" s="5" t="inlineStr">
        <is>
          <t>富士見高等学校</t>
        </is>
      </c>
      <c r="E201" s="6" t="inlineStr">
        <is>
          <t>03-3999-2136</t>
        </is>
      </c>
      <c r="F201" s="7" t="inlineStr">
        <is>
          <t>高</t>
        </is>
      </c>
      <c r="G201" s="5" t="inlineStr">
        <is>
          <t>普通科</t>
        </is>
      </c>
      <c r="H201" s="8" t="n"/>
      <c r="I201" s="9" t="n"/>
      <c r="J201" s="9" t="inlineStr">
        <is>
          <t>未架電</t>
        </is>
      </c>
      <c r="K201" s="8" t="n"/>
      <c r="L201" s="9" t="n"/>
      <c r="M201" s="10" t="inlineStr">
        <is>
          <t>練馬区の一覧と一致。富士見丘高校（渋谷区）とは別の学校</t>
        </is>
      </c>
      <c r="N201" s="11" t="inlineStr">
        <is>
          <t>https://www.city.nerima.tokyo.jp/shisetsu/gakko/koko.html ; https://www.inter-edu.com/schools/school/257</t>
        </is>
      </c>
      <c r="O201" s="12" t="inlineStr">
        <is>
          <t>開く</t>
        </is>
      </c>
    </row>
    <row r="202">
      <c r="A202" s="4" t="n">
        <v>198</v>
      </c>
      <c r="B202" s="5" t="inlineStr">
        <is>
          <t>東京都</t>
        </is>
      </c>
      <c r="C202" s="5" t="inlineStr">
        <is>
          <t>千代田区</t>
        </is>
      </c>
      <c r="D202" s="5" t="inlineStr">
        <is>
          <t>雙葉高等学校</t>
        </is>
      </c>
      <c r="E202" s="6" t="inlineStr">
        <is>
          <t>03-3261-0821</t>
        </is>
      </c>
      <c r="F202" s="7" t="inlineStr">
        <is>
          <t>高</t>
        </is>
      </c>
      <c r="G202" s="5" t="inlineStr">
        <is>
          <t>普通科</t>
        </is>
      </c>
      <c r="H202" s="8" t="n"/>
      <c r="I202" s="9" t="n"/>
      <c r="J202" s="9" t="inlineStr">
        <is>
          <t>未架電</t>
        </is>
      </c>
      <c r="K202" s="8" t="n"/>
      <c r="L202" s="9" t="n"/>
      <c r="M202" s="10" t="inlineStr">
        <is>
          <t>中高共通</t>
        </is>
      </c>
      <c r="N202" s="11" t="inlineStr">
        <is>
          <t>https://www.inter-edu.com/schools/school/68 ; https://www.minkou.jp/junior/school/7479/</t>
        </is>
      </c>
      <c r="O202" s="12" t="inlineStr">
        <is>
          <t>開く</t>
        </is>
      </c>
    </row>
    <row r="203">
      <c r="A203" s="4" t="n">
        <v>199</v>
      </c>
      <c r="B203" s="5" t="inlineStr">
        <is>
          <t>東京都</t>
        </is>
      </c>
      <c r="C203" s="5" t="inlineStr">
        <is>
          <t>港区</t>
        </is>
      </c>
      <c r="D203" s="5" t="inlineStr">
        <is>
          <t>普連土学園高等学校</t>
        </is>
      </c>
      <c r="E203" s="6" t="inlineStr">
        <is>
          <t>03-3451-4616</t>
        </is>
      </c>
      <c r="F203" s="7" t="inlineStr">
        <is>
          <t>高</t>
        </is>
      </c>
      <c r="G203" s="5" t="inlineStr">
        <is>
          <t>普通科</t>
        </is>
      </c>
      <c r="H203" s="8" t="n"/>
      <c r="I203" s="9" t="n"/>
      <c r="J203" s="9" t="inlineStr">
        <is>
          <t>未架電</t>
        </is>
      </c>
      <c r="K203" s="8" t="n"/>
      <c r="L203" s="9" t="n"/>
      <c r="M203" s="10" t="inlineStr">
        <is>
          <t>中高共通</t>
        </is>
      </c>
      <c r="N203" s="11" t="inlineStr">
        <is>
          <t>https://www.inter-edu.com/schools/school/258 ; https://k-doumei.or.jp/wp-content/uploads/2024/09/bd9e3ce9489feb4f707ef4abc1c07b2f.pdf</t>
        </is>
      </c>
      <c r="O203" s="12" t="inlineStr">
        <is>
          <t>開く</t>
        </is>
      </c>
    </row>
    <row r="204">
      <c r="A204" s="4" t="n">
        <v>200</v>
      </c>
      <c r="B204" s="5" t="inlineStr">
        <is>
          <t>東京都</t>
        </is>
      </c>
      <c r="C204" s="5" t="inlineStr">
        <is>
          <t>杉並区</t>
        </is>
      </c>
      <c r="D204" s="5" t="inlineStr">
        <is>
          <t>文化学園大学杉並高等学校</t>
        </is>
      </c>
      <c r="E204" s="6" t="inlineStr">
        <is>
          <t>03-3392-6636</t>
        </is>
      </c>
      <c r="F204" s="7" t="inlineStr">
        <is>
          <t>高</t>
        </is>
      </c>
      <c r="G204" s="5" t="inlineStr">
        <is>
          <t>普通科</t>
        </is>
      </c>
      <c r="H204" s="8" t="n"/>
      <c r="I204" s="9" t="n"/>
      <c r="J204" s="9" t="inlineStr">
        <is>
          <t>未架電</t>
        </is>
      </c>
      <c r="K204" s="8" t="n"/>
      <c r="L204" s="9" t="n"/>
      <c r="M204" s="10" t="inlineStr">
        <is>
          <t>杉並区の一覧と一致</t>
        </is>
      </c>
      <c r="N204" s="11" t="inlineStr">
        <is>
          <t>https://www.city.suginami.tokyo.jp/shisetsu/school/shiritsuko/index.html ; https://www.inter-edu.com/schools/school/69</t>
        </is>
      </c>
      <c r="O204" s="12" t="inlineStr">
        <is>
          <t>開く</t>
        </is>
      </c>
    </row>
    <row r="205">
      <c r="A205" s="4" t="n">
        <v>201</v>
      </c>
      <c r="B205" s="5" t="inlineStr">
        <is>
          <t>東京都</t>
        </is>
      </c>
      <c r="C205" s="5" t="inlineStr">
        <is>
          <t>文京区</t>
        </is>
      </c>
      <c r="D205" s="5" t="inlineStr">
        <is>
          <t>文京学院大学女子高等学校</t>
        </is>
      </c>
      <c r="E205" s="6" t="inlineStr">
        <is>
          <t>03-3946-5301</t>
        </is>
      </c>
      <c r="F205" s="7" t="inlineStr">
        <is>
          <t>高</t>
        </is>
      </c>
      <c r="G205" s="5" t="inlineStr">
        <is>
          <t>普通科</t>
        </is>
      </c>
      <c r="H205" s="8" t="n"/>
      <c r="I205" s="9" t="n"/>
      <c r="J205" s="9" t="inlineStr">
        <is>
          <t>未架電</t>
        </is>
      </c>
      <c r="K205" s="8" t="n"/>
      <c r="L205" s="9" t="n"/>
      <c r="M205" s="10" t="inlineStr">
        <is>
          <t>中高共通</t>
        </is>
      </c>
      <c r="N205" s="11" t="inlineStr">
        <is>
          <t>https://www.inter-edu.com/schools/school/259 ; https://www.bgu.ac.jp/bgu_sys/wp-content/uploads/2026/02/bgu815.pdf</t>
        </is>
      </c>
      <c r="O205" s="12" t="inlineStr">
        <is>
          <t>開く</t>
        </is>
      </c>
    </row>
    <row r="206">
      <c r="A206" s="4" t="n">
        <v>202</v>
      </c>
      <c r="B206" s="5" t="inlineStr">
        <is>
          <t>東京都</t>
        </is>
      </c>
      <c r="C206" s="5" t="inlineStr">
        <is>
          <t>品川区</t>
        </is>
      </c>
      <c r="D206" s="5" t="inlineStr">
        <is>
          <t>文教大学付属高等学校</t>
        </is>
      </c>
      <c r="E206" s="6" t="inlineStr">
        <is>
          <t>03-3783-5511</t>
        </is>
      </c>
      <c r="F206" s="7" t="inlineStr">
        <is>
          <t>高</t>
        </is>
      </c>
      <c r="G206" s="5" t="inlineStr">
        <is>
          <t>普通科</t>
        </is>
      </c>
      <c r="H206" s="8" t="n"/>
      <c r="I206" s="9" t="n"/>
      <c r="J206" s="9" t="inlineStr">
        <is>
          <t>未架電</t>
        </is>
      </c>
      <c r="K206" s="8" t="n"/>
      <c r="L206" s="9" t="n"/>
      <c r="M206" s="10" t="inlineStr">
        <is>
          <t>公式資料に「代表」と記載</t>
        </is>
      </c>
      <c r="N206" s="11" t="inlineStr">
        <is>
          <t>https://www.bunkyo.ac.jp/jsh/news/docs/2020hennyu_02.pdf</t>
        </is>
      </c>
      <c r="O206" s="12" t="inlineStr">
        <is>
          <t>開く</t>
        </is>
      </c>
    </row>
    <row r="207">
      <c r="A207" s="4" t="n">
        <v>203</v>
      </c>
      <c r="B207" s="5" t="inlineStr">
        <is>
          <t>東京都</t>
        </is>
      </c>
      <c r="C207" s="5" t="inlineStr">
        <is>
          <t>三鷹市</t>
        </is>
      </c>
      <c r="D207" s="5" t="inlineStr">
        <is>
          <t>法政大学高等学校</t>
        </is>
      </c>
      <c r="E207" s="6" t="inlineStr">
        <is>
          <t>0422-79-6230</t>
        </is>
      </c>
      <c r="F207" s="7" t="inlineStr">
        <is>
          <t>高</t>
        </is>
      </c>
      <c r="G207" s="5" t="inlineStr">
        <is>
          <t>普通科</t>
        </is>
      </c>
      <c r="H207" s="8" t="n"/>
      <c r="I207" s="9" t="n"/>
      <c r="J207" s="9" t="inlineStr">
        <is>
          <t>未架電</t>
        </is>
      </c>
      <c r="K207" s="8" t="n"/>
      <c r="L207" s="9" t="n"/>
      <c r="M207" s="10" t="inlineStr">
        <is>
          <t>中高共通</t>
        </is>
      </c>
      <c r="N207" s="11" t="inlineStr">
        <is>
          <t>https://school.js88.com/scl_h/22040140 ; https://www.inter-edu.com/schools/school/2007</t>
        </is>
      </c>
      <c r="O207" s="12" t="inlineStr">
        <is>
          <t>開く</t>
        </is>
      </c>
    </row>
    <row r="208">
      <c r="A208" s="4" t="n">
        <v>204</v>
      </c>
      <c r="B208" s="5" t="inlineStr">
        <is>
          <t>東京都</t>
        </is>
      </c>
      <c r="C208" s="5" t="inlineStr">
        <is>
          <t>中野区</t>
        </is>
      </c>
      <c r="D208" s="5" t="inlineStr">
        <is>
          <t>宝仙学園高等学校女子部</t>
        </is>
      </c>
      <c r="E208" s="6" t="inlineStr">
        <is>
          <t>03-3371-7103</t>
        </is>
      </c>
      <c r="F208" s="13" t="inlineStr">
        <is>
          <t>中</t>
        </is>
      </c>
      <c r="G208" s="5" t="inlineStr">
        <is>
          <t>普通科</t>
        </is>
      </c>
      <c r="H208" s="8" t="n"/>
      <c r="I208" s="9" t="n"/>
      <c r="J208" s="9" t="inlineStr">
        <is>
          <t>未架電</t>
        </is>
      </c>
      <c r="K208" s="8" t="n"/>
      <c r="L208" s="9" t="n"/>
      <c r="M208" s="10" t="inlineStr">
        <is>
          <t>学校ネットの一覧に区名がなく、所在地は中野区（中央2-28-3）として調査。理数インターと同じ番号（同じ敷地）</t>
        </is>
      </c>
      <c r="N208" s="11" t="inlineStr">
        <is>
          <t>https://www.inter-edu.com/schools/school/681</t>
        </is>
      </c>
      <c r="O208" s="12" t="inlineStr">
        <is>
          <t>開く</t>
        </is>
      </c>
    </row>
    <row r="209">
      <c r="A209" s="4" t="n">
        <v>205</v>
      </c>
      <c r="B209" s="5" t="inlineStr">
        <is>
          <t>東京都</t>
        </is>
      </c>
      <c r="C209" s="5" t="inlineStr">
        <is>
          <t>中野区</t>
        </is>
      </c>
      <c r="D209" s="5" t="inlineStr">
        <is>
          <t>宝仙学園 順天堂大学系属理数インター高等学校</t>
        </is>
      </c>
      <c r="E209" s="6" t="inlineStr">
        <is>
          <t>03-3371-7103</t>
        </is>
      </c>
      <c r="F209" s="13" t="inlineStr">
        <is>
          <t>中</t>
        </is>
      </c>
      <c r="G209" s="5" t="inlineStr">
        <is>
          <t>普通科</t>
        </is>
      </c>
      <c r="H209" s="8" t="n"/>
      <c r="I209" s="9" t="n"/>
      <c r="J209" s="9" t="inlineStr">
        <is>
          <t>未架電</t>
        </is>
      </c>
      <c r="K209" s="8" t="n"/>
      <c r="L209" s="9" t="n"/>
      <c r="M209" s="10" t="inlineStr">
        <is>
          <t>中高共通。宝仙学園女子部と同じ番号</t>
        </is>
      </c>
      <c r="N209" s="11" t="inlineStr">
        <is>
          <t>https://www.inter-edu.com/schools/school/95</t>
        </is>
      </c>
      <c r="O209" s="12" t="inlineStr">
        <is>
          <t>開く</t>
        </is>
      </c>
    </row>
    <row r="210">
      <c r="A210" s="4" t="n">
        <v>206</v>
      </c>
      <c r="B210" s="5" t="inlineStr">
        <is>
          <t>東京都</t>
        </is>
      </c>
      <c r="C210" s="5" t="inlineStr">
        <is>
          <t>豊島区</t>
        </is>
      </c>
      <c r="D210" s="5" t="inlineStr">
        <is>
          <t>豊南高等学校</t>
        </is>
      </c>
      <c r="E210" s="6" t="inlineStr">
        <is>
          <t>03-3959-5511</t>
        </is>
      </c>
      <c r="F210" s="13" t="inlineStr">
        <is>
          <t>中</t>
        </is>
      </c>
      <c r="G210" s="5" t="inlineStr">
        <is>
          <t>普通科</t>
        </is>
      </c>
      <c r="H210" s="8" t="n"/>
      <c r="I210" s="9" t="n"/>
      <c r="J210" s="9" t="inlineStr">
        <is>
          <t>未架電</t>
        </is>
      </c>
      <c r="K210" s="8" t="n"/>
      <c r="L210" s="9" t="n"/>
      <c r="M210" s="10" t="inlineStr">
        <is>
          <t>学校情報サイト1件のみで確認</t>
        </is>
      </c>
      <c r="N210" s="11" t="inlineStr">
        <is>
          <t>https://www.inter-edu.com/schools/school/682</t>
        </is>
      </c>
      <c r="O210" s="12" t="inlineStr">
        <is>
          <t>開く</t>
        </is>
      </c>
    </row>
    <row r="211">
      <c r="A211" s="4" t="n">
        <v>207</v>
      </c>
      <c r="B211" s="5" t="inlineStr">
        <is>
          <t>東京都</t>
        </is>
      </c>
      <c r="C211" s="5" t="inlineStr">
        <is>
          <t>品川区</t>
        </is>
      </c>
      <c r="D211" s="5" t="inlineStr">
        <is>
          <t>朋優学院高等学校</t>
        </is>
      </c>
      <c r="E211" s="6" t="inlineStr">
        <is>
          <t>03-3784-2131</t>
        </is>
      </c>
      <c r="F211" s="7" t="inlineStr">
        <is>
          <t>高</t>
        </is>
      </c>
      <c r="G211" s="5" t="inlineStr">
        <is>
          <t>普通科</t>
        </is>
      </c>
      <c r="H211" s="8" t="n"/>
      <c r="I211" s="9" t="n"/>
      <c r="J211" s="9" t="inlineStr">
        <is>
          <t>未架電</t>
        </is>
      </c>
      <c r="K211" s="8" t="n"/>
      <c r="L211" s="9" t="n"/>
      <c r="M211" s="10" t="inlineStr">
        <is>
          <t>2つの情報源で一致</t>
        </is>
      </c>
      <c r="N211" s="11" t="inlineStr">
        <is>
          <t>https://www.inter-edu.com/schools/school/680 ; https://www.univpress.co.jp/gk_pdf/13614.pdf</t>
        </is>
      </c>
      <c r="O211" s="12" t="inlineStr">
        <is>
          <t>開く</t>
        </is>
      </c>
    </row>
    <row r="212">
      <c r="A212" s="4" t="n">
        <v>208</v>
      </c>
      <c r="B212" s="5" t="inlineStr">
        <is>
          <t>東京都</t>
        </is>
      </c>
      <c r="C212" s="5" t="inlineStr">
        <is>
          <t>新宿区</t>
        </is>
      </c>
      <c r="D212" s="5" t="inlineStr">
        <is>
          <t>保善高等学校</t>
        </is>
      </c>
      <c r="E212" s="6" t="inlineStr">
        <is>
          <t>03-3209-8756</t>
        </is>
      </c>
      <c r="F212" s="13" t="inlineStr">
        <is>
          <t>中</t>
        </is>
      </c>
      <c r="G212" s="5" t="inlineStr">
        <is>
          <t>普通科</t>
        </is>
      </c>
      <c r="H212" s="8" t="n"/>
      <c r="I212" s="9" t="n"/>
      <c r="J212" s="9" t="inlineStr">
        <is>
          <t>未架電</t>
        </is>
      </c>
      <c r="K212" s="8" t="n"/>
      <c r="L212" s="9" t="n"/>
      <c r="M212" s="10" t="inlineStr">
        <is>
          <t>学校情報サイト1件のみで確認</t>
        </is>
      </c>
      <c r="N212" s="11" t="inlineStr">
        <is>
          <t>https://www.inter-edu.com/schools/school/679</t>
        </is>
      </c>
      <c r="O212" s="12" t="inlineStr">
        <is>
          <t>開く</t>
        </is>
      </c>
    </row>
    <row r="213">
      <c r="A213" s="4" t="n">
        <v>209</v>
      </c>
      <c r="B213" s="5" t="inlineStr">
        <is>
          <t>東京都</t>
        </is>
      </c>
      <c r="C213" s="5" t="inlineStr">
        <is>
          <t>中野区</t>
        </is>
      </c>
      <c r="D213" s="5" t="inlineStr">
        <is>
          <t>堀越高等学校</t>
        </is>
      </c>
      <c r="E213" s="6" t="inlineStr">
        <is>
          <t>03-3363-7661</t>
        </is>
      </c>
      <c r="F213" s="7" t="inlineStr">
        <is>
          <t>高</t>
        </is>
      </c>
      <c r="G213" s="5" t="inlineStr">
        <is>
          <t>普通科</t>
        </is>
      </c>
      <c r="H213" s="8" t="n"/>
      <c r="I213" s="9" t="n"/>
      <c r="J213" s="9" t="inlineStr">
        <is>
          <t>未架電</t>
        </is>
      </c>
      <c r="K213" s="8" t="n"/>
      <c r="L213" s="9" t="n"/>
      <c r="M213" s="10" t="inlineStr">
        <is>
          <t>代表として掲載</t>
        </is>
      </c>
      <c r="N213" s="11" t="inlineStr">
        <is>
          <t>https://www.inter-edu.com/schools/school/1929 ; https://school.js88.com/scl_h/22039490?page=8</t>
        </is>
      </c>
      <c r="O213" s="12" t="inlineStr">
        <is>
          <t>開く</t>
        </is>
      </c>
    </row>
    <row r="214">
      <c r="A214" s="4" t="n">
        <v>210</v>
      </c>
      <c r="B214" s="5" t="inlineStr">
        <is>
          <t>東京都</t>
        </is>
      </c>
      <c r="C214" s="5" t="inlineStr">
        <is>
          <t>豊島区</t>
        </is>
      </c>
      <c r="D214" s="5" t="inlineStr">
        <is>
          <t>本郷高等学校</t>
        </is>
      </c>
      <c r="E214" s="6" t="inlineStr">
        <is>
          <t>03-3917-1456</t>
        </is>
      </c>
      <c r="F214" s="7" t="inlineStr">
        <is>
          <t>高</t>
        </is>
      </c>
      <c r="G214" s="5" t="inlineStr">
        <is>
          <t>普通科</t>
        </is>
      </c>
      <c r="H214" s="8" t="n"/>
      <c r="I214" s="9" t="n"/>
      <c r="J214" s="9" t="inlineStr">
        <is>
          <t>未架電</t>
        </is>
      </c>
      <c r="K214" s="8" t="n"/>
      <c r="L214" s="9" t="n"/>
      <c r="M214" s="10" t="inlineStr">
        <is>
          <t>中高共通</t>
        </is>
      </c>
      <c r="N214" s="11" t="inlineStr">
        <is>
          <t>https://www.minkou.jp/hischool/school/university/4472/s=1/ ; https://www.inter-edu.com/schools/school/82/</t>
        </is>
      </c>
      <c r="O214" s="12" t="inlineStr">
        <is>
          <t>開く</t>
        </is>
      </c>
    </row>
    <row r="215">
      <c r="A215" s="4" t="n">
        <v>211</v>
      </c>
      <c r="B215" s="5" t="inlineStr">
        <is>
          <t>東京都</t>
        </is>
      </c>
      <c r="C215" s="5" t="inlineStr">
        <is>
          <t>世田谷区</t>
        </is>
      </c>
      <c r="D215" s="5" t="inlineStr">
        <is>
          <t>三田国際科学学園高等学校</t>
        </is>
      </c>
      <c r="E215" s="6" t="inlineStr">
        <is>
          <t>03-3707-5676</t>
        </is>
      </c>
      <c r="F215" s="13" t="inlineStr">
        <is>
          <t>中</t>
        </is>
      </c>
      <c r="G215" s="5" t="inlineStr">
        <is>
          <t>普通科</t>
        </is>
      </c>
      <c r="H215" s="8" t="n"/>
      <c r="I215" s="9" t="n"/>
      <c r="J215" s="9" t="inlineStr">
        <is>
          <t>未架電</t>
        </is>
      </c>
      <c r="K215" s="8" t="n"/>
      <c r="L215" s="9" t="n"/>
      <c r="M215" s="10" t="inlineStr">
        <is>
          <t>【校名変更】2025年4月に三田国際学園から改称。中高共通</t>
        </is>
      </c>
      <c r="N215" s="11" t="inlineStr">
        <is>
          <t>https://www.inter-edu.com/schools/school/252</t>
        </is>
      </c>
      <c r="O215" s="12" t="inlineStr">
        <is>
          <t>開く</t>
        </is>
      </c>
    </row>
    <row r="216">
      <c r="A216" s="4" t="n">
        <v>212</v>
      </c>
      <c r="B216" s="5" t="inlineStr">
        <is>
          <t>東京都</t>
        </is>
      </c>
      <c r="C216" s="5" t="inlineStr">
        <is>
          <t>三鷹市</t>
        </is>
      </c>
      <c r="D216" s="5" t="inlineStr">
        <is>
          <t>明星学園高等学校</t>
        </is>
      </c>
      <c r="E216" s="14" t="n"/>
      <c r="F216" s="15" t="inlineStr">
        <is>
          <t>要調査</t>
        </is>
      </c>
      <c r="G216" s="5" t="inlineStr">
        <is>
          <t>普通科</t>
        </is>
      </c>
      <c r="H216" s="8" t="n"/>
      <c r="I216" s="9" t="n"/>
      <c r="J216" s="9" t="inlineStr">
        <is>
          <t>未架電</t>
        </is>
      </c>
      <c r="K216" s="8" t="n"/>
      <c r="L216" s="9" t="n"/>
      <c r="M216" s="10" t="inlineStr">
        <is>
          <t>情報源で番号が食い違い。候補：0422-43-2196（中高共通として複数サイト）／0422-48-6221。明星高校（府中市）とは別の学校</t>
        </is>
      </c>
      <c r="N216" s="11" t="inlineStr">
        <is>
          <t>https://www.inter-edu.com/schools/school/146 ; https://school.js88.com/scl_h/22040160</t>
        </is>
      </c>
      <c r="O216" s="12" t="inlineStr">
        <is>
          <t>開く</t>
        </is>
      </c>
    </row>
    <row r="217">
      <c r="A217" s="4" t="n">
        <v>213</v>
      </c>
      <c r="B217" s="5" t="inlineStr">
        <is>
          <t>東京都</t>
        </is>
      </c>
      <c r="C217" s="5" t="inlineStr">
        <is>
          <t>千代田区</t>
        </is>
      </c>
      <c r="D217" s="5" t="inlineStr">
        <is>
          <t>三輪田学園高等学校</t>
        </is>
      </c>
      <c r="E217" s="6" t="inlineStr">
        <is>
          <t>03-3263-7801</t>
        </is>
      </c>
      <c r="F217" s="7" t="inlineStr">
        <is>
          <t>高</t>
        </is>
      </c>
      <c r="G217" s="5" t="inlineStr">
        <is>
          <t>普通科</t>
        </is>
      </c>
      <c r="H217" s="8" t="n"/>
      <c r="I217" s="9" t="n"/>
      <c r="J217" s="9" t="inlineStr">
        <is>
          <t>未架電</t>
        </is>
      </c>
      <c r="K217" s="8" t="n"/>
      <c r="L217" s="9" t="n"/>
      <c r="M217" s="10" t="inlineStr">
        <is>
          <t>中高共通</t>
        </is>
      </c>
      <c r="N217" s="11" t="inlineStr">
        <is>
          <t>https://www.inter-edu.com/schools/school/70 ; https://www.minkou.jp/junior/school/7488/</t>
        </is>
      </c>
      <c r="O217" s="12" t="inlineStr">
        <is>
          <t>開く</t>
        </is>
      </c>
    </row>
    <row r="218">
      <c r="A218" s="4" t="n">
        <v>214</v>
      </c>
      <c r="B218" s="5" t="inlineStr">
        <is>
          <t>東京都</t>
        </is>
      </c>
      <c r="C218" s="5" t="inlineStr">
        <is>
          <t>練馬区</t>
        </is>
      </c>
      <c r="D218" s="5" t="inlineStr">
        <is>
          <t>武蔵高等学校</t>
        </is>
      </c>
      <c r="E218" s="6" t="inlineStr">
        <is>
          <t>03-5984-3741</t>
        </is>
      </c>
      <c r="F218" s="7" t="inlineStr">
        <is>
          <t>高</t>
        </is>
      </c>
      <c r="G218" s="5" t="inlineStr">
        <is>
          <t>普通科</t>
        </is>
      </c>
      <c r="H218" s="8" t="n"/>
      <c r="I218" s="9" t="n"/>
      <c r="J218" s="9" t="inlineStr">
        <is>
          <t>未架電</t>
        </is>
      </c>
      <c r="K218" s="8" t="n"/>
      <c r="L218" s="9" t="n"/>
      <c r="M218" s="10" t="inlineStr">
        <is>
          <t>中高共通。高校募集なし（完全中高一貫）。武蔵野高校とは別の学校</t>
        </is>
      </c>
      <c r="N218" s="11" t="inlineStr">
        <is>
          <t>https://www.inter-edu.com/schools/school/18</t>
        </is>
      </c>
      <c r="O218" s="12" t="inlineStr">
        <is>
          <t>開く</t>
        </is>
      </c>
    </row>
    <row r="219">
      <c r="A219" s="4" t="n">
        <v>215</v>
      </c>
      <c r="B219" s="5" t="inlineStr">
        <is>
          <t>東京都</t>
        </is>
      </c>
      <c r="C219" s="5" t="inlineStr">
        <is>
          <t>北区</t>
        </is>
      </c>
      <c r="D219" s="5" t="inlineStr">
        <is>
          <t>武蔵野高等学校</t>
        </is>
      </c>
      <c r="E219" s="6" t="inlineStr">
        <is>
          <t>03-3910-0151</t>
        </is>
      </c>
      <c r="F219" s="7" t="inlineStr">
        <is>
          <t>高</t>
        </is>
      </c>
      <c r="G219" s="5" t="inlineStr">
        <is>
          <t>普通科</t>
        </is>
      </c>
      <c r="H219" s="8" t="n"/>
      <c r="I219" s="9" t="n"/>
      <c r="J219" s="9" t="inlineStr">
        <is>
          <t>未架電</t>
        </is>
      </c>
      <c r="K219" s="8" t="n"/>
      <c r="L219" s="9" t="n"/>
      <c r="M219" s="10" t="inlineStr">
        <is>
          <t>北区の学校。武蔵高校・武蔵野大学高校とは別の学校</t>
        </is>
      </c>
      <c r="N219" s="11" t="inlineStr">
        <is>
          <t>https://www.inter-edu.com/schools/school/291 ; https://school.js88.com/scl_h/22038770?page=5</t>
        </is>
      </c>
      <c r="O219" s="12" t="inlineStr">
        <is>
          <t>開く</t>
        </is>
      </c>
    </row>
    <row r="220">
      <c r="A220" s="4" t="n">
        <v>216</v>
      </c>
      <c r="B220" s="5" t="inlineStr">
        <is>
          <t>東京都</t>
        </is>
      </c>
      <c r="C220" s="5" t="inlineStr">
        <is>
          <t>西東京市</t>
        </is>
      </c>
      <c r="D220" s="5" t="inlineStr">
        <is>
          <t>武蔵野大学高等学校</t>
        </is>
      </c>
      <c r="E220" s="6" t="inlineStr">
        <is>
          <t>042-468-3256</t>
        </is>
      </c>
      <c r="F220" s="7" t="inlineStr">
        <is>
          <t>高</t>
        </is>
      </c>
      <c r="G220" s="5" t="inlineStr">
        <is>
          <t>普通科</t>
        </is>
      </c>
      <c r="H220" s="8" t="n"/>
      <c r="I220" s="9" t="n"/>
      <c r="J220" s="9" t="inlineStr">
        <is>
          <t>未架電</t>
        </is>
      </c>
      <c r="K220" s="8" t="n"/>
      <c r="L220" s="9" t="n"/>
      <c r="M220" s="10" t="inlineStr">
        <is>
          <t>中高共通</t>
        </is>
      </c>
      <c r="N220" s="11" t="inlineStr">
        <is>
          <t>https://www.inter-edu.com/schools/school/1976</t>
        </is>
      </c>
      <c r="O220" s="12" t="inlineStr">
        <is>
          <t>開く</t>
        </is>
      </c>
    </row>
    <row r="221">
      <c r="A221" s="4" t="n">
        <v>217</v>
      </c>
      <c r="B221" s="5" t="inlineStr">
        <is>
          <t>東京都</t>
        </is>
      </c>
      <c r="C221" s="5" t="inlineStr">
        <is>
          <t>港区</t>
        </is>
      </c>
      <c r="D221" s="5" t="inlineStr">
        <is>
          <t>明治学院高等学校</t>
        </is>
      </c>
      <c r="E221" s="6" t="inlineStr">
        <is>
          <t>03-5421-5011</t>
        </is>
      </c>
      <c r="F221" s="7" t="inlineStr">
        <is>
          <t>高</t>
        </is>
      </c>
      <c r="G221" s="5" t="inlineStr">
        <is>
          <t>普通科</t>
        </is>
      </c>
      <c r="H221" s="8" t="n"/>
      <c r="I221" s="9" t="n"/>
      <c r="J221" s="9" t="inlineStr">
        <is>
          <t>未架電</t>
        </is>
      </c>
      <c r="K221" s="8" t="n"/>
      <c r="L221" s="9" t="n"/>
      <c r="M221" s="10" t="inlineStr">
        <is>
          <t>代表として掲載</t>
        </is>
      </c>
      <c r="N221" s="11" t="inlineStr">
        <is>
          <t>https://school.js88.com/scl_h/22038230/</t>
        </is>
      </c>
      <c r="O221" s="12" t="inlineStr">
        <is>
          <t>開く</t>
        </is>
      </c>
    </row>
    <row r="222">
      <c r="A222" s="4" t="n">
        <v>218</v>
      </c>
      <c r="B222" s="5" t="inlineStr">
        <is>
          <t>東京都</t>
        </is>
      </c>
      <c r="C222" s="5" t="inlineStr">
        <is>
          <t>東村山市</t>
        </is>
      </c>
      <c r="D222" s="5" t="inlineStr">
        <is>
          <t>明治学院東村山高等学校</t>
        </is>
      </c>
      <c r="E222" s="6" t="inlineStr">
        <is>
          <t>042-391-2142</t>
        </is>
      </c>
      <c r="F222" s="7" t="inlineStr">
        <is>
          <t>高</t>
        </is>
      </c>
      <c r="G222" s="5" t="inlineStr">
        <is>
          <t>普通科</t>
        </is>
      </c>
      <c r="H222" s="8" t="n"/>
      <c r="I222" s="9" t="n"/>
      <c r="J222" s="9" t="inlineStr">
        <is>
          <t>未架電</t>
        </is>
      </c>
      <c r="K222" s="8" t="n"/>
      <c r="L222" s="9" t="n"/>
      <c r="M222" s="10" t="inlineStr">
        <is>
          <t>明治学院中学校と共通</t>
        </is>
      </c>
      <c r="N222" s="11" t="inlineStr">
        <is>
          <t>https://www.inter-edu.com/schools/school/144 ; https://school.js88.com/scl_h/22040060?page=5</t>
        </is>
      </c>
      <c r="O222" s="12" t="inlineStr">
        <is>
          <t>開く</t>
        </is>
      </c>
    </row>
    <row r="223">
      <c r="A223" s="4" t="n">
        <v>219</v>
      </c>
      <c r="B223" s="5" t="inlineStr">
        <is>
          <t>東京都</t>
        </is>
      </c>
      <c r="C223" s="5" t="inlineStr">
        <is>
          <t>世田谷区</t>
        </is>
      </c>
      <c r="D223" s="5" t="inlineStr">
        <is>
          <t>明治大学付属世田谷高等学校</t>
        </is>
      </c>
      <c r="E223" s="6" t="inlineStr">
        <is>
          <t>03-3322-6331</t>
        </is>
      </c>
      <c r="F223" s="7" t="inlineStr">
        <is>
          <t>高</t>
        </is>
      </c>
      <c r="G223" s="5" t="inlineStr">
        <is>
          <t>普通科</t>
        </is>
      </c>
      <c r="H223" s="8" t="n"/>
      <c r="I223" s="9" t="n"/>
      <c r="J223" s="9" t="inlineStr">
        <is>
          <t>未架電</t>
        </is>
      </c>
      <c r="K223" s="8" t="n"/>
      <c r="L223" s="9" t="n"/>
      <c r="M223" s="10" t="inlineStr">
        <is>
          <t>【校名変更】旧 日本学園高校（2026年4月に改称）</t>
        </is>
      </c>
      <c r="N223" s="11" t="inlineStr">
        <is>
          <t>https://www.inter-edu.com/schools/school/2042</t>
        </is>
      </c>
      <c r="O223" s="12" t="inlineStr">
        <is>
          <t>開く</t>
        </is>
      </c>
    </row>
    <row r="224">
      <c r="A224" s="4" t="n">
        <v>220</v>
      </c>
      <c r="B224" s="5" t="inlineStr">
        <is>
          <t>東京都</t>
        </is>
      </c>
      <c r="C224" s="5" t="inlineStr">
        <is>
          <t>中野区</t>
        </is>
      </c>
      <c r="D224" s="5" t="inlineStr">
        <is>
          <t>明治大学付属中野高等学校</t>
        </is>
      </c>
      <c r="E224" s="6" t="inlineStr">
        <is>
          <t>03-3362-8704</t>
        </is>
      </c>
      <c r="F224" s="7" t="inlineStr">
        <is>
          <t>高</t>
        </is>
      </c>
      <c r="G224" s="5" t="inlineStr">
        <is>
          <t>普通科</t>
        </is>
      </c>
      <c r="H224" s="8" t="n"/>
      <c r="I224" s="9" t="n"/>
      <c r="J224" s="9" t="inlineStr">
        <is>
          <t>未架電</t>
        </is>
      </c>
      <c r="K224" s="8" t="n"/>
      <c r="L224" s="9" t="n"/>
      <c r="M224" s="10" t="inlineStr">
        <is>
          <t>中高共通</t>
        </is>
      </c>
      <c r="N224" s="11" t="inlineStr">
        <is>
          <t>https://www.inter-edu.com/schools/school/1948</t>
        </is>
      </c>
      <c r="O224" s="12" t="inlineStr">
        <is>
          <t>開く</t>
        </is>
      </c>
    </row>
    <row r="225">
      <c r="A225" s="4" t="n">
        <v>221</v>
      </c>
      <c r="B225" s="5" t="inlineStr">
        <is>
          <t>東京都</t>
        </is>
      </c>
      <c r="C225" s="5" t="inlineStr">
        <is>
          <t>八王子市</t>
        </is>
      </c>
      <c r="D225" s="5" t="inlineStr">
        <is>
          <t>明治大学付属八王子高等学校</t>
        </is>
      </c>
      <c r="E225" s="6" t="inlineStr">
        <is>
          <t>042-691-0321</t>
        </is>
      </c>
      <c r="F225" s="7" t="inlineStr">
        <is>
          <t>高</t>
        </is>
      </c>
      <c r="G225" s="5" t="inlineStr">
        <is>
          <t>普通科</t>
        </is>
      </c>
      <c r="H225" s="8" t="n"/>
      <c r="I225" s="9" t="n"/>
      <c r="J225" s="9" t="inlineStr">
        <is>
          <t>未架電</t>
        </is>
      </c>
      <c r="K225" s="8" t="n"/>
      <c r="L225" s="9" t="n"/>
      <c r="M225" s="10" t="inlineStr">
        <is>
          <t>2024年に「明治大学付属中野八王子」から改称。複数サイトで一致</t>
        </is>
      </c>
      <c r="N225" s="11" t="inlineStr">
        <is>
          <t>https://www.inter-edu.com/schools/school/1967</t>
        </is>
      </c>
      <c r="O225" s="12" t="inlineStr">
        <is>
          <t>開く</t>
        </is>
      </c>
    </row>
    <row r="226">
      <c r="A226" s="4" t="n">
        <v>222</v>
      </c>
      <c r="B226" s="5" t="inlineStr">
        <is>
          <t>東京都</t>
        </is>
      </c>
      <c r="C226" s="5" t="inlineStr">
        <is>
          <t>調布市</t>
        </is>
      </c>
      <c r="D226" s="5" t="inlineStr">
        <is>
          <t>明治大学付属明治高等学校</t>
        </is>
      </c>
      <c r="E226" s="6" t="inlineStr">
        <is>
          <t>042-444-9100</t>
        </is>
      </c>
      <c r="F226" s="7" t="inlineStr">
        <is>
          <t>高</t>
        </is>
      </c>
      <c r="G226" s="5" t="inlineStr">
        <is>
          <t>普通科</t>
        </is>
      </c>
      <c r="H226" s="8" t="n"/>
      <c r="I226" s="9" t="n"/>
      <c r="J226" s="9" t="inlineStr">
        <is>
          <t>未架電</t>
        </is>
      </c>
      <c r="K226" s="8" t="n"/>
      <c r="L226" s="9" t="n"/>
      <c r="M226" s="10" t="inlineStr">
        <is>
          <t>中高共通。公式資料の事務室の番号（新しい公式資料には042-444-9101の記載もあり）</t>
        </is>
      </c>
      <c r="N226" s="11" t="inlineStr">
        <is>
          <t>https://www.meiji.ac.jp/ko_chu/admission/ujnu1b0000000aab-att/a1568003491541.pdf ; https://school.js88.com/scl_h/22038060</t>
        </is>
      </c>
      <c r="O226" s="12" t="inlineStr">
        <is>
          <t>開く</t>
        </is>
      </c>
    </row>
    <row r="227">
      <c r="A227" s="4" t="n">
        <v>223</v>
      </c>
      <c r="B227" s="5" t="inlineStr">
        <is>
          <t>東京都</t>
        </is>
      </c>
      <c r="C227" s="5" t="inlineStr">
        <is>
          <t>府中市</t>
        </is>
      </c>
      <c r="D227" s="5" t="inlineStr">
        <is>
          <t>明星高等学校（東京都）</t>
        </is>
      </c>
      <c r="E227" s="6" t="inlineStr">
        <is>
          <t>042-368-5201</t>
        </is>
      </c>
      <c r="F227" s="7" t="inlineStr">
        <is>
          <t>高</t>
        </is>
      </c>
      <c r="G227" s="5" t="inlineStr">
        <is>
          <t>普通科</t>
        </is>
      </c>
      <c r="H227" s="8" t="n"/>
      <c r="I227" s="9" t="n"/>
      <c r="J227" s="9" t="inlineStr">
        <is>
          <t>未架電</t>
        </is>
      </c>
      <c r="K227" s="8" t="n"/>
      <c r="L227" s="9" t="n"/>
      <c r="M227" s="10" t="inlineStr">
        <is>
          <t>中高共通。府中市の学校で、明星学園（三鷹市）とは別の学校</t>
        </is>
      </c>
      <c r="N227" s="11" t="inlineStr">
        <is>
          <t>https://www.inter-edu.com/schools/school/2009</t>
        </is>
      </c>
      <c r="O227" s="12" t="inlineStr">
        <is>
          <t>開く</t>
        </is>
      </c>
    </row>
    <row r="228">
      <c r="A228" s="4" t="n">
        <v>224</v>
      </c>
      <c r="B228" s="5" t="inlineStr">
        <is>
          <t>東京都</t>
        </is>
      </c>
      <c r="C228" s="5" t="inlineStr">
        <is>
          <t>東村山市</t>
        </is>
      </c>
      <c r="D228" s="5" t="inlineStr">
        <is>
          <t>明法高等学校</t>
        </is>
      </c>
      <c r="E228" s="6" t="inlineStr">
        <is>
          <t>042-393-5611</t>
        </is>
      </c>
      <c r="F228" s="7" t="inlineStr">
        <is>
          <t>高</t>
        </is>
      </c>
      <c r="G228" s="5" t="inlineStr">
        <is>
          <t>普通科</t>
        </is>
      </c>
      <c r="H228" s="8" t="n"/>
      <c r="I228" s="9" t="n"/>
      <c r="J228" s="9" t="inlineStr">
        <is>
          <t>未架電</t>
        </is>
      </c>
      <c r="K228" s="8" t="n"/>
      <c r="L228" s="9" t="n"/>
      <c r="M228" s="10" t="inlineStr">
        <is>
          <t>中高共通。複数ページで一致</t>
        </is>
      </c>
      <c r="N228" s="11" t="inlineStr">
        <is>
          <t>https://www.inter-edu.com/schools/school/1981</t>
        </is>
      </c>
      <c r="O228" s="12" t="inlineStr">
        <is>
          <t>開く</t>
        </is>
      </c>
    </row>
    <row r="229">
      <c r="A229" s="4" t="n">
        <v>225</v>
      </c>
      <c r="B229" s="5" t="inlineStr">
        <is>
          <t>東京都</t>
        </is>
      </c>
      <c r="C229" s="5" t="inlineStr">
        <is>
          <t>目黒区</t>
        </is>
      </c>
      <c r="D229" s="5" t="inlineStr">
        <is>
          <t>目黒学院高等学校</t>
        </is>
      </c>
      <c r="E229" s="6" t="inlineStr">
        <is>
          <t>03-3711-6556</t>
        </is>
      </c>
      <c r="F229" s="7" t="inlineStr">
        <is>
          <t>高</t>
        </is>
      </c>
      <c r="G229" s="5" t="inlineStr">
        <is>
          <t>普通科</t>
        </is>
      </c>
      <c r="H229" s="8" t="n"/>
      <c r="I229" s="9" t="n"/>
      <c r="J229" s="9" t="inlineStr">
        <is>
          <t>未架電</t>
        </is>
      </c>
      <c r="K229" s="8" t="n"/>
      <c r="L229" s="9" t="n"/>
      <c r="M229" s="10" t="inlineStr">
        <is>
          <t>複数サイトで一致</t>
        </is>
      </c>
      <c r="N229" s="11" t="inlineStr">
        <is>
          <t>https://www.inter-edu.com/schools/school/193</t>
        </is>
      </c>
      <c r="O229" s="12" t="inlineStr">
        <is>
          <t>開く</t>
        </is>
      </c>
    </row>
    <row r="230">
      <c r="A230" s="4" t="n">
        <v>226</v>
      </c>
      <c r="B230" s="5" t="inlineStr">
        <is>
          <t>東京都</t>
        </is>
      </c>
      <c r="C230" s="5" t="inlineStr">
        <is>
          <t>目黒区</t>
        </is>
      </c>
      <c r="D230" s="5" t="inlineStr">
        <is>
          <t>目黒日本大学高等学校</t>
        </is>
      </c>
      <c r="E230" s="6" t="inlineStr">
        <is>
          <t>03-3492-3388</t>
        </is>
      </c>
      <c r="F230" s="7" t="inlineStr">
        <is>
          <t>高</t>
        </is>
      </c>
      <c r="G230" s="5" t="inlineStr">
        <is>
          <t>普通科</t>
        </is>
      </c>
      <c r="H230" s="8" t="n"/>
      <c r="I230" s="9" t="n"/>
      <c r="J230" s="9" t="inlineStr">
        <is>
          <t>未架電</t>
        </is>
      </c>
      <c r="K230" s="8" t="n"/>
      <c r="L230" s="9" t="n"/>
      <c r="M230" s="10" t="inlineStr">
        <is>
          <t>全日制の番号。通信制課程は03-3492-6674。2019年に日出高校から改称</t>
        </is>
      </c>
      <c r="N230" s="11" t="inlineStr">
        <is>
          <t>https://www.inter-edu.com/schools/school/2107 ; https://www.univpress.co.jp/gk_pdf/13623.pdf</t>
        </is>
      </c>
      <c r="O230" s="12" t="inlineStr">
        <is>
          <t>開く</t>
        </is>
      </c>
    </row>
    <row r="231">
      <c r="A231" s="4" t="n">
        <v>227</v>
      </c>
      <c r="B231" s="5" t="inlineStr">
        <is>
          <t>東京都</t>
        </is>
      </c>
      <c r="C231" s="5" t="inlineStr">
        <is>
          <t>新宿区</t>
        </is>
      </c>
      <c r="D231" s="5" t="inlineStr">
        <is>
          <t>目白研心高等学校</t>
        </is>
      </c>
      <c r="E231" s="6" t="inlineStr">
        <is>
          <t>03-5996-3133</t>
        </is>
      </c>
      <c r="F231" s="13" t="inlineStr">
        <is>
          <t>中</t>
        </is>
      </c>
      <c r="G231" s="5" t="inlineStr">
        <is>
          <t>普通科</t>
        </is>
      </c>
      <c r="H231" s="8" t="n"/>
      <c r="I231" s="9" t="n"/>
      <c r="J231" s="9" t="inlineStr">
        <is>
          <t>未架電</t>
        </is>
      </c>
      <c r="K231" s="8" t="n"/>
      <c r="L231" s="9" t="n"/>
      <c r="M231" s="10" t="inlineStr">
        <is>
          <t>広報部の番号とするサイトあり。代表は03-5996-3131の可能性</t>
        </is>
      </c>
      <c r="N231" s="11" t="inlineStr">
        <is>
          <t>https://www.inter-edu.com/schools/school/2011 ; https://school.js88.com/scl_h/22038300</t>
        </is>
      </c>
      <c r="O231" s="12" t="inlineStr">
        <is>
          <t>開く</t>
        </is>
      </c>
    </row>
    <row r="232">
      <c r="A232" s="4" t="n">
        <v>228</v>
      </c>
      <c r="B232" s="5" t="inlineStr">
        <is>
          <t>東京都</t>
        </is>
      </c>
      <c r="C232" s="5" t="inlineStr">
        <is>
          <t>目黒区</t>
        </is>
      </c>
      <c r="D232" s="5" t="inlineStr">
        <is>
          <t>八雲学園高等学校</t>
        </is>
      </c>
      <c r="E232" s="6" t="inlineStr">
        <is>
          <t>03-3717-1196</t>
        </is>
      </c>
      <c r="F232" s="7" t="inlineStr">
        <is>
          <t>高</t>
        </is>
      </c>
      <c r="G232" s="5" t="inlineStr">
        <is>
          <t>普通科</t>
        </is>
      </c>
      <c r="H232" s="8" t="n"/>
      <c r="I232" s="9" t="n"/>
      <c r="J232" s="9" t="inlineStr">
        <is>
          <t>未架電</t>
        </is>
      </c>
      <c r="K232" s="8" t="n"/>
      <c r="L232" s="9" t="n"/>
      <c r="M232" s="10" t="inlineStr">
        <is>
          <t>中高共通</t>
        </is>
      </c>
      <c r="N232" s="11" t="inlineStr">
        <is>
          <t>https://www.inter-edu.com/schools/school/2084</t>
        </is>
      </c>
      <c r="O232" s="12" t="inlineStr">
        <is>
          <t>開く</t>
        </is>
      </c>
    </row>
    <row r="233">
      <c r="A233" s="4" t="n">
        <v>229</v>
      </c>
      <c r="B233" s="5" t="inlineStr">
        <is>
          <t>東京都</t>
        </is>
      </c>
      <c r="C233" s="5" t="inlineStr">
        <is>
          <t>墨田区</t>
        </is>
      </c>
      <c r="D233" s="5" t="inlineStr">
        <is>
          <t>安田学園高等学校</t>
        </is>
      </c>
      <c r="E233" s="6" t="inlineStr">
        <is>
          <t>03-3624-2666</t>
        </is>
      </c>
      <c r="F233" s="7" t="inlineStr">
        <is>
          <t>高</t>
        </is>
      </c>
      <c r="G233" s="5" t="inlineStr">
        <is>
          <t>普通科</t>
        </is>
      </c>
      <c r="H233" s="8" t="n"/>
      <c r="I233" s="9" t="n"/>
      <c r="J233" s="9" t="inlineStr">
        <is>
          <t>未架電</t>
        </is>
      </c>
      <c r="K233" s="8" t="n"/>
      <c r="L233" s="9" t="n"/>
      <c r="M233" s="10" t="inlineStr">
        <is>
          <t>公式資料に「代表」と記載</t>
        </is>
      </c>
      <c r="N233" s="11" t="inlineStr">
        <is>
          <t>https://www.yasuda.ed.jp/wordpress/wp-content/uploads/2025/09/20250922-68d0e3d53964f.pdf</t>
        </is>
      </c>
      <c r="O233" s="12" t="inlineStr">
        <is>
          <t>開く</t>
        </is>
      </c>
    </row>
    <row r="234">
      <c r="A234" s="4" t="n">
        <v>230</v>
      </c>
      <c r="B234" s="5" t="inlineStr">
        <is>
          <t>東京都</t>
        </is>
      </c>
      <c r="C234" s="5" t="inlineStr">
        <is>
          <t>港区</t>
        </is>
      </c>
      <c r="D234" s="5" t="inlineStr">
        <is>
          <t>山脇学園高等学校</t>
        </is>
      </c>
      <c r="E234" s="6" t="inlineStr">
        <is>
          <t>03-3585-3911</t>
        </is>
      </c>
      <c r="F234" s="7" t="inlineStr">
        <is>
          <t>高</t>
        </is>
      </c>
      <c r="G234" s="5" t="inlineStr">
        <is>
          <t>普通科</t>
        </is>
      </c>
      <c r="H234" s="8" t="n"/>
      <c r="I234" s="9" t="n"/>
      <c r="J234" s="9" t="inlineStr">
        <is>
          <t>未架電</t>
        </is>
      </c>
      <c r="K234" s="8" t="n"/>
      <c r="L234" s="9" t="n"/>
      <c r="M234" s="10" t="inlineStr">
        <is>
          <t>中高共通。公式資料で確認</t>
        </is>
      </c>
      <c r="N234" s="11" t="inlineStr">
        <is>
          <t>https://www.yamawaki.ed.jp/wordpress/wp-content/uploads/2025/07/2026yamawaki_youkou_ippan.pdf ; https://www.inter-edu.com/schools/school/261</t>
        </is>
      </c>
      <c r="O234" s="12" t="inlineStr">
        <is>
          <t>開く</t>
        </is>
      </c>
    </row>
    <row r="235">
      <c r="A235" s="4" t="n">
        <v>231</v>
      </c>
      <c r="B235" s="5" t="inlineStr">
        <is>
          <t>東京都</t>
        </is>
      </c>
      <c r="C235" s="5" t="inlineStr">
        <is>
          <t>豊島区</t>
        </is>
      </c>
      <c r="D235" s="5" t="inlineStr">
        <is>
          <t>立教池袋高等学校</t>
        </is>
      </c>
      <c r="E235" s="6" t="inlineStr">
        <is>
          <t>03-3985-2707</t>
        </is>
      </c>
      <c r="F235" s="7" t="inlineStr">
        <is>
          <t>高</t>
        </is>
      </c>
      <c r="G235" s="5" t="inlineStr">
        <is>
          <t>普通科</t>
        </is>
      </c>
      <c r="H235" s="8" t="n"/>
      <c r="I235" s="9" t="n"/>
      <c r="J235" s="9" t="inlineStr">
        <is>
          <t>未架電</t>
        </is>
      </c>
      <c r="K235" s="8" t="n"/>
      <c r="L235" s="9" t="n"/>
      <c r="M235" s="10" t="inlineStr">
        <is>
          <t>中高共通</t>
        </is>
      </c>
      <c r="N235" s="11" t="inlineStr">
        <is>
          <t>https://www.inter-edu.com/schools/school/2043</t>
        </is>
      </c>
      <c r="O235" s="12" t="inlineStr">
        <is>
          <t>開く</t>
        </is>
      </c>
    </row>
    <row r="236">
      <c r="A236" s="4" t="n">
        <v>232</v>
      </c>
      <c r="B236" s="5" t="inlineStr">
        <is>
          <t>東京都</t>
        </is>
      </c>
      <c r="C236" s="5" t="inlineStr">
        <is>
          <t>豊島区</t>
        </is>
      </c>
      <c r="D236" s="5" t="inlineStr">
        <is>
          <t>立教英国学院高等部</t>
        </is>
      </c>
      <c r="E236" s="14" t="n"/>
      <c r="F236" s="15" t="inlineStr">
        <is>
          <t>要調査</t>
        </is>
      </c>
      <c r="G236" s="5" t="inlineStr">
        <is>
          <t>普通科</t>
        </is>
      </c>
      <c r="H236" s="8" t="n"/>
      <c r="I236" s="9" t="n"/>
      <c r="J236" s="9" t="inlineStr">
        <is>
          <t>未架電</t>
        </is>
      </c>
      <c r="K236" s="8" t="n"/>
      <c r="L236" s="9" t="n"/>
      <c r="M236" s="10" t="inlineStr">
        <is>
          <t>学校本体は英国。東京事務所（立教学院内）の番号として03-3985-2785が1サイトに掲載。公式の問い合わせ先は英国の番号</t>
        </is>
      </c>
      <c r="N236" s="11" t="inlineStr">
        <is>
          <t>https://www.gakkou.net/chugaku/view/index_227851.html</t>
        </is>
      </c>
      <c r="O236" s="12" t="inlineStr">
        <is>
          <t>開く</t>
        </is>
      </c>
    </row>
    <row r="237">
      <c r="A237" s="4" t="n">
        <v>233</v>
      </c>
      <c r="B237" s="5" t="inlineStr">
        <is>
          <t>東京都</t>
        </is>
      </c>
      <c r="C237" s="5" t="inlineStr">
        <is>
          <t>杉並区</t>
        </is>
      </c>
      <c r="D237" s="5" t="inlineStr">
        <is>
          <t>立教女学院高等学校</t>
        </is>
      </c>
      <c r="E237" s="6" t="inlineStr">
        <is>
          <t>03-3334-5103</t>
        </is>
      </c>
      <c r="F237" s="7" t="inlineStr">
        <is>
          <t>高</t>
        </is>
      </c>
      <c r="G237" s="5" t="inlineStr">
        <is>
          <t>普通科</t>
        </is>
      </c>
      <c r="H237" s="8" t="n"/>
      <c r="I237" s="9" t="n"/>
      <c r="J237" s="9" t="inlineStr">
        <is>
          <t>未架電</t>
        </is>
      </c>
      <c r="K237" s="8" t="n"/>
      <c r="L237" s="9" t="n"/>
      <c r="M237" s="10" t="inlineStr">
        <is>
          <t>中高共通。杉並区の一覧で確認</t>
        </is>
      </c>
      <c r="N237" s="11" t="inlineStr">
        <is>
          <t>https://www.city.suginami.tokyo.jp/shisetsu/school/shiritsuko/index.html</t>
        </is>
      </c>
      <c r="O237" s="12" t="inlineStr">
        <is>
          <t>開く</t>
        </is>
      </c>
    </row>
    <row r="238">
      <c r="A238" s="4" t="n">
        <v>234</v>
      </c>
      <c r="B238" s="5" t="inlineStr">
        <is>
          <t>東京都</t>
        </is>
      </c>
      <c r="C238" s="5" t="inlineStr">
        <is>
          <t>墨田区</t>
        </is>
      </c>
      <c r="D238" s="5" t="inlineStr">
        <is>
          <t>立志舎高等学校</t>
        </is>
      </c>
      <c r="E238" s="6" t="inlineStr">
        <is>
          <t>03-5608-1033</t>
        </is>
      </c>
      <c r="F238" s="13" t="inlineStr">
        <is>
          <t>中</t>
        </is>
      </c>
      <c r="G238" s="5" t="inlineStr">
        <is>
          <t>普通科</t>
        </is>
      </c>
      <c r="H238" s="8" t="n"/>
      <c r="I238" s="9" t="n"/>
      <c r="J238" s="9" t="inlineStr">
        <is>
          <t>未架電</t>
        </is>
      </c>
      <c r="K238" s="8" t="n"/>
      <c r="L238" s="9" t="n"/>
      <c r="M238" s="10" t="inlineStr">
        <is>
          <t>通信制。東京都の通信制一覧のみで確認</t>
        </is>
      </c>
      <c r="N238" s="11" t="inlineStr">
        <is>
          <t>https://www.seikatubunka.metro.tokyo.lg.jp/documents/d/seikatubunka/13high_tushin_r61201</t>
        </is>
      </c>
      <c r="O238" s="12" t="inlineStr">
        <is>
          <t>開く</t>
        </is>
      </c>
    </row>
    <row r="239">
      <c r="A239" s="4" t="n">
        <v>235</v>
      </c>
      <c r="B239" s="5" t="inlineStr">
        <is>
          <t>東京都</t>
        </is>
      </c>
      <c r="C239" s="5" t="inlineStr">
        <is>
          <t>大田区</t>
        </is>
      </c>
      <c r="D239" s="5" t="inlineStr">
        <is>
          <t>立正大学付属立正高等学校</t>
        </is>
      </c>
      <c r="E239" s="6" t="inlineStr">
        <is>
          <t>03-6303-7683</t>
        </is>
      </c>
      <c r="F239" s="7" t="inlineStr">
        <is>
          <t>高</t>
        </is>
      </c>
      <c r="G239" s="5" t="inlineStr">
        <is>
          <t>普通科</t>
        </is>
      </c>
      <c r="H239" s="8" t="n"/>
      <c r="I239" s="9" t="n"/>
      <c r="J239" s="9" t="inlineStr">
        <is>
          <t>未架電</t>
        </is>
      </c>
      <c r="K239" s="8" t="n"/>
      <c r="L239" s="9" t="n"/>
      <c r="M239" s="10" t="inlineStr">
        <is>
          <t>中高共通。公式の学校案内で確認</t>
        </is>
      </c>
      <c r="N239" s="11" t="inlineStr">
        <is>
          <t>https://www.rissho-hs.ac.jp/material/data/request/RisshoJHguide2026.pdf</t>
        </is>
      </c>
      <c r="O239" s="12" t="inlineStr">
        <is>
          <t>開く</t>
        </is>
      </c>
    </row>
    <row r="240">
      <c r="A240" s="4" t="n">
        <v>236</v>
      </c>
      <c r="B240" s="5" t="inlineStr">
        <is>
          <t>東京都</t>
        </is>
      </c>
      <c r="C240" s="5" t="inlineStr">
        <is>
          <t>町田市</t>
        </is>
      </c>
      <c r="D240" s="5" t="inlineStr">
        <is>
          <t>和光高等学校</t>
        </is>
      </c>
      <c r="E240" s="14" t="n"/>
      <c r="F240" s="15" t="inlineStr">
        <is>
          <t>要調査</t>
        </is>
      </c>
      <c r="G240" s="5" t="inlineStr">
        <is>
          <t>普通科</t>
        </is>
      </c>
      <c r="H240" s="8" t="n"/>
      <c r="I240" s="9" t="n"/>
      <c r="J240" s="9" t="inlineStr">
        <is>
          <t>未架電</t>
        </is>
      </c>
      <c r="K240" s="8" t="n"/>
      <c r="L240" s="9" t="n"/>
      <c r="M240" s="10" t="inlineStr">
        <is>
          <t>情報源で番号が食い違い。候補：042-734-3401（代表とする情報あり）／042-734-3402／042-734-3403</t>
        </is>
      </c>
      <c r="N240" s="11" t="inlineStr">
        <is>
          <t>https://school.js88.com/scl_h/22039400 ; https://www.inter-edu.com/schools/school/2012</t>
        </is>
      </c>
      <c r="O240" s="12" t="inlineStr">
        <is>
          <t>開く</t>
        </is>
      </c>
    </row>
    <row r="241">
      <c r="A241" s="4" t="n">
        <v>237</v>
      </c>
      <c r="B241" s="5" t="inlineStr">
        <is>
          <t>東京都</t>
        </is>
      </c>
      <c r="C241" s="5" t="inlineStr">
        <is>
          <t>新宿区</t>
        </is>
      </c>
      <c r="D241" s="5" t="inlineStr">
        <is>
          <t>早稲田高等学校</t>
        </is>
      </c>
      <c r="E241" s="6" t="inlineStr">
        <is>
          <t>03-3202-7674</t>
        </is>
      </c>
      <c r="F241" s="7" t="inlineStr">
        <is>
          <t>高</t>
        </is>
      </c>
      <c r="G241" s="5" t="inlineStr">
        <is>
          <t>普通科</t>
        </is>
      </c>
      <c r="H241" s="8" t="n"/>
      <c r="I241" s="9" t="n"/>
      <c r="J241" s="9" t="inlineStr">
        <is>
          <t>未架電</t>
        </is>
      </c>
      <c r="K241" s="8" t="n"/>
      <c r="L241" s="9" t="n"/>
      <c r="M241" s="10" t="inlineStr">
        <is>
          <t>中高共通</t>
        </is>
      </c>
      <c r="N241" s="11" t="inlineStr">
        <is>
          <t>https://school.js88.com/scl_h/22038310 ; https://www.inter-edu.com/schools/school/22</t>
        </is>
      </c>
      <c r="O241" s="12" t="inlineStr">
        <is>
          <t>開く</t>
        </is>
      </c>
    </row>
    <row r="242">
      <c r="A242" s="4" t="n">
        <v>238</v>
      </c>
      <c r="B242" s="5" t="inlineStr">
        <is>
          <t>東京都</t>
        </is>
      </c>
      <c r="C242" s="5" t="inlineStr">
        <is>
          <t>国分寺市</t>
        </is>
      </c>
      <c r="D242" s="5" t="inlineStr">
        <is>
          <t>早稲田実業学校高等部</t>
        </is>
      </c>
      <c r="E242" s="6" t="inlineStr">
        <is>
          <t>042-300-2121</t>
        </is>
      </c>
      <c r="F242" s="13" t="inlineStr">
        <is>
          <t>中</t>
        </is>
      </c>
      <c r="G242" s="5" t="inlineStr">
        <is>
          <t>普通科</t>
        </is>
      </c>
      <c r="H242" s="8" t="n"/>
      <c r="I242" s="9" t="n"/>
      <c r="J242" s="9" t="inlineStr">
        <is>
          <t>未架電</t>
        </is>
      </c>
      <c r="K242" s="8" t="n"/>
      <c r="L242" s="9" t="n"/>
      <c r="M242" s="10" t="inlineStr">
        <is>
          <t>中等部・高等部共通。学校情報サイトのみで確認</t>
        </is>
      </c>
      <c r="N242" s="11" t="inlineStr">
        <is>
          <t>https://www.inter-edu.com/schools/school/2176</t>
        </is>
      </c>
      <c r="O242" s="12" t="inlineStr">
        <is>
          <t>開く</t>
        </is>
      </c>
    </row>
    <row r="243">
      <c r="A243" s="4" t="n">
        <v>239</v>
      </c>
      <c r="B243" s="5" t="inlineStr">
        <is>
          <t>東京都</t>
        </is>
      </c>
      <c r="C243" s="5" t="inlineStr">
        <is>
          <t>練馬区</t>
        </is>
      </c>
      <c r="D243" s="5" t="inlineStr">
        <is>
          <t>早稲田大学高等学院</t>
        </is>
      </c>
      <c r="E243" s="6" t="inlineStr">
        <is>
          <t>03-5991-4156</t>
        </is>
      </c>
      <c r="F243" s="13" t="inlineStr">
        <is>
          <t>中</t>
        </is>
      </c>
      <c r="G243" s="5" t="inlineStr">
        <is>
          <t>普通科</t>
        </is>
      </c>
      <c r="H243" s="8" t="n"/>
      <c r="I243" s="9" t="n"/>
      <c r="J243" s="9" t="inlineStr">
        <is>
          <t>未架電</t>
        </is>
      </c>
      <c r="K243" s="8" t="n"/>
      <c r="L243" s="9" t="n"/>
      <c r="M243" s="10" t="inlineStr">
        <is>
          <t>公式サイトの事務所の番号（「代表」の表記なし）。入試専用は03-5991-4210</t>
        </is>
      </c>
      <c r="N243" s="11" t="inlineStr">
        <is>
          <t>https://www.waseda.jp/school/shs/access/</t>
        </is>
      </c>
      <c r="O243" s="12" t="inlineStr">
        <is>
          <t>開く</t>
        </is>
      </c>
    </row>
    <row r="244">
      <c r="A244" s="4" t="n">
        <v>240</v>
      </c>
      <c r="B244" s="5" t="inlineStr">
        <is>
          <t>東京都</t>
        </is>
      </c>
      <c r="C244" s="5" t="inlineStr">
        <is>
          <t>千代田区</t>
        </is>
      </c>
      <c r="D244" s="5" t="inlineStr">
        <is>
          <t>和洋九段女子高等学校</t>
        </is>
      </c>
      <c r="E244" s="6" t="inlineStr">
        <is>
          <t>03-3262-4161</t>
        </is>
      </c>
      <c r="F244" s="7" t="inlineStr">
        <is>
          <t>高</t>
        </is>
      </c>
      <c r="G244" s="5" t="inlineStr">
        <is>
          <t>普通科</t>
        </is>
      </c>
      <c r="H244" s="8" t="n"/>
      <c r="I244" s="9" t="n"/>
      <c r="J244" s="9" t="inlineStr">
        <is>
          <t>未架電</t>
        </is>
      </c>
      <c r="K244" s="8" t="n"/>
      <c r="L244" s="9" t="n"/>
      <c r="M244" s="10" t="inlineStr">
        <is>
          <t>中高共通</t>
        </is>
      </c>
      <c r="N244" s="11" t="inlineStr">
        <is>
          <t>https://www.inter-edu.com/schools/school/244</t>
        </is>
      </c>
      <c r="O244" s="12" t="inlineStr">
        <is>
          <t>開く</t>
        </is>
      </c>
    </row>
  </sheetData>
  <autoFilter ref="A4:O244"/>
  <conditionalFormatting sqref="A5:O244">
    <cfRule type="expression" priority="1" dxfId="0">
      <formula>$J5="アポ獲得"</formula>
    </cfRule>
    <cfRule type="expression" priority="2" dxfId="1">
      <formula>$J5="NG"</formula>
    </cfRule>
  </conditionalFormatting>
  <dataValidations count="2">
    <dataValidation sqref="J5:J244" showDropDown="0" showInputMessage="0" showErrorMessage="0" allowBlank="1" type="list">
      <formula1>"未架電,不在・折返し待ち,担当者不在,資料送付,アポ獲得,検討中,NG,番号不明"</formula1>
    </dataValidation>
    <dataValidation sqref="H5:H244 K5:K244" showDropDown="0" showInputMessage="0" showErrorMessage="0" allowBlank="1" errorTitle="日付" error="日付で入力してください（例：2026/10/9）" type="date" operator="greaterThan">
      <formula1>36526</formula1>
    </dataValidation>
  </dataValidations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  <hyperlink xmlns:r="http://schemas.openxmlformats.org/officeDocument/2006/relationships" ref="O15" r:id="rId11"/>
    <hyperlink xmlns:r="http://schemas.openxmlformats.org/officeDocument/2006/relationships" ref="O16" r:id="rId12"/>
    <hyperlink xmlns:r="http://schemas.openxmlformats.org/officeDocument/2006/relationships" ref="O17" r:id="rId13"/>
    <hyperlink xmlns:r="http://schemas.openxmlformats.org/officeDocument/2006/relationships" ref="O18" r:id="rId14"/>
    <hyperlink xmlns:r="http://schemas.openxmlformats.org/officeDocument/2006/relationships" ref="O19" r:id="rId15"/>
    <hyperlink xmlns:r="http://schemas.openxmlformats.org/officeDocument/2006/relationships" ref="O20" r:id="rId16"/>
    <hyperlink xmlns:r="http://schemas.openxmlformats.org/officeDocument/2006/relationships" ref="O21" r:id="rId17"/>
    <hyperlink xmlns:r="http://schemas.openxmlformats.org/officeDocument/2006/relationships" ref="O22" r:id="rId18"/>
    <hyperlink xmlns:r="http://schemas.openxmlformats.org/officeDocument/2006/relationships" ref="O23" r:id="rId19"/>
    <hyperlink xmlns:r="http://schemas.openxmlformats.org/officeDocument/2006/relationships" ref="O24" r:id="rId20"/>
    <hyperlink xmlns:r="http://schemas.openxmlformats.org/officeDocument/2006/relationships" ref="O25" r:id="rId21"/>
    <hyperlink xmlns:r="http://schemas.openxmlformats.org/officeDocument/2006/relationships" ref="O26" r:id="rId22"/>
    <hyperlink xmlns:r="http://schemas.openxmlformats.org/officeDocument/2006/relationships" ref="O27" r:id="rId23"/>
    <hyperlink xmlns:r="http://schemas.openxmlformats.org/officeDocument/2006/relationships" ref="O28" r:id="rId24"/>
    <hyperlink xmlns:r="http://schemas.openxmlformats.org/officeDocument/2006/relationships" ref="O29" r:id="rId25"/>
    <hyperlink xmlns:r="http://schemas.openxmlformats.org/officeDocument/2006/relationships" ref="O30" r:id="rId26"/>
    <hyperlink xmlns:r="http://schemas.openxmlformats.org/officeDocument/2006/relationships" ref="O31" r:id="rId27"/>
    <hyperlink xmlns:r="http://schemas.openxmlformats.org/officeDocument/2006/relationships" ref="O32" r:id="rId28"/>
    <hyperlink xmlns:r="http://schemas.openxmlformats.org/officeDocument/2006/relationships" ref="O33" r:id="rId29"/>
    <hyperlink xmlns:r="http://schemas.openxmlformats.org/officeDocument/2006/relationships" ref="O34" r:id="rId30"/>
    <hyperlink xmlns:r="http://schemas.openxmlformats.org/officeDocument/2006/relationships" ref="O35" r:id="rId31"/>
    <hyperlink xmlns:r="http://schemas.openxmlformats.org/officeDocument/2006/relationships" ref="O36" r:id="rId32"/>
    <hyperlink xmlns:r="http://schemas.openxmlformats.org/officeDocument/2006/relationships" ref="O37" r:id="rId33"/>
    <hyperlink xmlns:r="http://schemas.openxmlformats.org/officeDocument/2006/relationships" ref="O38" r:id="rId34"/>
    <hyperlink xmlns:r="http://schemas.openxmlformats.org/officeDocument/2006/relationships" ref="O39" r:id="rId35"/>
    <hyperlink xmlns:r="http://schemas.openxmlformats.org/officeDocument/2006/relationships" ref="O40" r:id="rId36"/>
    <hyperlink xmlns:r="http://schemas.openxmlformats.org/officeDocument/2006/relationships" ref="O41" r:id="rId37"/>
    <hyperlink xmlns:r="http://schemas.openxmlformats.org/officeDocument/2006/relationships" ref="O42" r:id="rId38"/>
    <hyperlink xmlns:r="http://schemas.openxmlformats.org/officeDocument/2006/relationships" ref="O43" r:id="rId39"/>
    <hyperlink xmlns:r="http://schemas.openxmlformats.org/officeDocument/2006/relationships" ref="O44" r:id="rId40"/>
    <hyperlink xmlns:r="http://schemas.openxmlformats.org/officeDocument/2006/relationships" ref="O45" r:id="rId41"/>
    <hyperlink xmlns:r="http://schemas.openxmlformats.org/officeDocument/2006/relationships" ref="O46" r:id="rId42"/>
    <hyperlink xmlns:r="http://schemas.openxmlformats.org/officeDocument/2006/relationships" ref="O47" r:id="rId43"/>
    <hyperlink xmlns:r="http://schemas.openxmlformats.org/officeDocument/2006/relationships" ref="O48" r:id="rId44"/>
    <hyperlink xmlns:r="http://schemas.openxmlformats.org/officeDocument/2006/relationships" ref="O49" r:id="rId45"/>
    <hyperlink xmlns:r="http://schemas.openxmlformats.org/officeDocument/2006/relationships" ref="O50" r:id="rId46"/>
    <hyperlink xmlns:r="http://schemas.openxmlformats.org/officeDocument/2006/relationships" ref="O51" r:id="rId47"/>
    <hyperlink xmlns:r="http://schemas.openxmlformats.org/officeDocument/2006/relationships" ref="O52" r:id="rId48"/>
    <hyperlink xmlns:r="http://schemas.openxmlformats.org/officeDocument/2006/relationships" ref="O53" r:id="rId49"/>
    <hyperlink xmlns:r="http://schemas.openxmlformats.org/officeDocument/2006/relationships" ref="O54" r:id="rId50"/>
    <hyperlink xmlns:r="http://schemas.openxmlformats.org/officeDocument/2006/relationships" ref="O55" r:id="rId51"/>
    <hyperlink xmlns:r="http://schemas.openxmlformats.org/officeDocument/2006/relationships" ref="O56" r:id="rId52"/>
    <hyperlink xmlns:r="http://schemas.openxmlformats.org/officeDocument/2006/relationships" ref="O57" r:id="rId53"/>
    <hyperlink xmlns:r="http://schemas.openxmlformats.org/officeDocument/2006/relationships" ref="O58" r:id="rId54"/>
    <hyperlink xmlns:r="http://schemas.openxmlformats.org/officeDocument/2006/relationships" ref="O59" r:id="rId55"/>
    <hyperlink xmlns:r="http://schemas.openxmlformats.org/officeDocument/2006/relationships" ref="O60" r:id="rId56"/>
    <hyperlink xmlns:r="http://schemas.openxmlformats.org/officeDocument/2006/relationships" ref="O61" r:id="rId57"/>
    <hyperlink xmlns:r="http://schemas.openxmlformats.org/officeDocument/2006/relationships" ref="O62" r:id="rId58"/>
    <hyperlink xmlns:r="http://schemas.openxmlformats.org/officeDocument/2006/relationships" ref="O63" r:id="rId59"/>
    <hyperlink xmlns:r="http://schemas.openxmlformats.org/officeDocument/2006/relationships" ref="O64" r:id="rId60"/>
    <hyperlink xmlns:r="http://schemas.openxmlformats.org/officeDocument/2006/relationships" ref="O65" r:id="rId61"/>
    <hyperlink xmlns:r="http://schemas.openxmlformats.org/officeDocument/2006/relationships" ref="O66" r:id="rId62"/>
    <hyperlink xmlns:r="http://schemas.openxmlformats.org/officeDocument/2006/relationships" ref="O67" r:id="rId63"/>
    <hyperlink xmlns:r="http://schemas.openxmlformats.org/officeDocument/2006/relationships" ref="O68" r:id="rId64"/>
    <hyperlink xmlns:r="http://schemas.openxmlformats.org/officeDocument/2006/relationships" ref="O69" r:id="rId65"/>
    <hyperlink xmlns:r="http://schemas.openxmlformats.org/officeDocument/2006/relationships" ref="O70" r:id="rId66"/>
    <hyperlink xmlns:r="http://schemas.openxmlformats.org/officeDocument/2006/relationships" ref="O71" r:id="rId67"/>
    <hyperlink xmlns:r="http://schemas.openxmlformats.org/officeDocument/2006/relationships" ref="O72" r:id="rId68"/>
    <hyperlink xmlns:r="http://schemas.openxmlformats.org/officeDocument/2006/relationships" ref="O73" r:id="rId69"/>
    <hyperlink xmlns:r="http://schemas.openxmlformats.org/officeDocument/2006/relationships" ref="O74" r:id="rId70"/>
    <hyperlink xmlns:r="http://schemas.openxmlformats.org/officeDocument/2006/relationships" ref="O75" r:id="rId71"/>
    <hyperlink xmlns:r="http://schemas.openxmlformats.org/officeDocument/2006/relationships" ref="O76" r:id="rId72"/>
    <hyperlink xmlns:r="http://schemas.openxmlformats.org/officeDocument/2006/relationships" ref="O77" r:id="rId73"/>
    <hyperlink xmlns:r="http://schemas.openxmlformats.org/officeDocument/2006/relationships" ref="O78" r:id="rId74"/>
    <hyperlink xmlns:r="http://schemas.openxmlformats.org/officeDocument/2006/relationships" ref="O79" r:id="rId75"/>
    <hyperlink xmlns:r="http://schemas.openxmlformats.org/officeDocument/2006/relationships" ref="O80" r:id="rId76"/>
    <hyperlink xmlns:r="http://schemas.openxmlformats.org/officeDocument/2006/relationships" ref="O81" r:id="rId77"/>
    <hyperlink xmlns:r="http://schemas.openxmlformats.org/officeDocument/2006/relationships" ref="O82" r:id="rId78"/>
    <hyperlink xmlns:r="http://schemas.openxmlformats.org/officeDocument/2006/relationships" ref="O83" r:id="rId79"/>
    <hyperlink xmlns:r="http://schemas.openxmlformats.org/officeDocument/2006/relationships" ref="O84" r:id="rId80"/>
    <hyperlink xmlns:r="http://schemas.openxmlformats.org/officeDocument/2006/relationships" ref="O85" r:id="rId81"/>
    <hyperlink xmlns:r="http://schemas.openxmlformats.org/officeDocument/2006/relationships" ref="O86" r:id="rId82"/>
    <hyperlink xmlns:r="http://schemas.openxmlformats.org/officeDocument/2006/relationships" ref="O87" r:id="rId83"/>
    <hyperlink xmlns:r="http://schemas.openxmlformats.org/officeDocument/2006/relationships" ref="O88" r:id="rId84"/>
    <hyperlink xmlns:r="http://schemas.openxmlformats.org/officeDocument/2006/relationships" ref="O89" r:id="rId85"/>
    <hyperlink xmlns:r="http://schemas.openxmlformats.org/officeDocument/2006/relationships" ref="O90" r:id="rId86"/>
    <hyperlink xmlns:r="http://schemas.openxmlformats.org/officeDocument/2006/relationships" ref="O91" r:id="rId87"/>
    <hyperlink xmlns:r="http://schemas.openxmlformats.org/officeDocument/2006/relationships" ref="O92" r:id="rId88"/>
    <hyperlink xmlns:r="http://schemas.openxmlformats.org/officeDocument/2006/relationships" ref="O93" r:id="rId89"/>
    <hyperlink xmlns:r="http://schemas.openxmlformats.org/officeDocument/2006/relationships" ref="O94" r:id="rId90"/>
    <hyperlink xmlns:r="http://schemas.openxmlformats.org/officeDocument/2006/relationships" ref="O95" r:id="rId91"/>
    <hyperlink xmlns:r="http://schemas.openxmlformats.org/officeDocument/2006/relationships" ref="O96" r:id="rId92"/>
    <hyperlink xmlns:r="http://schemas.openxmlformats.org/officeDocument/2006/relationships" ref="O97" r:id="rId93"/>
    <hyperlink xmlns:r="http://schemas.openxmlformats.org/officeDocument/2006/relationships" ref="O98" r:id="rId94"/>
    <hyperlink xmlns:r="http://schemas.openxmlformats.org/officeDocument/2006/relationships" ref="O99" r:id="rId95"/>
    <hyperlink xmlns:r="http://schemas.openxmlformats.org/officeDocument/2006/relationships" ref="O100" r:id="rId96"/>
    <hyperlink xmlns:r="http://schemas.openxmlformats.org/officeDocument/2006/relationships" ref="O101" r:id="rId97"/>
    <hyperlink xmlns:r="http://schemas.openxmlformats.org/officeDocument/2006/relationships" ref="O102" r:id="rId98"/>
    <hyperlink xmlns:r="http://schemas.openxmlformats.org/officeDocument/2006/relationships" ref="O103" r:id="rId99"/>
    <hyperlink xmlns:r="http://schemas.openxmlformats.org/officeDocument/2006/relationships" ref="O104" r:id="rId100"/>
    <hyperlink xmlns:r="http://schemas.openxmlformats.org/officeDocument/2006/relationships" ref="O105" r:id="rId101"/>
    <hyperlink xmlns:r="http://schemas.openxmlformats.org/officeDocument/2006/relationships" ref="O106" r:id="rId102"/>
    <hyperlink xmlns:r="http://schemas.openxmlformats.org/officeDocument/2006/relationships" ref="O107" r:id="rId103"/>
    <hyperlink xmlns:r="http://schemas.openxmlformats.org/officeDocument/2006/relationships" ref="O108" r:id="rId104"/>
    <hyperlink xmlns:r="http://schemas.openxmlformats.org/officeDocument/2006/relationships" ref="O109" r:id="rId105"/>
    <hyperlink xmlns:r="http://schemas.openxmlformats.org/officeDocument/2006/relationships" ref="O110" r:id="rId106"/>
    <hyperlink xmlns:r="http://schemas.openxmlformats.org/officeDocument/2006/relationships" ref="O111" r:id="rId107"/>
    <hyperlink xmlns:r="http://schemas.openxmlformats.org/officeDocument/2006/relationships" ref="O112" r:id="rId108"/>
    <hyperlink xmlns:r="http://schemas.openxmlformats.org/officeDocument/2006/relationships" ref="O113" r:id="rId109"/>
    <hyperlink xmlns:r="http://schemas.openxmlformats.org/officeDocument/2006/relationships" ref="O114" r:id="rId110"/>
    <hyperlink xmlns:r="http://schemas.openxmlformats.org/officeDocument/2006/relationships" ref="O115" r:id="rId111"/>
    <hyperlink xmlns:r="http://schemas.openxmlformats.org/officeDocument/2006/relationships" ref="O116" r:id="rId112"/>
    <hyperlink xmlns:r="http://schemas.openxmlformats.org/officeDocument/2006/relationships" ref="O117" r:id="rId113"/>
    <hyperlink xmlns:r="http://schemas.openxmlformats.org/officeDocument/2006/relationships" ref="O118" r:id="rId114"/>
    <hyperlink xmlns:r="http://schemas.openxmlformats.org/officeDocument/2006/relationships" ref="O119" r:id="rId115"/>
    <hyperlink xmlns:r="http://schemas.openxmlformats.org/officeDocument/2006/relationships" ref="O120" r:id="rId116"/>
    <hyperlink xmlns:r="http://schemas.openxmlformats.org/officeDocument/2006/relationships" ref="O121" r:id="rId117"/>
    <hyperlink xmlns:r="http://schemas.openxmlformats.org/officeDocument/2006/relationships" ref="O122" r:id="rId118"/>
    <hyperlink xmlns:r="http://schemas.openxmlformats.org/officeDocument/2006/relationships" ref="O123" r:id="rId119"/>
    <hyperlink xmlns:r="http://schemas.openxmlformats.org/officeDocument/2006/relationships" ref="O124" r:id="rId120"/>
    <hyperlink xmlns:r="http://schemas.openxmlformats.org/officeDocument/2006/relationships" ref="O125" r:id="rId121"/>
    <hyperlink xmlns:r="http://schemas.openxmlformats.org/officeDocument/2006/relationships" ref="O126" r:id="rId122"/>
    <hyperlink xmlns:r="http://schemas.openxmlformats.org/officeDocument/2006/relationships" ref="O127" r:id="rId123"/>
    <hyperlink xmlns:r="http://schemas.openxmlformats.org/officeDocument/2006/relationships" ref="O128" r:id="rId124"/>
    <hyperlink xmlns:r="http://schemas.openxmlformats.org/officeDocument/2006/relationships" ref="O129" r:id="rId125"/>
    <hyperlink xmlns:r="http://schemas.openxmlformats.org/officeDocument/2006/relationships" ref="O130" r:id="rId126"/>
    <hyperlink xmlns:r="http://schemas.openxmlformats.org/officeDocument/2006/relationships" ref="O131" r:id="rId127"/>
    <hyperlink xmlns:r="http://schemas.openxmlformats.org/officeDocument/2006/relationships" ref="O132" r:id="rId128"/>
    <hyperlink xmlns:r="http://schemas.openxmlformats.org/officeDocument/2006/relationships" ref="O133" r:id="rId129"/>
    <hyperlink xmlns:r="http://schemas.openxmlformats.org/officeDocument/2006/relationships" ref="O134" r:id="rId130"/>
    <hyperlink xmlns:r="http://schemas.openxmlformats.org/officeDocument/2006/relationships" ref="O135" r:id="rId131"/>
    <hyperlink xmlns:r="http://schemas.openxmlformats.org/officeDocument/2006/relationships" ref="O136" r:id="rId132"/>
    <hyperlink xmlns:r="http://schemas.openxmlformats.org/officeDocument/2006/relationships" ref="O137" r:id="rId133"/>
    <hyperlink xmlns:r="http://schemas.openxmlformats.org/officeDocument/2006/relationships" ref="O138" r:id="rId134"/>
    <hyperlink xmlns:r="http://schemas.openxmlformats.org/officeDocument/2006/relationships" ref="O139" r:id="rId135"/>
    <hyperlink xmlns:r="http://schemas.openxmlformats.org/officeDocument/2006/relationships" ref="O140" r:id="rId136"/>
    <hyperlink xmlns:r="http://schemas.openxmlformats.org/officeDocument/2006/relationships" ref="O141" r:id="rId137"/>
    <hyperlink xmlns:r="http://schemas.openxmlformats.org/officeDocument/2006/relationships" ref="O142" r:id="rId138"/>
    <hyperlink xmlns:r="http://schemas.openxmlformats.org/officeDocument/2006/relationships" ref="O143" r:id="rId139"/>
    <hyperlink xmlns:r="http://schemas.openxmlformats.org/officeDocument/2006/relationships" ref="O144" r:id="rId140"/>
    <hyperlink xmlns:r="http://schemas.openxmlformats.org/officeDocument/2006/relationships" ref="O145" r:id="rId141"/>
    <hyperlink xmlns:r="http://schemas.openxmlformats.org/officeDocument/2006/relationships" ref="O146" r:id="rId142"/>
    <hyperlink xmlns:r="http://schemas.openxmlformats.org/officeDocument/2006/relationships" ref="O147" r:id="rId143"/>
    <hyperlink xmlns:r="http://schemas.openxmlformats.org/officeDocument/2006/relationships" ref="O148" r:id="rId144"/>
    <hyperlink xmlns:r="http://schemas.openxmlformats.org/officeDocument/2006/relationships" ref="O149" r:id="rId145"/>
    <hyperlink xmlns:r="http://schemas.openxmlformats.org/officeDocument/2006/relationships" ref="O150" r:id="rId146"/>
    <hyperlink xmlns:r="http://schemas.openxmlformats.org/officeDocument/2006/relationships" ref="O151" r:id="rId147"/>
    <hyperlink xmlns:r="http://schemas.openxmlformats.org/officeDocument/2006/relationships" ref="O152" r:id="rId148"/>
    <hyperlink xmlns:r="http://schemas.openxmlformats.org/officeDocument/2006/relationships" ref="O153" r:id="rId149"/>
    <hyperlink xmlns:r="http://schemas.openxmlformats.org/officeDocument/2006/relationships" ref="O154" r:id="rId150"/>
    <hyperlink xmlns:r="http://schemas.openxmlformats.org/officeDocument/2006/relationships" ref="O155" r:id="rId151"/>
    <hyperlink xmlns:r="http://schemas.openxmlformats.org/officeDocument/2006/relationships" ref="O156" r:id="rId152"/>
    <hyperlink xmlns:r="http://schemas.openxmlformats.org/officeDocument/2006/relationships" ref="O157" r:id="rId153"/>
    <hyperlink xmlns:r="http://schemas.openxmlformats.org/officeDocument/2006/relationships" ref="O158" r:id="rId154"/>
    <hyperlink xmlns:r="http://schemas.openxmlformats.org/officeDocument/2006/relationships" ref="O159" r:id="rId155"/>
    <hyperlink xmlns:r="http://schemas.openxmlformats.org/officeDocument/2006/relationships" ref="O160" r:id="rId156"/>
    <hyperlink xmlns:r="http://schemas.openxmlformats.org/officeDocument/2006/relationships" ref="O161" r:id="rId157"/>
    <hyperlink xmlns:r="http://schemas.openxmlformats.org/officeDocument/2006/relationships" ref="O162" r:id="rId158"/>
    <hyperlink xmlns:r="http://schemas.openxmlformats.org/officeDocument/2006/relationships" ref="O163" r:id="rId159"/>
    <hyperlink xmlns:r="http://schemas.openxmlformats.org/officeDocument/2006/relationships" ref="O164" r:id="rId160"/>
    <hyperlink xmlns:r="http://schemas.openxmlformats.org/officeDocument/2006/relationships" ref="O165" r:id="rId161"/>
    <hyperlink xmlns:r="http://schemas.openxmlformats.org/officeDocument/2006/relationships" ref="O166" r:id="rId162"/>
    <hyperlink xmlns:r="http://schemas.openxmlformats.org/officeDocument/2006/relationships" ref="O167" r:id="rId163"/>
    <hyperlink xmlns:r="http://schemas.openxmlformats.org/officeDocument/2006/relationships" ref="O168" r:id="rId164"/>
    <hyperlink xmlns:r="http://schemas.openxmlformats.org/officeDocument/2006/relationships" ref="O169" r:id="rId165"/>
    <hyperlink xmlns:r="http://schemas.openxmlformats.org/officeDocument/2006/relationships" ref="O170" r:id="rId166"/>
    <hyperlink xmlns:r="http://schemas.openxmlformats.org/officeDocument/2006/relationships" ref="O171" r:id="rId167"/>
    <hyperlink xmlns:r="http://schemas.openxmlformats.org/officeDocument/2006/relationships" ref="O172" r:id="rId168"/>
    <hyperlink xmlns:r="http://schemas.openxmlformats.org/officeDocument/2006/relationships" ref="O173" r:id="rId169"/>
    <hyperlink xmlns:r="http://schemas.openxmlformats.org/officeDocument/2006/relationships" ref="O174" r:id="rId170"/>
    <hyperlink xmlns:r="http://schemas.openxmlformats.org/officeDocument/2006/relationships" ref="O175" r:id="rId171"/>
    <hyperlink xmlns:r="http://schemas.openxmlformats.org/officeDocument/2006/relationships" ref="O176" r:id="rId172"/>
    <hyperlink xmlns:r="http://schemas.openxmlformats.org/officeDocument/2006/relationships" ref="O177" r:id="rId173"/>
    <hyperlink xmlns:r="http://schemas.openxmlformats.org/officeDocument/2006/relationships" ref="O178" r:id="rId174"/>
    <hyperlink xmlns:r="http://schemas.openxmlformats.org/officeDocument/2006/relationships" ref="O179" r:id="rId175"/>
    <hyperlink xmlns:r="http://schemas.openxmlformats.org/officeDocument/2006/relationships" ref="O180" r:id="rId176"/>
    <hyperlink xmlns:r="http://schemas.openxmlformats.org/officeDocument/2006/relationships" ref="O181" r:id="rId177"/>
    <hyperlink xmlns:r="http://schemas.openxmlformats.org/officeDocument/2006/relationships" ref="O182" r:id="rId178"/>
    <hyperlink xmlns:r="http://schemas.openxmlformats.org/officeDocument/2006/relationships" ref="O183" r:id="rId179"/>
    <hyperlink xmlns:r="http://schemas.openxmlformats.org/officeDocument/2006/relationships" ref="O184" r:id="rId180"/>
    <hyperlink xmlns:r="http://schemas.openxmlformats.org/officeDocument/2006/relationships" ref="O185" r:id="rId181"/>
    <hyperlink xmlns:r="http://schemas.openxmlformats.org/officeDocument/2006/relationships" ref="O186" r:id="rId182"/>
    <hyperlink xmlns:r="http://schemas.openxmlformats.org/officeDocument/2006/relationships" ref="O187" r:id="rId183"/>
    <hyperlink xmlns:r="http://schemas.openxmlformats.org/officeDocument/2006/relationships" ref="O188" r:id="rId184"/>
    <hyperlink xmlns:r="http://schemas.openxmlformats.org/officeDocument/2006/relationships" ref="O189" r:id="rId185"/>
    <hyperlink xmlns:r="http://schemas.openxmlformats.org/officeDocument/2006/relationships" ref="O190" r:id="rId186"/>
    <hyperlink xmlns:r="http://schemas.openxmlformats.org/officeDocument/2006/relationships" ref="O191" r:id="rId187"/>
    <hyperlink xmlns:r="http://schemas.openxmlformats.org/officeDocument/2006/relationships" ref="O192" r:id="rId188"/>
    <hyperlink xmlns:r="http://schemas.openxmlformats.org/officeDocument/2006/relationships" ref="O193" r:id="rId189"/>
    <hyperlink xmlns:r="http://schemas.openxmlformats.org/officeDocument/2006/relationships" ref="O194" r:id="rId190"/>
    <hyperlink xmlns:r="http://schemas.openxmlformats.org/officeDocument/2006/relationships" ref="O195" r:id="rId191"/>
    <hyperlink xmlns:r="http://schemas.openxmlformats.org/officeDocument/2006/relationships" ref="O196" r:id="rId192"/>
    <hyperlink xmlns:r="http://schemas.openxmlformats.org/officeDocument/2006/relationships" ref="O197" r:id="rId193"/>
    <hyperlink xmlns:r="http://schemas.openxmlformats.org/officeDocument/2006/relationships" ref="O198" r:id="rId194"/>
    <hyperlink xmlns:r="http://schemas.openxmlformats.org/officeDocument/2006/relationships" ref="O199" r:id="rId195"/>
    <hyperlink xmlns:r="http://schemas.openxmlformats.org/officeDocument/2006/relationships" ref="O200" r:id="rId196"/>
    <hyperlink xmlns:r="http://schemas.openxmlformats.org/officeDocument/2006/relationships" ref="O201" r:id="rId197"/>
    <hyperlink xmlns:r="http://schemas.openxmlformats.org/officeDocument/2006/relationships" ref="O202" r:id="rId198"/>
    <hyperlink xmlns:r="http://schemas.openxmlformats.org/officeDocument/2006/relationships" ref="O203" r:id="rId199"/>
    <hyperlink xmlns:r="http://schemas.openxmlformats.org/officeDocument/2006/relationships" ref="O204" r:id="rId200"/>
    <hyperlink xmlns:r="http://schemas.openxmlformats.org/officeDocument/2006/relationships" ref="O205" r:id="rId201"/>
    <hyperlink xmlns:r="http://schemas.openxmlformats.org/officeDocument/2006/relationships" ref="O206" r:id="rId202"/>
    <hyperlink xmlns:r="http://schemas.openxmlformats.org/officeDocument/2006/relationships" ref="O207" r:id="rId203"/>
    <hyperlink xmlns:r="http://schemas.openxmlformats.org/officeDocument/2006/relationships" ref="O208" r:id="rId204"/>
    <hyperlink xmlns:r="http://schemas.openxmlformats.org/officeDocument/2006/relationships" ref="O209" r:id="rId205"/>
    <hyperlink xmlns:r="http://schemas.openxmlformats.org/officeDocument/2006/relationships" ref="O210" r:id="rId206"/>
    <hyperlink xmlns:r="http://schemas.openxmlformats.org/officeDocument/2006/relationships" ref="O211" r:id="rId207"/>
    <hyperlink xmlns:r="http://schemas.openxmlformats.org/officeDocument/2006/relationships" ref="O212" r:id="rId208"/>
    <hyperlink xmlns:r="http://schemas.openxmlformats.org/officeDocument/2006/relationships" ref="O213" r:id="rId209"/>
    <hyperlink xmlns:r="http://schemas.openxmlformats.org/officeDocument/2006/relationships" ref="O214" r:id="rId210"/>
    <hyperlink xmlns:r="http://schemas.openxmlformats.org/officeDocument/2006/relationships" ref="O215" r:id="rId211"/>
    <hyperlink xmlns:r="http://schemas.openxmlformats.org/officeDocument/2006/relationships" ref="O216" r:id="rId212"/>
    <hyperlink xmlns:r="http://schemas.openxmlformats.org/officeDocument/2006/relationships" ref="O217" r:id="rId213"/>
    <hyperlink xmlns:r="http://schemas.openxmlformats.org/officeDocument/2006/relationships" ref="O218" r:id="rId214"/>
    <hyperlink xmlns:r="http://schemas.openxmlformats.org/officeDocument/2006/relationships" ref="O219" r:id="rId215"/>
    <hyperlink xmlns:r="http://schemas.openxmlformats.org/officeDocument/2006/relationships" ref="O220" r:id="rId216"/>
    <hyperlink xmlns:r="http://schemas.openxmlformats.org/officeDocument/2006/relationships" ref="O221" r:id="rId217"/>
    <hyperlink xmlns:r="http://schemas.openxmlformats.org/officeDocument/2006/relationships" ref="O222" r:id="rId218"/>
    <hyperlink xmlns:r="http://schemas.openxmlformats.org/officeDocument/2006/relationships" ref="O223" r:id="rId219"/>
    <hyperlink xmlns:r="http://schemas.openxmlformats.org/officeDocument/2006/relationships" ref="O224" r:id="rId220"/>
    <hyperlink xmlns:r="http://schemas.openxmlformats.org/officeDocument/2006/relationships" ref="O225" r:id="rId221"/>
    <hyperlink xmlns:r="http://schemas.openxmlformats.org/officeDocument/2006/relationships" ref="O226" r:id="rId222"/>
    <hyperlink xmlns:r="http://schemas.openxmlformats.org/officeDocument/2006/relationships" ref="O227" r:id="rId223"/>
    <hyperlink xmlns:r="http://schemas.openxmlformats.org/officeDocument/2006/relationships" ref="O228" r:id="rId224"/>
    <hyperlink xmlns:r="http://schemas.openxmlformats.org/officeDocument/2006/relationships" ref="O229" r:id="rId225"/>
    <hyperlink xmlns:r="http://schemas.openxmlformats.org/officeDocument/2006/relationships" ref="O230" r:id="rId226"/>
    <hyperlink xmlns:r="http://schemas.openxmlformats.org/officeDocument/2006/relationships" ref="O231" r:id="rId227"/>
    <hyperlink xmlns:r="http://schemas.openxmlformats.org/officeDocument/2006/relationships" ref="O232" r:id="rId228"/>
    <hyperlink xmlns:r="http://schemas.openxmlformats.org/officeDocument/2006/relationships" ref="O233" r:id="rId229"/>
    <hyperlink xmlns:r="http://schemas.openxmlformats.org/officeDocument/2006/relationships" ref="O234" r:id="rId230"/>
    <hyperlink xmlns:r="http://schemas.openxmlformats.org/officeDocument/2006/relationships" ref="O235" r:id="rId231"/>
    <hyperlink xmlns:r="http://schemas.openxmlformats.org/officeDocument/2006/relationships" ref="O236" r:id="rId232"/>
    <hyperlink xmlns:r="http://schemas.openxmlformats.org/officeDocument/2006/relationships" ref="O237" r:id="rId233"/>
    <hyperlink xmlns:r="http://schemas.openxmlformats.org/officeDocument/2006/relationships" ref="O238" r:id="rId234"/>
    <hyperlink xmlns:r="http://schemas.openxmlformats.org/officeDocument/2006/relationships" ref="O239" r:id="rId235"/>
    <hyperlink xmlns:r="http://schemas.openxmlformats.org/officeDocument/2006/relationships" ref="O240" r:id="rId236"/>
    <hyperlink xmlns:r="http://schemas.openxmlformats.org/officeDocument/2006/relationships" ref="O241" r:id="rId237"/>
    <hyperlink xmlns:r="http://schemas.openxmlformats.org/officeDocument/2006/relationships" ref="O242" r:id="rId238"/>
    <hyperlink xmlns:r="http://schemas.openxmlformats.org/officeDocument/2006/relationships" ref="O243" r:id="rId239"/>
    <hyperlink xmlns:r="http://schemas.openxmlformats.org/officeDocument/2006/relationships" ref="O244" r:id="rId240"/>
  </hyperlink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" t="inlineStr">
        <is>
          <t>市区町村別 進捗集計（架電リストの入力に連動して自動計算）</t>
        </is>
      </c>
    </row>
    <row r="3" ht="30" customHeight="1">
      <c r="A3" s="3" t="inlineStr">
        <is>
          <t>所在地</t>
        </is>
      </c>
      <c r="B3" s="3" t="inlineStr">
        <is>
          <t>学校数</t>
        </is>
      </c>
      <c r="C3" s="3" t="inlineStr">
        <is>
          <t>電話番号入力済</t>
        </is>
      </c>
      <c r="D3" s="3" t="inlineStr">
        <is>
          <t>架電済</t>
        </is>
      </c>
      <c r="E3" s="3" t="inlineStr">
        <is>
          <t>不在・折返し待ち</t>
        </is>
      </c>
      <c r="F3" s="3" t="inlineStr">
        <is>
          <t>担当者不在</t>
        </is>
      </c>
      <c r="G3" s="3" t="inlineStr">
        <is>
          <t>資料送付</t>
        </is>
      </c>
      <c r="H3" s="3" t="inlineStr">
        <is>
          <t>アポ獲得</t>
        </is>
      </c>
      <c r="I3" s="3" t="inlineStr">
        <is>
          <t>検討中</t>
        </is>
      </c>
      <c r="J3" s="3" t="inlineStr">
        <is>
          <t>NG</t>
        </is>
      </c>
      <c r="K3" s="3" t="inlineStr">
        <is>
          <t>番号不明</t>
        </is>
      </c>
    </row>
    <row r="4">
      <c r="A4" s="16" t="inlineStr">
        <is>
          <t>世田谷区</t>
        </is>
      </c>
      <c r="B4" s="16">
        <f>COUNTIF('架電リスト'!$C$5:$C$244,A4)</f>
        <v/>
      </c>
      <c r="C4" s="16">
        <f>COUNTIFS('架電リスト'!$C$5:$C$244,A4,'架電リスト'!$E$5:$E$244,"&lt;&gt;")</f>
        <v/>
      </c>
      <c r="D4" s="16">
        <f>B4-COUNTIFS('架電リスト'!$C$5:$C$244,A4,'架電リスト'!$J$5:$J$244,"未架電")-COUNTIFS('架電リスト'!$C$5:$C$244,A4,'架電リスト'!$J$5:$J$244,"")</f>
        <v/>
      </c>
      <c r="E4" s="16">
        <f>COUNTIFS('架電リスト'!$C$5:$C$244,$A4,'架電リスト'!$J$5:$J$244,"不在・折返し待ち")</f>
        <v/>
      </c>
      <c r="F4" s="16">
        <f>COUNTIFS('架電リスト'!$C$5:$C$244,$A4,'架電リスト'!$J$5:$J$244,"担当者不在")</f>
        <v/>
      </c>
      <c r="G4" s="16">
        <f>COUNTIFS('架電リスト'!$C$5:$C$244,$A4,'架電リスト'!$J$5:$J$244,"資料送付")</f>
        <v/>
      </c>
      <c r="H4" s="16">
        <f>COUNTIFS('架電リスト'!$C$5:$C$244,$A4,'架電リスト'!$J$5:$J$244,"アポ獲得")</f>
        <v/>
      </c>
      <c r="I4" s="16">
        <f>COUNTIFS('架電リスト'!$C$5:$C$244,$A4,'架電リスト'!$J$5:$J$244,"検討中")</f>
        <v/>
      </c>
      <c r="J4" s="16">
        <f>COUNTIFS('架電リスト'!$C$5:$C$244,$A4,'架電リスト'!$J$5:$J$244,"NG")</f>
        <v/>
      </c>
      <c r="K4" s="16">
        <f>COUNTIFS('架電リスト'!$C$5:$C$244,$A4,'架電リスト'!$J$5:$J$244,"番号不明")</f>
        <v/>
      </c>
    </row>
    <row r="5">
      <c r="A5" s="16" t="inlineStr">
        <is>
          <t>文京区</t>
        </is>
      </c>
      <c r="B5" s="16">
        <f>COUNTIF('架電リスト'!$C$5:$C$244,A5)</f>
        <v/>
      </c>
      <c r="C5" s="16">
        <f>COUNTIFS('架電リスト'!$C$5:$C$244,A5,'架電リスト'!$E$5:$E$244,"&lt;&gt;")</f>
        <v/>
      </c>
      <c r="D5" s="16">
        <f>B5-COUNTIFS('架電リスト'!$C$5:$C$244,A5,'架電リスト'!$J$5:$J$244,"未架電")-COUNTIFS('架電リスト'!$C$5:$C$244,A5,'架電リスト'!$J$5:$J$244,"")</f>
        <v/>
      </c>
      <c r="E5" s="16">
        <f>COUNTIFS('架電リスト'!$C$5:$C$244,$A5,'架電リスト'!$J$5:$J$244,"不在・折返し待ち")</f>
        <v/>
      </c>
      <c r="F5" s="16">
        <f>COUNTIFS('架電リスト'!$C$5:$C$244,$A5,'架電リスト'!$J$5:$J$244,"担当者不在")</f>
        <v/>
      </c>
      <c r="G5" s="16">
        <f>COUNTIFS('架電リスト'!$C$5:$C$244,$A5,'架電リスト'!$J$5:$J$244,"資料送付")</f>
        <v/>
      </c>
      <c r="H5" s="16">
        <f>COUNTIFS('架電リスト'!$C$5:$C$244,$A5,'架電リスト'!$J$5:$J$244,"アポ獲得")</f>
        <v/>
      </c>
      <c r="I5" s="16">
        <f>COUNTIFS('架電リスト'!$C$5:$C$244,$A5,'架電リスト'!$J$5:$J$244,"検討中")</f>
        <v/>
      </c>
      <c r="J5" s="16">
        <f>COUNTIFS('架電リスト'!$C$5:$C$244,$A5,'架電リスト'!$J$5:$J$244,"NG")</f>
        <v/>
      </c>
      <c r="K5" s="16">
        <f>COUNTIFS('架電リスト'!$C$5:$C$244,$A5,'架電リスト'!$J$5:$J$244,"番号不明")</f>
        <v/>
      </c>
    </row>
    <row r="6">
      <c r="A6" s="16" t="inlineStr">
        <is>
          <t>千代田区</t>
        </is>
      </c>
      <c r="B6" s="16">
        <f>COUNTIF('架電リスト'!$C$5:$C$244,A6)</f>
        <v/>
      </c>
      <c r="C6" s="16">
        <f>COUNTIFS('架電リスト'!$C$5:$C$244,A6,'架電リスト'!$E$5:$E$244,"&lt;&gt;")</f>
        <v/>
      </c>
      <c r="D6" s="16">
        <f>B6-COUNTIFS('架電リスト'!$C$5:$C$244,A6,'架電リスト'!$J$5:$J$244,"未架電")-COUNTIFS('架電リスト'!$C$5:$C$244,A6,'架電リスト'!$J$5:$J$244,"")</f>
        <v/>
      </c>
      <c r="E6" s="16">
        <f>COUNTIFS('架電リスト'!$C$5:$C$244,$A6,'架電リスト'!$J$5:$J$244,"不在・折返し待ち")</f>
        <v/>
      </c>
      <c r="F6" s="16">
        <f>COUNTIFS('架電リスト'!$C$5:$C$244,$A6,'架電リスト'!$J$5:$J$244,"担当者不在")</f>
        <v/>
      </c>
      <c r="G6" s="16">
        <f>COUNTIFS('架電リスト'!$C$5:$C$244,$A6,'架電リスト'!$J$5:$J$244,"資料送付")</f>
        <v/>
      </c>
      <c r="H6" s="16">
        <f>COUNTIFS('架電リスト'!$C$5:$C$244,$A6,'架電リスト'!$J$5:$J$244,"アポ獲得")</f>
        <v/>
      </c>
      <c r="I6" s="16">
        <f>COUNTIFS('架電リスト'!$C$5:$C$244,$A6,'架電リスト'!$J$5:$J$244,"検討中")</f>
        <v/>
      </c>
      <c r="J6" s="16">
        <f>COUNTIFS('架電リスト'!$C$5:$C$244,$A6,'架電リスト'!$J$5:$J$244,"NG")</f>
        <v/>
      </c>
      <c r="K6" s="16">
        <f>COUNTIFS('架電リスト'!$C$5:$C$244,$A6,'架電リスト'!$J$5:$J$244,"番号不明")</f>
        <v/>
      </c>
    </row>
    <row r="7">
      <c r="A7" s="16" t="inlineStr">
        <is>
          <t>港区</t>
        </is>
      </c>
      <c r="B7" s="16">
        <f>COUNTIF('架電リスト'!$C$5:$C$244,A7)</f>
        <v/>
      </c>
      <c r="C7" s="16">
        <f>COUNTIFS('架電リスト'!$C$5:$C$244,A7,'架電リスト'!$E$5:$E$244,"&lt;&gt;")</f>
        <v/>
      </c>
      <c r="D7" s="16">
        <f>B7-COUNTIFS('架電リスト'!$C$5:$C$244,A7,'架電リスト'!$J$5:$J$244,"未架電")-COUNTIFS('架電リスト'!$C$5:$C$244,A7,'架電リスト'!$J$5:$J$244,"")</f>
        <v/>
      </c>
      <c r="E7" s="16">
        <f>COUNTIFS('架電リスト'!$C$5:$C$244,$A7,'架電リスト'!$J$5:$J$244,"不在・折返し待ち")</f>
        <v/>
      </c>
      <c r="F7" s="16">
        <f>COUNTIFS('架電リスト'!$C$5:$C$244,$A7,'架電リスト'!$J$5:$J$244,"担当者不在")</f>
        <v/>
      </c>
      <c r="G7" s="16">
        <f>COUNTIFS('架電リスト'!$C$5:$C$244,$A7,'架電リスト'!$J$5:$J$244,"資料送付")</f>
        <v/>
      </c>
      <c r="H7" s="16">
        <f>COUNTIFS('架電リスト'!$C$5:$C$244,$A7,'架電リスト'!$J$5:$J$244,"アポ獲得")</f>
        <v/>
      </c>
      <c r="I7" s="16">
        <f>COUNTIFS('架電リスト'!$C$5:$C$244,$A7,'架電リスト'!$J$5:$J$244,"検討中")</f>
        <v/>
      </c>
      <c r="J7" s="16">
        <f>COUNTIFS('架電リスト'!$C$5:$C$244,$A7,'架電リスト'!$J$5:$J$244,"NG")</f>
        <v/>
      </c>
      <c r="K7" s="16">
        <f>COUNTIFS('架電リスト'!$C$5:$C$244,$A7,'架電リスト'!$J$5:$J$244,"番号不明")</f>
        <v/>
      </c>
    </row>
    <row r="8">
      <c r="A8" s="16" t="inlineStr">
        <is>
          <t>豊島区</t>
        </is>
      </c>
      <c r="B8" s="16">
        <f>COUNTIF('架電リスト'!$C$5:$C$244,A8)</f>
        <v/>
      </c>
      <c r="C8" s="16">
        <f>COUNTIFS('架電リスト'!$C$5:$C$244,A8,'架電リスト'!$E$5:$E$244,"&lt;&gt;")</f>
        <v/>
      </c>
      <c r="D8" s="16">
        <f>B8-COUNTIFS('架電リスト'!$C$5:$C$244,A8,'架電リスト'!$J$5:$J$244,"未架電")-COUNTIFS('架電リスト'!$C$5:$C$244,A8,'架電リスト'!$J$5:$J$244,"")</f>
        <v/>
      </c>
      <c r="E8" s="16">
        <f>COUNTIFS('架電リスト'!$C$5:$C$244,$A8,'架電リスト'!$J$5:$J$244,"不在・折返し待ち")</f>
        <v/>
      </c>
      <c r="F8" s="16">
        <f>COUNTIFS('架電リスト'!$C$5:$C$244,$A8,'架電リスト'!$J$5:$J$244,"担当者不在")</f>
        <v/>
      </c>
      <c r="G8" s="16">
        <f>COUNTIFS('架電リスト'!$C$5:$C$244,$A8,'架電リスト'!$J$5:$J$244,"資料送付")</f>
        <v/>
      </c>
      <c r="H8" s="16">
        <f>COUNTIFS('架電リスト'!$C$5:$C$244,$A8,'架電リスト'!$J$5:$J$244,"アポ獲得")</f>
        <v/>
      </c>
      <c r="I8" s="16">
        <f>COUNTIFS('架電リスト'!$C$5:$C$244,$A8,'架電リスト'!$J$5:$J$244,"検討中")</f>
        <v/>
      </c>
      <c r="J8" s="16">
        <f>COUNTIFS('架電リスト'!$C$5:$C$244,$A8,'架電リスト'!$J$5:$J$244,"NG")</f>
        <v/>
      </c>
      <c r="K8" s="16">
        <f>COUNTIFS('架電リスト'!$C$5:$C$244,$A8,'架電リスト'!$J$5:$J$244,"番号不明")</f>
        <v/>
      </c>
    </row>
    <row r="9">
      <c r="A9" s="16" t="inlineStr">
        <is>
          <t>杉並区</t>
        </is>
      </c>
      <c r="B9" s="16">
        <f>COUNTIF('架電リスト'!$C$5:$C$244,A9)</f>
        <v/>
      </c>
      <c r="C9" s="16">
        <f>COUNTIFS('架電リスト'!$C$5:$C$244,A9,'架電リスト'!$E$5:$E$244,"&lt;&gt;")</f>
        <v/>
      </c>
      <c r="D9" s="16">
        <f>B9-COUNTIFS('架電リスト'!$C$5:$C$244,A9,'架電リスト'!$J$5:$J$244,"未架電")-COUNTIFS('架電リスト'!$C$5:$C$244,A9,'架電リスト'!$J$5:$J$244,"")</f>
        <v/>
      </c>
      <c r="E9" s="16">
        <f>COUNTIFS('架電リスト'!$C$5:$C$244,$A9,'架電リスト'!$J$5:$J$244,"不在・折返し待ち")</f>
        <v/>
      </c>
      <c r="F9" s="16">
        <f>COUNTIFS('架電リスト'!$C$5:$C$244,$A9,'架電リスト'!$J$5:$J$244,"担当者不在")</f>
        <v/>
      </c>
      <c r="G9" s="16">
        <f>COUNTIFS('架電リスト'!$C$5:$C$244,$A9,'架電リスト'!$J$5:$J$244,"資料送付")</f>
        <v/>
      </c>
      <c r="H9" s="16">
        <f>COUNTIFS('架電リスト'!$C$5:$C$244,$A9,'架電リスト'!$J$5:$J$244,"アポ獲得")</f>
        <v/>
      </c>
      <c r="I9" s="16">
        <f>COUNTIFS('架電リスト'!$C$5:$C$244,$A9,'架電リスト'!$J$5:$J$244,"検討中")</f>
        <v/>
      </c>
      <c r="J9" s="16">
        <f>COUNTIFS('架電リスト'!$C$5:$C$244,$A9,'架電リスト'!$J$5:$J$244,"NG")</f>
        <v/>
      </c>
      <c r="K9" s="16">
        <f>COUNTIFS('架電リスト'!$C$5:$C$244,$A9,'架電リスト'!$J$5:$J$244,"番号不明")</f>
        <v/>
      </c>
    </row>
    <row r="10">
      <c r="A10" s="16" t="inlineStr">
        <is>
          <t>北区</t>
        </is>
      </c>
      <c r="B10" s="16">
        <f>COUNTIF('架電リスト'!$C$5:$C$244,A10)</f>
        <v/>
      </c>
      <c r="C10" s="16">
        <f>COUNTIFS('架電リスト'!$C$5:$C$244,A10,'架電リスト'!$E$5:$E$244,"&lt;&gt;")</f>
        <v/>
      </c>
      <c r="D10" s="16">
        <f>B10-COUNTIFS('架電リスト'!$C$5:$C$244,A10,'架電リスト'!$J$5:$J$244,"未架電")-COUNTIFS('架電リスト'!$C$5:$C$244,A10,'架電リスト'!$J$5:$J$244,"")</f>
        <v/>
      </c>
      <c r="E10" s="16">
        <f>COUNTIFS('架電リスト'!$C$5:$C$244,$A10,'架電リスト'!$J$5:$J$244,"不在・折返し待ち")</f>
        <v/>
      </c>
      <c r="F10" s="16">
        <f>COUNTIFS('架電リスト'!$C$5:$C$244,$A10,'架電リスト'!$J$5:$J$244,"担当者不在")</f>
        <v/>
      </c>
      <c r="G10" s="16">
        <f>COUNTIFS('架電リスト'!$C$5:$C$244,$A10,'架電リスト'!$J$5:$J$244,"資料送付")</f>
        <v/>
      </c>
      <c r="H10" s="16">
        <f>COUNTIFS('架電リスト'!$C$5:$C$244,$A10,'架電リスト'!$J$5:$J$244,"アポ獲得")</f>
        <v/>
      </c>
      <c r="I10" s="16">
        <f>COUNTIFS('架電リスト'!$C$5:$C$244,$A10,'架電リスト'!$J$5:$J$244,"検討中")</f>
        <v/>
      </c>
      <c r="J10" s="16">
        <f>COUNTIFS('架電リスト'!$C$5:$C$244,$A10,'架電リスト'!$J$5:$J$244,"NG")</f>
        <v/>
      </c>
      <c r="K10" s="16">
        <f>COUNTIFS('架電リスト'!$C$5:$C$244,$A10,'架電リスト'!$J$5:$J$244,"番号不明")</f>
        <v/>
      </c>
    </row>
    <row r="11">
      <c r="A11" s="16" t="inlineStr">
        <is>
          <t>八王子市</t>
        </is>
      </c>
      <c r="B11" s="16">
        <f>COUNTIF('架電リスト'!$C$5:$C$244,A11)</f>
        <v/>
      </c>
      <c r="C11" s="16">
        <f>COUNTIFS('架電リスト'!$C$5:$C$244,A11,'架電リスト'!$E$5:$E$244,"&lt;&gt;")</f>
        <v/>
      </c>
      <c r="D11" s="16">
        <f>B11-COUNTIFS('架電リスト'!$C$5:$C$244,A11,'架電リスト'!$J$5:$J$244,"未架電")-COUNTIFS('架電リスト'!$C$5:$C$244,A11,'架電リスト'!$J$5:$J$244,"")</f>
        <v/>
      </c>
      <c r="E11" s="16">
        <f>COUNTIFS('架電リスト'!$C$5:$C$244,$A11,'架電リスト'!$J$5:$J$244,"不在・折返し待ち")</f>
        <v/>
      </c>
      <c r="F11" s="16">
        <f>COUNTIFS('架電リスト'!$C$5:$C$244,$A11,'架電リスト'!$J$5:$J$244,"担当者不在")</f>
        <v/>
      </c>
      <c r="G11" s="16">
        <f>COUNTIFS('架電リスト'!$C$5:$C$244,$A11,'架電リスト'!$J$5:$J$244,"資料送付")</f>
        <v/>
      </c>
      <c r="H11" s="16">
        <f>COUNTIFS('架電リスト'!$C$5:$C$244,$A11,'架電リスト'!$J$5:$J$244,"アポ獲得")</f>
        <v/>
      </c>
      <c r="I11" s="16">
        <f>COUNTIFS('架電リスト'!$C$5:$C$244,$A11,'架電リスト'!$J$5:$J$244,"検討中")</f>
        <v/>
      </c>
      <c r="J11" s="16">
        <f>COUNTIFS('架電リスト'!$C$5:$C$244,$A11,'架電リスト'!$J$5:$J$244,"NG")</f>
        <v/>
      </c>
      <c r="K11" s="16">
        <f>COUNTIFS('架電リスト'!$C$5:$C$244,$A11,'架電リスト'!$J$5:$J$244,"番号不明")</f>
        <v/>
      </c>
    </row>
    <row r="12">
      <c r="A12" s="16" t="inlineStr">
        <is>
          <t>品川区</t>
        </is>
      </c>
      <c r="B12" s="16">
        <f>COUNTIF('架電リスト'!$C$5:$C$244,A12)</f>
        <v/>
      </c>
      <c r="C12" s="16">
        <f>COUNTIFS('架電リスト'!$C$5:$C$244,A12,'架電リスト'!$E$5:$E$244,"&lt;&gt;")</f>
        <v/>
      </c>
      <c r="D12" s="16">
        <f>B12-COUNTIFS('架電リスト'!$C$5:$C$244,A12,'架電リスト'!$J$5:$J$244,"未架電")-COUNTIFS('架電リスト'!$C$5:$C$244,A12,'架電リスト'!$J$5:$J$244,"")</f>
        <v/>
      </c>
      <c r="E12" s="16">
        <f>COUNTIFS('架電リスト'!$C$5:$C$244,$A12,'架電リスト'!$J$5:$J$244,"不在・折返し待ち")</f>
        <v/>
      </c>
      <c r="F12" s="16">
        <f>COUNTIFS('架電リスト'!$C$5:$C$244,$A12,'架電リスト'!$J$5:$J$244,"担当者不在")</f>
        <v/>
      </c>
      <c r="G12" s="16">
        <f>COUNTIFS('架電リスト'!$C$5:$C$244,$A12,'架電リスト'!$J$5:$J$244,"資料送付")</f>
        <v/>
      </c>
      <c r="H12" s="16">
        <f>COUNTIFS('架電リスト'!$C$5:$C$244,$A12,'架電リスト'!$J$5:$J$244,"アポ獲得")</f>
        <v/>
      </c>
      <c r="I12" s="16">
        <f>COUNTIFS('架電リスト'!$C$5:$C$244,$A12,'架電リスト'!$J$5:$J$244,"検討中")</f>
        <v/>
      </c>
      <c r="J12" s="16">
        <f>COUNTIFS('架電リスト'!$C$5:$C$244,$A12,'架電リスト'!$J$5:$J$244,"NG")</f>
        <v/>
      </c>
      <c r="K12" s="16">
        <f>COUNTIFS('架電リスト'!$C$5:$C$244,$A12,'架電リスト'!$J$5:$J$244,"番号不明")</f>
        <v/>
      </c>
    </row>
    <row r="13">
      <c r="A13" s="16" t="inlineStr">
        <is>
          <t>渋谷区</t>
        </is>
      </c>
      <c r="B13" s="16">
        <f>COUNTIF('架電リスト'!$C$5:$C$244,A13)</f>
        <v/>
      </c>
      <c r="C13" s="16">
        <f>COUNTIFS('架電リスト'!$C$5:$C$244,A13,'架電リスト'!$E$5:$E$244,"&lt;&gt;")</f>
        <v/>
      </c>
      <c r="D13" s="16">
        <f>B13-COUNTIFS('架電リスト'!$C$5:$C$244,A13,'架電リスト'!$J$5:$J$244,"未架電")-COUNTIFS('架電リスト'!$C$5:$C$244,A13,'架電リスト'!$J$5:$J$244,"")</f>
        <v/>
      </c>
      <c r="E13" s="16">
        <f>COUNTIFS('架電リスト'!$C$5:$C$244,$A13,'架電リスト'!$J$5:$J$244,"不在・折返し待ち")</f>
        <v/>
      </c>
      <c r="F13" s="16">
        <f>COUNTIFS('架電リスト'!$C$5:$C$244,$A13,'架電リスト'!$J$5:$J$244,"担当者不在")</f>
        <v/>
      </c>
      <c r="G13" s="16">
        <f>COUNTIFS('架電リスト'!$C$5:$C$244,$A13,'架電リスト'!$J$5:$J$244,"資料送付")</f>
        <v/>
      </c>
      <c r="H13" s="16">
        <f>COUNTIFS('架電リスト'!$C$5:$C$244,$A13,'架電リスト'!$J$5:$J$244,"アポ獲得")</f>
        <v/>
      </c>
      <c r="I13" s="16">
        <f>COUNTIFS('架電リスト'!$C$5:$C$244,$A13,'架電リスト'!$J$5:$J$244,"検討中")</f>
        <v/>
      </c>
      <c r="J13" s="16">
        <f>COUNTIFS('架電リスト'!$C$5:$C$244,$A13,'架電リスト'!$J$5:$J$244,"NG")</f>
        <v/>
      </c>
      <c r="K13" s="16">
        <f>COUNTIFS('架電リスト'!$C$5:$C$244,$A13,'架電リスト'!$J$5:$J$244,"番号不明")</f>
        <v/>
      </c>
    </row>
    <row r="14">
      <c r="A14" s="16" t="inlineStr">
        <is>
          <t>中野区</t>
        </is>
      </c>
      <c r="B14" s="16">
        <f>COUNTIF('架電リスト'!$C$5:$C$244,A14)</f>
        <v/>
      </c>
      <c r="C14" s="16">
        <f>COUNTIFS('架電リスト'!$C$5:$C$244,A14,'架電リスト'!$E$5:$E$244,"&lt;&gt;")</f>
        <v/>
      </c>
      <c r="D14" s="16">
        <f>B14-COUNTIFS('架電リスト'!$C$5:$C$244,A14,'架電リスト'!$J$5:$J$244,"未架電")-COUNTIFS('架電リスト'!$C$5:$C$244,A14,'架電リスト'!$J$5:$J$244,"")</f>
        <v/>
      </c>
      <c r="E14" s="16">
        <f>COUNTIFS('架電リスト'!$C$5:$C$244,$A14,'架電リスト'!$J$5:$J$244,"不在・折返し待ち")</f>
        <v/>
      </c>
      <c r="F14" s="16">
        <f>COUNTIFS('架電リスト'!$C$5:$C$244,$A14,'架電リスト'!$J$5:$J$244,"担当者不在")</f>
        <v/>
      </c>
      <c r="G14" s="16">
        <f>COUNTIFS('架電リスト'!$C$5:$C$244,$A14,'架電リスト'!$J$5:$J$244,"資料送付")</f>
        <v/>
      </c>
      <c r="H14" s="16">
        <f>COUNTIFS('架電リスト'!$C$5:$C$244,$A14,'架電リスト'!$J$5:$J$244,"アポ獲得")</f>
        <v/>
      </c>
      <c r="I14" s="16">
        <f>COUNTIFS('架電リスト'!$C$5:$C$244,$A14,'架電リスト'!$J$5:$J$244,"検討中")</f>
        <v/>
      </c>
      <c r="J14" s="16">
        <f>COUNTIFS('架電リスト'!$C$5:$C$244,$A14,'架電リスト'!$J$5:$J$244,"NG")</f>
        <v/>
      </c>
      <c r="K14" s="16">
        <f>COUNTIFS('架電リスト'!$C$5:$C$244,$A14,'架電リスト'!$J$5:$J$244,"番号不明")</f>
        <v/>
      </c>
    </row>
    <row r="15">
      <c r="A15" s="16" t="inlineStr">
        <is>
          <t>新宿区</t>
        </is>
      </c>
      <c r="B15" s="16">
        <f>COUNTIF('架電リスト'!$C$5:$C$244,A15)</f>
        <v/>
      </c>
      <c r="C15" s="16">
        <f>COUNTIFS('架電リスト'!$C$5:$C$244,A15,'架電リスト'!$E$5:$E$244,"&lt;&gt;")</f>
        <v/>
      </c>
      <c r="D15" s="16">
        <f>B15-COUNTIFS('架電リスト'!$C$5:$C$244,A15,'架電リスト'!$J$5:$J$244,"未架電")-COUNTIFS('架電リスト'!$C$5:$C$244,A15,'架電リスト'!$J$5:$J$244,"")</f>
        <v/>
      </c>
      <c r="E15" s="16">
        <f>COUNTIFS('架電リスト'!$C$5:$C$244,$A15,'架電リスト'!$J$5:$J$244,"不在・折返し待ち")</f>
        <v/>
      </c>
      <c r="F15" s="16">
        <f>COUNTIFS('架電リスト'!$C$5:$C$244,$A15,'架電リスト'!$J$5:$J$244,"担当者不在")</f>
        <v/>
      </c>
      <c r="G15" s="16">
        <f>COUNTIFS('架電リスト'!$C$5:$C$244,$A15,'架電リスト'!$J$5:$J$244,"資料送付")</f>
        <v/>
      </c>
      <c r="H15" s="16">
        <f>COUNTIFS('架電リスト'!$C$5:$C$244,$A15,'架電リスト'!$J$5:$J$244,"アポ獲得")</f>
        <v/>
      </c>
      <c r="I15" s="16">
        <f>COUNTIFS('架電リスト'!$C$5:$C$244,$A15,'架電リスト'!$J$5:$J$244,"検討中")</f>
        <v/>
      </c>
      <c r="J15" s="16">
        <f>COUNTIFS('架電リスト'!$C$5:$C$244,$A15,'架電リスト'!$J$5:$J$244,"NG")</f>
        <v/>
      </c>
      <c r="K15" s="16">
        <f>COUNTIFS('架電リスト'!$C$5:$C$244,$A15,'架電リスト'!$J$5:$J$244,"番号不明")</f>
        <v/>
      </c>
    </row>
    <row r="16">
      <c r="A16" s="16" t="inlineStr">
        <is>
          <t>目黒区</t>
        </is>
      </c>
      <c r="B16" s="16">
        <f>COUNTIF('架電リスト'!$C$5:$C$244,A16)</f>
        <v/>
      </c>
      <c r="C16" s="16">
        <f>COUNTIFS('架電リスト'!$C$5:$C$244,A16,'架電リスト'!$E$5:$E$244,"&lt;&gt;")</f>
        <v/>
      </c>
      <c r="D16" s="16">
        <f>B16-COUNTIFS('架電リスト'!$C$5:$C$244,A16,'架電リスト'!$J$5:$J$244,"未架電")-COUNTIFS('架電リスト'!$C$5:$C$244,A16,'架電リスト'!$J$5:$J$244,"")</f>
        <v/>
      </c>
      <c r="E16" s="16">
        <f>COUNTIFS('架電リスト'!$C$5:$C$244,$A16,'架電リスト'!$J$5:$J$244,"不在・折返し待ち")</f>
        <v/>
      </c>
      <c r="F16" s="16">
        <f>COUNTIFS('架電リスト'!$C$5:$C$244,$A16,'架電リスト'!$J$5:$J$244,"担当者不在")</f>
        <v/>
      </c>
      <c r="G16" s="16">
        <f>COUNTIFS('架電リスト'!$C$5:$C$244,$A16,'架電リスト'!$J$5:$J$244,"資料送付")</f>
        <v/>
      </c>
      <c r="H16" s="16">
        <f>COUNTIFS('架電リスト'!$C$5:$C$244,$A16,'架電リスト'!$J$5:$J$244,"アポ獲得")</f>
        <v/>
      </c>
      <c r="I16" s="16">
        <f>COUNTIFS('架電リスト'!$C$5:$C$244,$A16,'架電リスト'!$J$5:$J$244,"検討中")</f>
        <v/>
      </c>
      <c r="J16" s="16">
        <f>COUNTIFS('架電リスト'!$C$5:$C$244,$A16,'架電リスト'!$J$5:$J$244,"NG")</f>
        <v/>
      </c>
      <c r="K16" s="16">
        <f>COUNTIFS('架電リスト'!$C$5:$C$244,$A16,'架電リスト'!$J$5:$J$244,"番号不明")</f>
        <v/>
      </c>
    </row>
    <row r="17">
      <c r="A17" s="16" t="inlineStr">
        <is>
          <t>大田区</t>
        </is>
      </c>
      <c r="B17" s="16">
        <f>COUNTIF('架電リスト'!$C$5:$C$244,A17)</f>
        <v/>
      </c>
      <c r="C17" s="16">
        <f>COUNTIFS('架電リスト'!$C$5:$C$244,A17,'架電リスト'!$E$5:$E$244,"&lt;&gt;")</f>
        <v/>
      </c>
      <c r="D17" s="16">
        <f>B17-COUNTIFS('架電リスト'!$C$5:$C$244,A17,'架電リスト'!$J$5:$J$244,"未架電")-COUNTIFS('架電リスト'!$C$5:$C$244,A17,'架電リスト'!$J$5:$J$244,"")</f>
        <v/>
      </c>
      <c r="E17" s="16">
        <f>COUNTIFS('架電リスト'!$C$5:$C$244,$A17,'架電リスト'!$J$5:$J$244,"不在・折返し待ち")</f>
        <v/>
      </c>
      <c r="F17" s="16">
        <f>COUNTIFS('架電リスト'!$C$5:$C$244,$A17,'架電リスト'!$J$5:$J$244,"担当者不在")</f>
        <v/>
      </c>
      <c r="G17" s="16">
        <f>COUNTIFS('架電リスト'!$C$5:$C$244,$A17,'架電リスト'!$J$5:$J$244,"資料送付")</f>
        <v/>
      </c>
      <c r="H17" s="16">
        <f>COUNTIFS('架電リスト'!$C$5:$C$244,$A17,'架電リスト'!$J$5:$J$244,"アポ獲得")</f>
        <v/>
      </c>
      <c r="I17" s="16">
        <f>COUNTIFS('架電リスト'!$C$5:$C$244,$A17,'架電リスト'!$J$5:$J$244,"検討中")</f>
        <v/>
      </c>
      <c r="J17" s="16">
        <f>COUNTIFS('架電リスト'!$C$5:$C$244,$A17,'架電リスト'!$J$5:$J$244,"NG")</f>
        <v/>
      </c>
      <c r="K17" s="16">
        <f>COUNTIFS('架電リスト'!$C$5:$C$244,$A17,'架電リスト'!$J$5:$J$244,"番号不明")</f>
        <v/>
      </c>
    </row>
    <row r="18">
      <c r="A18" s="16" t="inlineStr">
        <is>
          <t>板橋区</t>
        </is>
      </c>
      <c r="B18" s="16">
        <f>COUNTIF('架電リスト'!$C$5:$C$244,A18)</f>
        <v/>
      </c>
      <c r="C18" s="16">
        <f>COUNTIFS('架電リスト'!$C$5:$C$244,A18,'架電リスト'!$E$5:$E$244,"&lt;&gt;")</f>
        <v/>
      </c>
      <c r="D18" s="16">
        <f>B18-COUNTIFS('架電リスト'!$C$5:$C$244,A18,'架電リスト'!$J$5:$J$244,"未架電")-COUNTIFS('架電リスト'!$C$5:$C$244,A18,'架電リスト'!$J$5:$J$244,"")</f>
        <v/>
      </c>
      <c r="E18" s="16">
        <f>COUNTIFS('架電リスト'!$C$5:$C$244,$A18,'架電リスト'!$J$5:$J$244,"不在・折返し待ち")</f>
        <v/>
      </c>
      <c r="F18" s="16">
        <f>COUNTIFS('架電リスト'!$C$5:$C$244,$A18,'架電リスト'!$J$5:$J$244,"担当者不在")</f>
        <v/>
      </c>
      <c r="G18" s="16">
        <f>COUNTIFS('架電リスト'!$C$5:$C$244,$A18,'架電リスト'!$J$5:$J$244,"資料送付")</f>
        <v/>
      </c>
      <c r="H18" s="16">
        <f>COUNTIFS('架電リスト'!$C$5:$C$244,$A18,'架電リスト'!$J$5:$J$244,"アポ獲得")</f>
        <v/>
      </c>
      <c r="I18" s="16">
        <f>COUNTIFS('架電リスト'!$C$5:$C$244,$A18,'架電リスト'!$J$5:$J$244,"検討中")</f>
        <v/>
      </c>
      <c r="J18" s="16">
        <f>COUNTIFS('架電リスト'!$C$5:$C$244,$A18,'架電リスト'!$J$5:$J$244,"NG")</f>
        <v/>
      </c>
      <c r="K18" s="16">
        <f>COUNTIFS('架電リスト'!$C$5:$C$244,$A18,'架電リスト'!$J$5:$J$244,"番号不明")</f>
        <v/>
      </c>
    </row>
    <row r="19">
      <c r="A19" s="16" t="inlineStr">
        <is>
          <t>町田市</t>
        </is>
      </c>
      <c r="B19" s="16">
        <f>COUNTIF('架電リスト'!$C$5:$C$244,A19)</f>
        <v/>
      </c>
      <c r="C19" s="16">
        <f>COUNTIFS('架電リスト'!$C$5:$C$244,A19,'架電リスト'!$E$5:$E$244,"&lt;&gt;")</f>
        <v/>
      </c>
      <c r="D19" s="16">
        <f>B19-COUNTIFS('架電リスト'!$C$5:$C$244,A19,'架電リスト'!$J$5:$J$244,"未架電")-COUNTIFS('架電リスト'!$C$5:$C$244,A19,'架電リスト'!$J$5:$J$244,"")</f>
        <v/>
      </c>
      <c r="E19" s="16">
        <f>COUNTIFS('架電リスト'!$C$5:$C$244,$A19,'架電リスト'!$J$5:$J$244,"不在・折返し待ち")</f>
        <v/>
      </c>
      <c r="F19" s="16">
        <f>COUNTIFS('架電リスト'!$C$5:$C$244,$A19,'架電リスト'!$J$5:$J$244,"担当者不在")</f>
        <v/>
      </c>
      <c r="G19" s="16">
        <f>COUNTIFS('架電リスト'!$C$5:$C$244,$A19,'架電リスト'!$J$5:$J$244,"資料送付")</f>
        <v/>
      </c>
      <c r="H19" s="16">
        <f>COUNTIFS('架電リスト'!$C$5:$C$244,$A19,'架電リスト'!$J$5:$J$244,"アポ獲得")</f>
        <v/>
      </c>
      <c r="I19" s="16">
        <f>COUNTIFS('架電リスト'!$C$5:$C$244,$A19,'架電リスト'!$J$5:$J$244,"検討中")</f>
        <v/>
      </c>
      <c r="J19" s="16">
        <f>COUNTIFS('架電リスト'!$C$5:$C$244,$A19,'架電リスト'!$J$5:$J$244,"NG")</f>
        <v/>
      </c>
      <c r="K19" s="16">
        <f>COUNTIFS('架電リスト'!$C$5:$C$244,$A19,'架電リスト'!$J$5:$J$244,"番号不明")</f>
        <v/>
      </c>
    </row>
    <row r="20">
      <c r="A20" s="16" t="inlineStr">
        <is>
          <t>練馬区</t>
        </is>
      </c>
      <c r="B20" s="16">
        <f>COUNTIF('架電リスト'!$C$5:$C$244,A20)</f>
        <v/>
      </c>
      <c r="C20" s="16">
        <f>COUNTIFS('架電リスト'!$C$5:$C$244,A20,'架電リスト'!$E$5:$E$244,"&lt;&gt;")</f>
        <v/>
      </c>
      <c r="D20" s="16">
        <f>B20-COUNTIFS('架電リスト'!$C$5:$C$244,A20,'架電リスト'!$J$5:$J$244,"未架電")-COUNTIFS('架電リスト'!$C$5:$C$244,A20,'架電リスト'!$J$5:$J$244,"")</f>
        <v/>
      </c>
      <c r="E20" s="16">
        <f>COUNTIFS('架電リスト'!$C$5:$C$244,$A20,'架電リスト'!$J$5:$J$244,"不在・折返し待ち")</f>
        <v/>
      </c>
      <c r="F20" s="16">
        <f>COUNTIFS('架電リスト'!$C$5:$C$244,$A20,'架電リスト'!$J$5:$J$244,"担当者不在")</f>
        <v/>
      </c>
      <c r="G20" s="16">
        <f>COUNTIFS('架電リスト'!$C$5:$C$244,$A20,'架電リスト'!$J$5:$J$244,"資料送付")</f>
        <v/>
      </c>
      <c r="H20" s="16">
        <f>COUNTIFS('架電リスト'!$C$5:$C$244,$A20,'架電リスト'!$J$5:$J$244,"アポ獲得")</f>
        <v/>
      </c>
      <c r="I20" s="16">
        <f>COUNTIFS('架電リスト'!$C$5:$C$244,$A20,'架電リスト'!$J$5:$J$244,"検討中")</f>
        <v/>
      </c>
      <c r="J20" s="16">
        <f>COUNTIFS('架電リスト'!$C$5:$C$244,$A20,'架電リスト'!$J$5:$J$244,"NG")</f>
        <v/>
      </c>
      <c r="K20" s="16">
        <f>COUNTIFS('架電リスト'!$C$5:$C$244,$A20,'架電リスト'!$J$5:$J$244,"番号不明")</f>
        <v/>
      </c>
    </row>
    <row r="21">
      <c r="A21" s="16" t="inlineStr">
        <is>
          <t>江東区</t>
        </is>
      </c>
      <c r="B21" s="16">
        <f>COUNTIF('架電リスト'!$C$5:$C$244,A21)</f>
        <v/>
      </c>
      <c r="C21" s="16">
        <f>COUNTIFS('架電リスト'!$C$5:$C$244,A21,'架電リスト'!$E$5:$E$244,"&lt;&gt;")</f>
        <v/>
      </c>
      <c r="D21" s="16">
        <f>B21-COUNTIFS('架電リスト'!$C$5:$C$244,A21,'架電リスト'!$J$5:$J$244,"未架電")-COUNTIFS('架電リスト'!$C$5:$C$244,A21,'架電リスト'!$J$5:$J$244,"")</f>
        <v/>
      </c>
      <c r="E21" s="16">
        <f>COUNTIFS('架電リスト'!$C$5:$C$244,$A21,'架電リスト'!$J$5:$J$244,"不在・折返し待ち")</f>
        <v/>
      </c>
      <c r="F21" s="16">
        <f>COUNTIFS('架電リスト'!$C$5:$C$244,$A21,'架電リスト'!$J$5:$J$244,"担当者不在")</f>
        <v/>
      </c>
      <c r="G21" s="16">
        <f>COUNTIFS('架電リスト'!$C$5:$C$244,$A21,'架電リスト'!$J$5:$J$244,"資料送付")</f>
        <v/>
      </c>
      <c r="H21" s="16">
        <f>COUNTIFS('架電リスト'!$C$5:$C$244,$A21,'架電リスト'!$J$5:$J$244,"アポ獲得")</f>
        <v/>
      </c>
      <c r="I21" s="16">
        <f>COUNTIFS('架電リスト'!$C$5:$C$244,$A21,'架電リスト'!$J$5:$J$244,"検討中")</f>
        <v/>
      </c>
      <c r="J21" s="16">
        <f>COUNTIFS('架電リスト'!$C$5:$C$244,$A21,'架電リスト'!$J$5:$J$244,"NG")</f>
        <v/>
      </c>
      <c r="K21" s="16">
        <f>COUNTIFS('架電リスト'!$C$5:$C$244,$A21,'架電リスト'!$J$5:$J$244,"番号不明")</f>
        <v/>
      </c>
    </row>
    <row r="22">
      <c r="A22" s="16" t="inlineStr">
        <is>
          <t>武蔵野市</t>
        </is>
      </c>
      <c r="B22" s="16">
        <f>COUNTIF('架電リスト'!$C$5:$C$244,A22)</f>
        <v/>
      </c>
      <c r="C22" s="16">
        <f>COUNTIFS('架電リスト'!$C$5:$C$244,A22,'架電リスト'!$E$5:$E$244,"&lt;&gt;")</f>
        <v/>
      </c>
      <c r="D22" s="16">
        <f>B22-COUNTIFS('架電リスト'!$C$5:$C$244,A22,'架電リスト'!$J$5:$J$244,"未架電")-COUNTIFS('架電リスト'!$C$5:$C$244,A22,'架電リスト'!$J$5:$J$244,"")</f>
        <v/>
      </c>
      <c r="E22" s="16">
        <f>COUNTIFS('架電リスト'!$C$5:$C$244,$A22,'架電リスト'!$J$5:$J$244,"不在・折返し待ち")</f>
        <v/>
      </c>
      <c r="F22" s="16">
        <f>COUNTIFS('架電リスト'!$C$5:$C$244,$A22,'架電リスト'!$J$5:$J$244,"担当者不在")</f>
        <v/>
      </c>
      <c r="G22" s="16">
        <f>COUNTIFS('架電リスト'!$C$5:$C$244,$A22,'架電リスト'!$J$5:$J$244,"資料送付")</f>
        <v/>
      </c>
      <c r="H22" s="16">
        <f>COUNTIFS('架電リスト'!$C$5:$C$244,$A22,'架電リスト'!$J$5:$J$244,"アポ獲得")</f>
        <v/>
      </c>
      <c r="I22" s="16">
        <f>COUNTIFS('架電リスト'!$C$5:$C$244,$A22,'架電リスト'!$J$5:$J$244,"検討中")</f>
        <v/>
      </c>
      <c r="J22" s="16">
        <f>COUNTIFS('架電リスト'!$C$5:$C$244,$A22,'架電リスト'!$J$5:$J$244,"NG")</f>
        <v/>
      </c>
      <c r="K22" s="16">
        <f>COUNTIFS('架電リスト'!$C$5:$C$244,$A22,'架電リスト'!$J$5:$J$244,"番号不明")</f>
        <v/>
      </c>
    </row>
    <row r="23">
      <c r="A23" s="16" t="inlineStr">
        <is>
          <t>調布市</t>
        </is>
      </c>
      <c r="B23" s="16">
        <f>COUNTIF('架電リスト'!$C$5:$C$244,A23)</f>
        <v/>
      </c>
      <c r="C23" s="16">
        <f>COUNTIFS('架電リスト'!$C$5:$C$244,A23,'架電リスト'!$E$5:$E$244,"&lt;&gt;")</f>
        <v/>
      </c>
      <c r="D23" s="16">
        <f>B23-COUNTIFS('架電リスト'!$C$5:$C$244,A23,'架電リスト'!$J$5:$J$244,"未架電")-COUNTIFS('架電リスト'!$C$5:$C$244,A23,'架電リスト'!$J$5:$J$244,"")</f>
        <v/>
      </c>
      <c r="E23" s="16">
        <f>COUNTIFS('架電リスト'!$C$5:$C$244,$A23,'架電リスト'!$J$5:$J$244,"不在・折返し待ち")</f>
        <v/>
      </c>
      <c r="F23" s="16">
        <f>COUNTIFS('架電リスト'!$C$5:$C$244,$A23,'架電リスト'!$J$5:$J$244,"担当者不在")</f>
        <v/>
      </c>
      <c r="G23" s="16">
        <f>COUNTIFS('架電リスト'!$C$5:$C$244,$A23,'架電リスト'!$J$5:$J$244,"資料送付")</f>
        <v/>
      </c>
      <c r="H23" s="16">
        <f>COUNTIFS('架電リスト'!$C$5:$C$244,$A23,'架電リスト'!$J$5:$J$244,"アポ獲得")</f>
        <v/>
      </c>
      <c r="I23" s="16">
        <f>COUNTIFS('架電リスト'!$C$5:$C$244,$A23,'架電リスト'!$J$5:$J$244,"検討中")</f>
        <v/>
      </c>
      <c r="J23" s="16">
        <f>COUNTIFS('架電リスト'!$C$5:$C$244,$A23,'架電リスト'!$J$5:$J$244,"NG")</f>
        <v/>
      </c>
      <c r="K23" s="16">
        <f>COUNTIFS('架電リスト'!$C$5:$C$244,$A23,'架電リスト'!$J$5:$J$244,"番号不明")</f>
        <v/>
      </c>
    </row>
    <row r="24">
      <c r="A24" s="16" t="inlineStr">
        <is>
          <t>江戸川区</t>
        </is>
      </c>
      <c r="B24" s="16">
        <f>COUNTIF('架電リスト'!$C$5:$C$244,A24)</f>
        <v/>
      </c>
      <c r="C24" s="16">
        <f>COUNTIFS('架電リスト'!$C$5:$C$244,A24,'架電リスト'!$E$5:$E$244,"&lt;&gt;")</f>
        <v/>
      </c>
      <c r="D24" s="16">
        <f>B24-COUNTIFS('架電リスト'!$C$5:$C$244,A24,'架電リスト'!$J$5:$J$244,"未架電")-COUNTIFS('架電リスト'!$C$5:$C$244,A24,'架電リスト'!$J$5:$J$244,"")</f>
        <v/>
      </c>
      <c r="E24" s="16">
        <f>COUNTIFS('架電リスト'!$C$5:$C$244,$A24,'架電リスト'!$J$5:$J$244,"不在・折返し待ち")</f>
        <v/>
      </c>
      <c r="F24" s="16">
        <f>COUNTIFS('架電リスト'!$C$5:$C$244,$A24,'架電リスト'!$J$5:$J$244,"担当者不在")</f>
        <v/>
      </c>
      <c r="G24" s="16">
        <f>COUNTIFS('架電リスト'!$C$5:$C$244,$A24,'架電リスト'!$J$5:$J$244,"資料送付")</f>
        <v/>
      </c>
      <c r="H24" s="16">
        <f>COUNTIFS('架電リスト'!$C$5:$C$244,$A24,'架電リスト'!$J$5:$J$244,"アポ獲得")</f>
        <v/>
      </c>
      <c r="I24" s="16">
        <f>COUNTIFS('架電リスト'!$C$5:$C$244,$A24,'架電リスト'!$J$5:$J$244,"検討中")</f>
        <v/>
      </c>
      <c r="J24" s="16">
        <f>COUNTIFS('架電リスト'!$C$5:$C$244,$A24,'架電リスト'!$J$5:$J$244,"NG")</f>
        <v/>
      </c>
      <c r="K24" s="16">
        <f>COUNTIFS('架電リスト'!$C$5:$C$244,$A24,'架電リスト'!$J$5:$J$244,"番号不明")</f>
        <v/>
      </c>
    </row>
    <row r="25">
      <c r="A25" s="16" t="inlineStr">
        <is>
          <t>国立市</t>
        </is>
      </c>
      <c r="B25" s="16">
        <f>COUNTIF('架電リスト'!$C$5:$C$244,A25)</f>
        <v/>
      </c>
      <c r="C25" s="16">
        <f>COUNTIFS('架電リスト'!$C$5:$C$244,A25,'架電リスト'!$E$5:$E$244,"&lt;&gt;")</f>
        <v/>
      </c>
      <c r="D25" s="16">
        <f>B25-COUNTIFS('架電リスト'!$C$5:$C$244,A25,'架電リスト'!$J$5:$J$244,"未架電")-COUNTIFS('架電リスト'!$C$5:$C$244,A25,'架電リスト'!$J$5:$J$244,"")</f>
        <v/>
      </c>
      <c r="E25" s="16">
        <f>COUNTIFS('架電リスト'!$C$5:$C$244,$A25,'架電リスト'!$J$5:$J$244,"不在・折返し待ち")</f>
        <v/>
      </c>
      <c r="F25" s="16">
        <f>COUNTIFS('架電リスト'!$C$5:$C$244,$A25,'架電リスト'!$J$5:$J$244,"担当者不在")</f>
        <v/>
      </c>
      <c r="G25" s="16">
        <f>COUNTIFS('架電リスト'!$C$5:$C$244,$A25,'架電リスト'!$J$5:$J$244,"資料送付")</f>
        <v/>
      </c>
      <c r="H25" s="16">
        <f>COUNTIFS('架電リスト'!$C$5:$C$244,$A25,'架電リスト'!$J$5:$J$244,"アポ獲得")</f>
        <v/>
      </c>
      <c r="I25" s="16">
        <f>COUNTIFS('架電リスト'!$C$5:$C$244,$A25,'架電リスト'!$J$5:$J$244,"検討中")</f>
        <v/>
      </c>
      <c r="J25" s="16">
        <f>COUNTIFS('架電リスト'!$C$5:$C$244,$A25,'架電リスト'!$J$5:$J$244,"NG")</f>
        <v/>
      </c>
      <c r="K25" s="16">
        <f>COUNTIFS('架電リスト'!$C$5:$C$244,$A25,'架電リスト'!$J$5:$J$244,"番号不明")</f>
        <v/>
      </c>
    </row>
    <row r="26">
      <c r="A26" s="16" t="inlineStr">
        <is>
          <t>小平市</t>
        </is>
      </c>
      <c r="B26" s="16">
        <f>COUNTIF('架電リスト'!$C$5:$C$244,A26)</f>
        <v/>
      </c>
      <c r="C26" s="16">
        <f>COUNTIFS('架電リスト'!$C$5:$C$244,A26,'架電リスト'!$E$5:$E$244,"&lt;&gt;")</f>
        <v/>
      </c>
      <c r="D26" s="16">
        <f>B26-COUNTIFS('架電リスト'!$C$5:$C$244,A26,'架電リスト'!$J$5:$J$244,"未架電")-COUNTIFS('架電リスト'!$C$5:$C$244,A26,'架電リスト'!$J$5:$J$244,"")</f>
        <v/>
      </c>
      <c r="E26" s="16">
        <f>COUNTIFS('架電リスト'!$C$5:$C$244,$A26,'架電リスト'!$J$5:$J$244,"不在・折返し待ち")</f>
        <v/>
      </c>
      <c r="F26" s="16">
        <f>COUNTIFS('架電リスト'!$C$5:$C$244,$A26,'架電リスト'!$J$5:$J$244,"担当者不在")</f>
        <v/>
      </c>
      <c r="G26" s="16">
        <f>COUNTIFS('架電リスト'!$C$5:$C$244,$A26,'架電リスト'!$J$5:$J$244,"資料送付")</f>
        <v/>
      </c>
      <c r="H26" s="16">
        <f>COUNTIFS('架電リスト'!$C$5:$C$244,$A26,'架電リスト'!$J$5:$J$244,"アポ獲得")</f>
        <v/>
      </c>
      <c r="I26" s="16">
        <f>COUNTIFS('架電リスト'!$C$5:$C$244,$A26,'架電リスト'!$J$5:$J$244,"検討中")</f>
        <v/>
      </c>
      <c r="J26" s="16">
        <f>COUNTIFS('架電リスト'!$C$5:$C$244,$A26,'架電リスト'!$J$5:$J$244,"NG")</f>
        <v/>
      </c>
      <c r="K26" s="16">
        <f>COUNTIFS('架電リスト'!$C$5:$C$244,$A26,'架電リスト'!$J$5:$J$244,"番号不明")</f>
        <v/>
      </c>
    </row>
    <row r="27">
      <c r="A27" s="16" t="inlineStr">
        <is>
          <t>小金井市</t>
        </is>
      </c>
      <c r="B27" s="16">
        <f>COUNTIF('架電リスト'!$C$5:$C$244,A27)</f>
        <v/>
      </c>
      <c r="C27" s="16">
        <f>COUNTIFS('架電リスト'!$C$5:$C$244,A27,'架電リスト'!$E$5:$E$244,"&lt;&gt;")</f>
        <v/>
      </c>
      <c r="D27" s="16">
        <f>B27-COUNTIFS('架電リスト'!$C$5:$C$244,A27,'架電リスト'!$J$5:$J$244,"未架電")-COUNTIFS('架電リスト'!$C$5:$C$244,A27,'架電リスト'!$J$5:$J$244,"")</f>
        <v/>
      </c>
      <c r="E27" s="16">
        <f>COUNTIFS('架電リスト'!$C$5:$C$244,$A27,'架電リスト'!$J$5:$J$244,"不在・折返し待ち")</f>
        <v/>
      </c>
      <c r="F27" s="16">
        <f>COUNTIFS('架電リスト'!$C$5:$C$244,$A27,'架電リスト'!$J$5:$J$244,"担当者不在")</f>
        <v/>
      </c>
      <c r="G27" s="16">
        <f>COUNTIFS('架電リスト'!$C$5:$C$244,$A27,'架電リスト'!$J$5:$J$244,"資料送付")</f>
        <v/>
      </c>
      <c r="H27" s="16">
        <f>COUNTIFS('架電リスト'!$C$5:$C$244,$A27,'架電リスト'!$J$5:$J$244,"アポ獲得")</f>
        <v/>
      </c>
      <c r="I27" s="16">
        <f>COUNTIFS('架電リスト'!$C$5:$C$244,$A27,'架電リスト'!$J$5:$J$244,"検討中")</f>
        <v/>
      </c>
      <c r="J27" s="16">
        <f>COUNTIFS('架電リスト'!$C$5:$C$244,$A27,'架電リスト'!$J$5:$J$244,"NG")</f>
        <v/>
      </c>
      <c r="K27" s="16">
        <f>COUNTIFS('架電リスト'!$C$5:$C$244,$A27,'架電リスト'!$J$5:$J$244,"番号不明")</f>
        <v/>
      </c>
    </row>
    <row r="28">
      <c r="A28" s="16" t="inlineStr">
        <is>
          <t>三鷹市</t>
        </is>
      </c>
      <c r="B28" s="16">
        <f>COUNTIF('架電リスト'!$C$5:$C$244,A28)</f>
        <v/>
      </c>
      <c r="C28" s="16">
        <f>COUNTIFS('架電リスト'!$C$5:$C$244,A28,'架電リスト'!$E$5:$E$244,"&lt;&gt;")</f>
        <v/>
      </c>
      <c r="D28" s="16">
        <f>B28-COUNTIFS('架電リスト'!$C$5:$C$244,A28,'架電リスト'!$J$5:$J$244,"未架電")-COUNTIFS('架電リスト'!$C$5:$C$244,A28,'架電リスト'!$J$5:$J$244,"")</f>
        <v/>
      </c>
      <c r="E28" s="16">
        <f>COUNTIFS('架電リスト'!$C$5:$C$244,$A28,'架電リスト'!$J$5:$J$244,"不在・折返し待ち")</f>
        <v/>
      </c>
      <c r="F28" s="16">
        <f>COUNTIFS('架電リスト'!$C$5:$C$244,$A28,'架電リスト'!$J$5:$J$244,"担当者不在")</f>
        <v/>
      </c>
      <c r="G28" s="16">
        <f>COUNTIFS('架電リスト'!$C$5:$C$244,$A28,'架電リスト'!$J$5:$J$244,"資料送付")</f>
        <v/>
      </c>
      <c r="H28" s="16">
        <f>COUNTIFS('架電リスト'!$C$5:$C$244,$A28,'架電リスト'!$J$5:$J$244,"アポ獲得")</f>
        <v/>
      </c>
      <c r="I28" s="16">
        <f>COUNTIFS('架電リスト'!$C$5:$C$244,$A28,'架電リスト'!$J$5:$J$244,"検討中")</f>
        <v/>
      </c>
      <c r="J28" s="16">
        <f>COUNTIFS('架電リスト'!$C$5:$C$244,$A28,'架電リスト'!$J$5:$J$244,"NG")</f>
        <v/>
      </c>
      <c r="K28" s="16">
        <f>COUNTIFS('架電リスト'!$C$5:$C$244,$A28,'架電リスト'!$J$5:$J$244,"番号不明")</f>
        <v/>
      </c>
    </row>
    <row r="29">
      <c r="A29" s="16" t="inlineStr">
        <is>
          <t>東村山市</t>
        </is>
      </c>
      <c r="B29" s="16">
        <f>COUNTIF('架電リスト'!$C$5:$C$244,A29)</f>
        <v/>
      </c>
      <c r="C29" s="16">
        <f>COUNTIFS('架電リスト'!$C$5:$C$244,A29,'架電リスト'!$E$5:$E$244,"&lt;&gt;")</f>
        <v/>
      </c>
      <c r="D29" s="16">
        <f>B29-COUNTIFS('架電リスト'!$C$5:$C$244,A29,'架電リスト'!$J$5:$J$244,"未架電")-COUNTIFS('架電リスト'!$C$5:$C$244,A29,'架電リスト'!$J$5:$J$244,"")</f>
        <v/>
      </c>
      <c r="E29" s="16">
        <f>COUNTIFS('架電リスト'!$C$5:$C$244,$A29,'架電リスト'!$J$5:$J$244,"不在・折返し待ち")</f>
        <v/>
      </c>
      <c r="F29" s="16">
        <f>COUNTIFS('架電リスト'!$C$5:$C$244,$A29,'架電リスト'!$J$5:$J$244,"担当者不在")</f>
        <v/>
      </c>
      <c r="G29" s="16">
        <f>COUNTIFS('架電リスト'!$C$5:$C$244,$A29,'架電リスト'!$J$5:$J$244,"資料送付")</f>
        <v/>
      </c>
      <c r="H29" s="16">
        <f>COUNTIFS('架電リスト'!$C$5:$C$244,$A29,'架電リスト'!$J$5:$J$244,"アポ獲得")</f>
        <v/>
      </c>
      <c r="I29" s="16">
        <f>COUNTIFS('架電リスト'!$C$5:$C$244,$A29,'架電リスト'!$J$5:$J$244,"検討中")</f>
        <v/>
      </c>
      <c r="J29" s="16">
        <f>COUNTIFS('架電リスト'!$C$5:$C$244,$A29,'架電リスト'!$J$5:$J$244,"NG")</f>
        <v/>
      </c>
      <c r="K29" s="16">
        <f>COUNTIFS('架電リスト'!$C$5:$C$244,$A29,'架電リスト'!$J$5:$J$244,"番号不明")</f>
        <v/>
      </c>
    </row>
    <row r="30">
      <c r="A30" s="16" t="inlineStr">
        <is>
          <t>墨田区</t>
        </is>
      </c>
      <c r="B30" s="16">
        <f>COUNTIF('架電リスト'!$C$5:$C$244,A30)</f>
        <v/>
      </c>
      <c r="C30" s="16">
        <f>COUNTIFS('架電リスト'!$C$5:$C$244,A30,'架電リスト'!$E$5:$E$244,"&lt;&gt;")</f>
        <v/>
      </c>
      <c r="D30" s="16">
        <f>B30-COUNTIFS('架電リスト'!$C$5:$C$244,A30,'架電リスト'!$J$5:$J$244,"未架電")-COUNTIFS('架電リスト'!$C$5:$C$244,A30,'架電リスト'!$J$5:$J$244,"")</f>
        <v/>
      </c>
      <c r="E30" s="16">
        <f>COUNTIFS('架電リスト'!$C$5:$C$244,$A30,'架電リスト'!$J$5:$J$244,"不在・折返し待ち")</f>
        <v/>
      </c>
      <c r="F30" s="16">
        <f>COUNTIFS('架電リスト'!$C$5:$C$244,$A30,'架電リスト'!$J$5:$J$244,"担当者不在")</f>
        <v/>
      </c>
      <c r="G30" s="16">
        <f>COUNTIFS('架電リスト'!$C$5:$C$244,$A30,'架電リスト'!$J$5:$J$244,"資料送付")</f>
        <v/>
      </c>
      <c r="H30" s="16">
        <f>COUNTIFS('架電リスト'!$C$5:$C$244,$A30,'架電リスト'!$J$5:$J$244,"アポ獲得")</f>
        <v/>
      </c>
      <c r="I30" s="16">
        <f>COUNTIFS('架電リスト'!$C$5:$C$244,$A30,'架電リスト'!$J$5:$J$244,"検討中")</f>
        <v/>
      </c>
      <c r="J30" s="16">
        <f>COUNTIFS('架電リスト'!$C$5:$C$244,$A30,'架電リスト'!$J$5:$J$244,"NG")</f>
        <v/>
      </c>
      <c r="K30" s="16">
        <f>COUNTIFS('架電リスト'!$C$5:$C$244,$A30,'架電リスト'!$J$5:$J$244,"番号不明")</f>
        <v/>
      </c>
    </row>
    <row r="31">
      <c r="A31" s="16" t="inlineStr">
        <is>
          <t>足立区</t>
        </is>
      </c>
      <c r="B31" s="16">
        <f>COUNTIF('架電リスト'!$C$5:$C$244,A31)</f>
        <v/>
      </c>
      <c r="C31" s="16">
        <f>COUNTIFS('架電リスト'!$C$5:$C$244,A31,'架電リスト'!$E$5:$E$244,"&lt;&gt;")</f>
        <v/>
      </c>
      <c r="D31" s="16">
        <f>B31-COUNTIFS('架電リスト'!$C$5:$C$244,A31,'架電リスト'!$J$5:$J$244,"未架電")-COUNTIFS('架電リスト'!$C$5:$C$244,A31,'架電リスト'!$J$5:$J$244,"")</f>
        <v/>
      </c>
      <c r="E31" s="16">
        <f>COUNTIFS('架電リスト'!$C$5:$C$244,$A31,'架電リスト'!$J$5:$J$244,"不在・折返し待ち")</f>
        <v/>
      </c>
      <c r="F31" s="16">
        <f>COUNTIFS('架電リスト'!$C$5:$C$244,$A31,'架電リスト'!$J$5:$J$244,"担当者不在")</f>
        <v/>
      </c>
      <c r="G31" s="16">
        <f>COUNTIFS('架電リスト'!$C$5:$C$244,$A31,'架電リスト'!$J$5:$J$244,"資料送付")</f>
        <v/>
      </c>
      <c r="H31" s="16">
        <f>COUNTIFS('架電リスト'!$C$5:$C$244,$A31,'架電リスト'!$J$5:$J$244,"アポ獲得")</f>
        <v/>
      </c>
      <c r="I31" s="16">
        <f>COUNTIFS('架電リスト'!$C$5:$C$244,$A31,'架電リスト'!$J$5:$J$244,"検討中")</f>
        <v/>
      </c>
      <c r="J31" s="16">
        <f>COUNTIFS('架電リスト'!$C$5:$C$244,$A31,'架電リスト'!$J$5:$J$244,"NG")</f>
        <v/>
      </c>
      <c r="K31" s="16">
        <f>COUNTIFS('架電リスト'!$C$5:$C$244,$A31,'架電リスト'!$J$5:$J$244,"番号不明")</f>
        <v/>
      </c>
    </row>
    <row r="32">
      <c r="A32" s="16" t="inlineStr">
        <is>
          <t>台東区</t>
        </is>
      </c>
      <c r="B32" s="16">
        <f>COUNTIF('架電リスト'!$C$5:$C$244,A32)</f>
        <v/>
      </c>
      <c r="C32" s="16">
        <f>COUNTIFS('架電リスト'!$C$5:$C$244,A32,'架電リスト'!$E$5:$E$244,"&lt;&gt;")</f>
        <v/>
      </c>
      <c r="D32" s="16">
        <f>B32-COUNTIFS('架電リスト'!$C$5:$C$244,A32,'架電リスト'!$J$5:$J$244,"未架電")-COUNTIFS('架電リスト'!$C$5:$C$244,A32,'架電リスト'!$J$5:$J$244,"")</f>
        <v/>
      </c>
      <c r="E32" s="16">
        <f>COUNTIFS('架電リスト'!$C$5:$C$244,$A32,'架電リスト'!$J$5:$J$244,"不在・折返し待ち")</f>
        <v/>
      </c>
      <c r="F32" s="16">
        <f>COUNTIFS('架電リスト'!$C$5:$C$244,$A32,'架電リスト'!$J$5:$J$244,"担当者不在")</f>
        <v/>
      </c>
      <c r="G32" s="16">
        <f>COUNTIFS('架電リスト'!$C$5:$C$244,$A32,'架電リスト'!$J$5:$J$244,"資料送付")</f>
        <v/>
      </c>
      <c r="H32" s="16">
        <f>COUNTIFS('架電リスト'!$C$5:$C$244,$A32,'架電リスト'!$J$5:$J$244,"アポ獲得")</f>
        <v/>
      </c>
      <c r="I32" s="16">
        <f>COUNTIFS('架電リスト'!$C$5:$C$244,$A32,'架電リスト'!$J$5:$J$244,"検討中")</f>
        <v/>
      </c>
      <c r="J32" s="16">
        <f>COUNTIFS('架電リスト'!$C$5:$C$244,$A32,'架電リスト'!$J$5:$J$244,"NG")</f>
        <v/>
      </c>
      <c r="K32" s="16">
        <f>COUNTIFS('架電リスト'!$C$5:$C$244,$A32,'架電リスト'!$J$5:$J$244,"番号不明")</f>
        <v/>
      </c>
    </row>
    <row r="33">
      <c r="A33" s="16" t="inlineStr">
        <is>
          <t>多摩市</t>
        </is>
      </c>
      <c r="B33" s="16">
        <f>COUNTIF('架電リスト'!$C$5:$C$244,A33)</f>
        <v/>
      </c>
      <c r="C33" s="16">
        <f>COUNTIFS('架電リスト'!$C$5:$C$244,A33,'架電リスト'!$E$5:$E$244,"&lt;&gt;")</f>
        <v/>
      </c>
      <c r="D33" s="16">
        <f>B33-COUNTIFS('架電リスト'!$C$5:$C$244,A33,'架電リスト'!$J$5:$J$244,"未架電")-COUNTIFS('架電リスト'!$C$5:$C$244,A33,'架電リスト'!$J$5:$J$244,"")</f>
        <v/>
      </c>
      <c r="E33" s="16">
        <f>COUNTIFS('架電リスト'!$C$5:$C$244,$A33,'架電リスト'!$J$5:$J$244,"不在・折返し待ち")</f>
        <v/>
      </c>
      <c r="F33" s="16">
        <f>COUNTIFS('架電リスト'!$C$5:$C$244,$A33,'架電リスト'!$J$5:$J$244,"担当者不在")</f>
        <v/>
      </c>
      <c r="G33" s="16">
        <f>COUNTIFS('架電リスト'!$C$5:$C$244,$A33,'架電リスト'!$J$5:$J$244,"資料送付")</f>
        <v/>
      </c>
      <c r="H33" s="16">
        <f>COUNTIFS('架電リスト'!$C$5:$C$244,$A33,'架電リスト'!$J$5:$J$244,"アポ獲得")</f>
        <v/>
      </c>
      <c r="I33" s="16">
        <f>COUNTIFS('架電リスト'!$C$5:$C$244,$A33,'架電リスト'!$J$5:$J$244,"検討中")</f>
        <v/>
      </c>
      <c r="J33" s="16">
        <f>COUNTIFS('架電リスト'!$C$5:$C$244,$A33,'架電リスト'!$J$5:$J$244,"NG")</f>
        <v/>
      </c>
      <c r="K33" s="16">
        <f>COUNTIFS('架電リスト'!$C$5:$C$244,$A33,'架電リスト'!$J$5:$J$244,"番号不明")</f>
        <v/>
      </c>
    </row>
    <row r="34">
      <c r="A34" s="16" t="inlineStr">
        <is>
          <t>荒川区</t>
        </is>
      </c>
      <c r="B34" s="16">
        <f>COUNTIF('架電リスト'!$C$5:$C$244,A34)</f>
        <v/>
      </c>
      <c r="C34" s="16">
        <f>COUNTIFS('架電リスト'!$C$5:$C$244,A34,'架電リスト'!$E$5:$E$244,"&lt;&gt;")</f>
        <v/>
      </c>
      <c r="D34" s="16">
        <f>B34-COUNTIFS('架電リスト'!$C$5:$C$244,A34,'架電リスト'!$J$5:$J$244,"未架電")-COUNTIFS('架電リスト'!$C$5:$C$244,A34,'架電リスト'!$J$5:$J$244,"")</f>
        <v/>
      </c>
      <c r="E34" s="16">
        <f>COUNTIFS('架電リスト'!$C$5:$C$244,$A34,'架電リスト'!$J$5:$J$244,"不在・折返し待ち")</f>
        <v/>
      </c>
      <c r="F34" s="16">
        <f>COUNTIFS('架電リスト'!$C$5:$C$244,$A34,'架電リスト'!$J$5:$J$244,"担当者不在")</f>
        <v/>
      </c>
      <c r="G34" s="16">
        <f>COUNTIFS('架電リスト'!$C$5:$C$244,$A34,'架電リスト'!$J$5:$J$244,"資料送付")</f>
        <v/>
      </c>
      <c r="H34" s="16">
        <f>COUNTIFS('架電リスト'!$C$5:$C$244,$A34,'架電リスト'!$J$5:$J$244,"アポ獲得")</f>
        <v/>
      </c>
      <c r="I34" s="16">
        <f>COUNTIFS('架電リスト'!$C$5:$C$244,$A34,'架電リスト'!$J$5:$J$244,"検討中")</f>
        <v/>
      </c>
      <c r="J34" s="16">
        <f>COUNTIFS('架電リスト'!$C$5:$C$244,$A34,'架電リスト'!$J$5:$J$244,"NG")</f>
        <v/>
      </c>
      <c r="K34" s="16">
        <f>COUNTIFS('架電リスト'!$C$5:$C$244,$A34,'架電リスト'!$J$5:$J$244,"番号不明")</f>
        <v/>
      </c>
    </row>
    <row r="35">
      <c r="A35" s="16" t="inlineStr">
        <is>
          <t>葛飾区</t>
        </is>
      </c>
      <c r="B35" s="16">
        <f>COUNTIF('架電リスト'!$C$5:$C$244,A35)</f>
        <v/>
      </c>
      <c r="C35" s="16">
        <f>COUNTIFS('架電リスト'!$C$5:$C$244,A35,'架電リスト'!$E$5:$E$244,"&lt;&gt;")</f>
        <v/>
      </c>
      <c r="D35" s="16">
        <f>B35-COUNTIFS('架電リスト'!$C$5:$C$244,A35,'架電リスト'!$J$5:$J$244,"未架電")-COUNTIFS('架電リスト'!$C$5:$C$244,A35,'架電リスト'!$J$5:$J$244,"")</f>
        <v/>
      </c>
      <c r="E35" s="16">
        <f>COUNTIFS('架電リスト'!$C$5:$C$244,$A35,'架電リスト'!$J$5:$J$244,"不在・折返し待ち")</f>
        <v/>
      </c>
      <c r="F35" s="16">
        <f>COUNTIFS('架電リスト'!$C$5:$C$244,$A35,'架電リスト'!$J$5:$J$244,"担当者不在")</f>
        <v/>
      </c>
      <c r="G35" s="16">
        <f>COUNTIFS('架電リスト'!$C$5:$C$244,$A35,'架電リスト'!$J$5:$J$244,"資料送付")</f>
        <v/>
      </c>
      <c r="H35" s="16">
        <f>COUNTIFS('架電リスト'!$C$5:$C$244,$A35,'架電リスト'!$J$5:$J$244,"アポ獲得")</f>
        <v/>
      </c>
      <c r="I35" s="16">
        <f>COUNTIFS('架電リスト'!$C$5:$C$244,$A35,'架電リスト'!$J$5:$J$244,"検討中")</f>
        <v/>
      </c>
      <c r="J35" s="16">
        <f>COUNTIFS('架電リスト'!$C$5:$C$244,$A35,'架電リスト'!$J$5:$J$244,"NG")</f>
        <v/>
      </c>
      <c r="K35" s="16">
        <f>COUNTIFS('架電リスト'!$C$5:$C$244,$A35,'架電リスト'!$J$5:$J$244,"番号不明")</f>
        <v/>
      </c>
    </row>
    <row r="36">
      <c r="A36" s="16" t="inlineStr">
        <is>
          <t>立川市</t>
        </is>
      </c>
      <c r="B36" s="16">
        <f>COUNTIF('架電リスト'!$C$5:$C$244,A36)</f>
        <v/>
      </c>
      <c r="C36" s="16">
        <f>COUNTIFS('架電リスト'!$C$5:$C$244,A36,'架電リスト'!$E$5:$E$244,"&lt;&gt;")</f>
        <v/>
      </c>
      <c r="D36" s="16">
        <f>B36-COUNTIFS('架電リスト'!$C$5:$C$244,A36,'架電リスト'!$J$5:$J$244,"未架電")-COUNTIFS('架電リスト'!$C$5:$C$244,A36,'架電リスト'!$J$5:$J$244,"")</f>
        <v/>
      </c>
      <c r="E36" s="16">
        <f>COUNTIFS('架電リスト'!$C$5:$C$244,$A36,'架電リスト'!$J$5:$J$244,"不在・折返し待ち")</f>
        <v/>
      </c>
      <c r="F36" s="16">
        <f>COUNTIFS('架電リスト'!$C$5:$C$244,$A36,'架電リスト'!$J$5:$J$244,"担当者不在")</f>
        <v/>
      </c>
      <c r="G36" s="16">
        <f>COUNTIFS('架電リスト'!$C$5:$C$244,$A36,'架電リスト'!$J$5:$J$244,"資料送付")</f>
        <v/>
      </c>
      <c r="H36" s="16">
        <f>COUNTIFS('架電リスト'!$C$5:$C$244,$A36,'架電リスト'!$J$5:$J$244,"アポ獲得")</f>
        <v/>
      </c>
      <c r="I36" s="16">
        <f>COUNTIFS('架電リスト'!$C$5:$C$244,$A36,'架電リスト'!$J$5:$J$244,"検討中")</f>
        <v/>
      </c>
      <c r="J36" s="16">
        <f>COUNTIFS('架電リスト'!$C$5:$C$244,$A36,'架電リスト'!$J$5:$J$244,"NG")</f>
        <v/>
      </c>
      <c r="K36" s="16">
        <f>COUNTIFS('架電リスト'!$C$5:$C$244,$A36,'架電リスト'!$J$5:$J$244,"番号不明")</f>
        <v/>
      </c>
    </row>
    <row r="37">
      <c r="A37" s="16" t="inlineStr">
        <is>
          <t>西東京市</t>
        </is>
      </c>
      <c r="B37" s="16">
        <f>COUNTIF('架電リスト'!$C$5:$C$244,A37)</f>
        <v/>
      </c>
      <c r="C37" s="16">
        <f>COUNTIFS('架電リスト'!$C$5:$C$244,A37,'架電リスト'!$E$5:$E$244,"&lt;&gt;")</f>
        <v/>
      </c>
      <c r="D37" s="16">
        <f>B37-COUNTIFS('架電リスト'!$C$5:$C$244,A37,'架電リスト'!$J$5:$J$244,"未架電")-COUNTIFS('架電リスト'!$C$5:$C$244,A37,'架電リスト'!$J$5:$J$244,"")</f>
        <v/>
      </c>
      <c r="E37" s="16">
        <f>COUNTIFS('架電リスト'!$C$5:$C$244,$A37,'架電リスト'!$J$5:$J$244,"不在・折返し待ち")</f>
        <v/>
      </c>
      <c r="F37" s="16">
        <f>COUNTIFS('架電リスト'!$C$5:$C$244,$A37,'架電リスト'!$J$5:$J$244,"担当者不在")</f>
        <v/>
      </c>
      <c r="G37" s="16">
        <f>COUNTIFS('架電リスト'!$C$5:$C$244,$A37,'架電リスト'!$J$5:$J$244,"資料送付")</f>
        <v/>
      </c>
      <c r="H37" s="16">
        <f>COUNTIFS('架電リスト'!$C$5:$C$244,$A37,'架電リスト'!$J$5:$J$244,"アポ獲得")</f>
        <v/>
      </c>
      <c r="I37" s="16">
        <f>COUNTIFS('架電リスト'!$C$5:$C$244,$A37,'架電リスト'!$J$5:$J$244,"検討中")</f>
        <v/>
      </c>
      <c r="J37" s="16">
        <f>COUNTIFS('架電リスト'!$C$5:$C$244,$A37,'架電リスト'!$J$5:$J$244,"NG")</f>
        <v/>
      </c>
      <c r="K37" s="16">
        <f>COUNTIFS('架電リスト'!$C$5:$C$244,$A37,'架電リスト'!$J$5:$J$244,"番号不明")</f>
        <v/>
      </c>
    </row>
    <row r="38">
      <c r="A38" s="16" t="inlineStr">
        <is>
          <t>中央区</t>
        </is>
      </c>
      <c r="B38" s="16">
        <f>COUNTIF('架電リスト'!$C$5:$C$244,A38)</f>
        <v/>
      </c>
      <c r="C38" s="16">
        <f>COUNTIFS('架電リスト'!$C$5:$C$244,A38,'架電リスト'!$E$5:$E$244,"&lt;&gt;")</f>
        <v/>
      </c>
      <c r="D38" s="16">
        <f>B38-COUNTIFS('架電リスト'!$C$5:$C$244,A38,'架電リスト'!$J$5:$J$244,"未架電")-COUNTIFS('架電リスト'!$C$5:$C$244,A38,'架電リスト'!$J$5:$J$244,"")</f>
        <v/>
      </c>
      <c r="E38" s="16">
        <f>COUNTIFS('架電リスト'!$C$5:$C$244,$A38,'架電リスト'!$J$5:$J$244,"不在・折返し待ち")</f>
        <v/>
      </c>
      <c r="F38" s="16">
        <f>COUNTIFS('架電リスト'!$C$5:$C$244,$A38,'架電リスト'!$J$5:$J$244,"担当者不在")</f>
        <v/>
      </c>
      <c r="G38" s="16">
        <f>COUNTIFS('架電リスト'!$C$5:$C$244,$A38,'架電リスト'!$J$5:$J$244,"資料送付")</f>
        <v/>
      </c>
      <c r="H38" s="16">
        <f>COUNTIFS('架電リスト'!$C$5:$C$244,$A38,'架電リスト'!$J$5:$J$244,"アポ獲得")</f>
        <v/>
      </c>
      <c r="I38" s="16">
        <f>COUNTIFS('架電リスト'!$C$5:$C$244,$A38,'架電リスト'!$J$5:$J$244,"検討中")</f>
        <v/>
      </c>
      <c r="J38" s="16">
        <f>COUNTIFS('架電リスト'!$C$5:$C$244,$A38,'架電リスト'!$J$5:$J$244,"NG")</f>
        <v/>
      </c>
      <c r="K38" s="16">
        <f>COUNTIFS('架電リスト'!$C$5:$C$244,$A38,'架電リスト'!$J$5:$J$244,"番号不明")</f>
        <v/>
      </c>
    </row>
    <row r="39">
      <c r="A39" s="16" t="inlineStr">
        <is>
          <t>昭島市</t>
        </is>
      </c>
      <c r="B39" s="16">
        <f>COUNTIF('架電リスト'!$C$5:$C$244,A39)</f>
        <v/>
      </c>
      <c r="C39" s="16">
        <f>COUNTIFS('架電リスト'!$C$5:$C$244,A39,'架電リスト'!$E$5:$E$244,"&lt;&gt;")</f>
        <v/>
      </c>
      <c r="D39" s="16">
        <f>B39-COUNTIFS('架電リスト'!$C$5:$C$244,A39,'架電リスト'!$J$5:$J$244,"未架電")-COUNTIFS('架電リスト'!$C$5:$C$244,A39,'架電リスト'!$J$5:$J$244,"")</f>
        <v/>
      </c>
      <c r="E39" s="16">
        <f>COUNTIFS('架電リスト'!$C$5:$C$244,$A39,'架電リスト'!$J$5:$J$244,"不在・折返し待ち")</f>
        <v/>
      </c>
      <c r="F39" s="16">
        <f>COUNTIFS('架電リスト'!$C$5:$C$244,$A39,'架電リスト'!$J$5:$J$244,"担当者不在")</f>
        <v/>
      </c>
      <c r="G39" s="16">
        <f>COUNTIFS('架電リスト'!$C$5:$C$244,$A39,'架電リスト'!$J$5:$J$244,"資料送付")</f>
        <v/>
      </c>
      <c r="H39" s="16">
        <f>COUNTIFS('架電リスト'!$C$5:$C$244,$A39,'架電リスト'!$J$5:$J$244,"アポ獲得")</f>
        <v/>
      </c>
      <c r="I39" s="16">
        <f>COUNTIFS('架電リスト'!$C$5:$C$244,$A39,'架電リスト'!$J$5:$J$244,"検討中")</f>
        <v/>
      </c>
      <c r="J39" s="16">
        <f>COUNTIFS('架電リスト'!$C$5:$C$244,$A39,'架電リスト'!$J$5:$J$244,"NG")</f>
        <v/>
      </c>
      <c r="K39" s="16">
        <f>COUNTIFS('架電リスト'!$C$5:$C$244,$A39,'架電リスト'!$J$5:$J$244,"番号不明")</f>
        <v/>
      </c>
    </row>
    <row r="40">
      <c r="A40" s="16" t="inlineStr">
        <is>
          <t>稲城市</t>
        </is>
      </c>
      <c r="B40" s="16">
        <f>COUNTIF('架電リスト'!$C$5:$C$244,A40)</f>
        <v/>
      </c>
      <c r="C40" s="16">
        <f>COUNTIFS('架電リスト'!$C$5:$C$244,A40,'架電リスト'!$E$5:$E$244,"&lt;&gt;")</f>
        <v/>
      </c>
      <c r="D40" s="16">
        <f>B40-COUNTIFS('架電リスト'!$C$5:$C$244,A40,'架電リスト'!$J$5:$J$244,"未架電")-COUNTIFS('架電リスト'!$C$5:$C$244,A40,'架電リスト'!$J$5:$J$244,"")</f>
        <v/>
      </c>
      <c r="E40" s="16">
        <f>COUNTIFS('架電リスト'!$C$5:$C$244,$A40,'架電リスト'!$J$5:$J$244,"不在・折返し待ち")</f>
        <v/>
      </c>
      <c r="F40" s="16">
        <f>COUNTIFS('架電リスト'!$C$5:$C$244,$A40,'架電リスト'!$J$5:$J$244,"担当者不在")</f>
        <v/>
      </c>
      <c r="G40" s="16">
        <f>COUNTIFS('架電リスト'!$C$5:$C$244,$A40,'架電リスト'!$J$5:$J$244,"資料送付")</f>
        <v/>
      </c>
      <c r="H40" s="16">
        <f>COUNTIFS('架電リスト'!$C$5:$C$244,$A40,'架電リスト'!$J$5:$J$244,"アポ獲得")</f>
        <v/>
      </c>
      <c r="I40" s="16">
        <f>COUNTIFS('架電リスト'!$C$5:$C$244,$A40,'架電リスト'!$J$5:$J$244,"検討中")</f>
        <v/>
      </c>
      <c r="J40" s="16">
        <f>COUNTIFS('架電リスト'!$C$5:$C$244,$A40,'架電リスト'!$J$5:$J$244,"NG")</f>
        <v/>
      </c>
      <c r="K40" s="16">
        <f>COUNTIFS('架電リスト'!$C$5:$C$244,$A40,'架電リスト'!$J$5:$J$244,"番号不明")</f>
        <v/>
      </c>
    </row>
    <row r="41">
      <c r="A41" s="16" t="inlineStr">
        <is>
          <t>東久留米市</t>
        </is>
      </c>
      <c r="B41" s="16">
        <f>COUNTIF('架電リスト'!$C$5:$C$244,A41)</f>
        <v/>
      </c>
      <c r="C41" s="16">
        <f>COUNTIFS('架電リスト'!$C$5:$C$244,A41,'架電リスト'!$E$5:$E$244,"&lt;&gt;")</f>
        <v/>
      </c>
      <c r="D41" s="16">
        <f>B41-COUNTIFS('架電リスト'!$C$5:$C$244,A41,'架電リスト'!$J$5:$J$244,"未架電")-COUNTIFS('架電リスト'!$C$5:$C$244,A41,'架電リスト'!$J$5:$J$244,"")</f>
        <v/>
      </c>
      <c r="E41" s="16">
        <f>COUNTIFS('架電リスト'!$C$5:$C$244,$A41,'架電リスト'!$J$5:$J$244,"不在・折返し待ち")</f>
        <v/>
      </c>
      <c r="F41" s="16">
        <f>COUNTIFS('架電リスト'!$C$5:$C$244,$A41,'架電リスト'!$J$5:$J$244,"担当者不在")</f>
        <v/>
      </c>
      <c r="G41" s="16">
        <f>COUNTIFS('架電リスト'!$C$5:$C$244,$A41,'架電リスト'!$J$5:$J$244,"資料送付")</f>
        <v/>
      </c>
      <c r="H41" s="16">
        <f>COUNTIFS('架電リスト'!$C$5:$C$244,$A41,'架電リスト'!$J$5:$J$244,"アポ獲得")</f>
        <v/>
      </c>
      <c r="I41" s="16">
        <f>COUNTIFS('架電リスト'!$C$5:$C$244,$A41,'架電リスト'!$J$5:$J$244,"検討中")</f>
        <v/>
      </c>
      <c r="J41" s="16">
        <f>COUNTIFS('架電リスト'!$C$5:$C$244,$A41,'架電リスト'!$J$5:$J$244,"NG")</f>
        <v/>
      </c>
      <c r="K41" s="16">
        <f>COUNTIFS('架電リスト'!$C$5:$C$244,$A41,'架電リスト'!$J$5:$J$244,"番号不明")</f>
        <v/>
      </c>
    </row>
    <row r="42">
      <c r="A42" s="16" t="inlineStr">
        <is>
          <t>武蔵村山市</t>
        </is>
      </c>
      <c r="B42" s="16">
        <f>COUNTIF('架電リスト'!$C$5:$C$244,A42)</f>
        <v/>
      </c>
      <c r="C42" s="16">
        <f>COUNTIFS('架電リスト'!$C$5:$C$244,A42,'架電リスト'!$E$5:$E$244,"&lt;&gt;")</f>
        <v/>
      </c>
      <c r="D42" s="16">
        <f>B42-COUNTIFS('架電リスト'!$C$5:$C$244,A42,'架電リスト'!$J$5:$J$244,"未架電")-COUNTIFS('架電リスト'!$C$5:$C$244,A42,'架電リスト'!$J$5:$J$244,"")</f>
        <v/>
      </c>
      <c r="E42" s="16">
        <f>COUNTIFS('架電リスト'!$C$5:$C$244,$A42,'架電リスト'!$J$5:$J$244,"不在・折返し待ち")</f>
        <v/>
      </c>
      <c r="F42" s="16">
        <f>COUNTIFS('架電リスト'!$C$5:$C$244,$A42,'架電リスト'!$J$5:$J$244,"担当者不在")</f>
        <v/>
      </c>
      <c r="G42" s="16">
        <f>COUNTIFS('架電リスト'!$C$5:$C$244,$A42,'架電リスト'!$J$5:$J$244,"資料送付")</f>
        <v/>
      </c>
      <c r="H42" s="16">
        <f>COUNTIFS('架電リスト'!$C$5:$C$244,$A42,'架電リスト'!$J$5:$J$244,"アポ獲得")</f>
        <v/>
      </c>
      <c r="I42" s="16">
        <f>COUNTIFS('架電リスト'!$C$5:$C$244,$A42,'架電リスト'!$J$5:$J$244,"検討中")</f>
        <v/>
      </c>
      <c r="J42" s="16">
        <f>COUNTIFS('架電リスト'!$C$5:$C$244,$A42,'架電リスト'!$J$5:$J$244,"NG")</f>
        <v/>
      </c>
      <c r="K42" s="16">
        <f>COUNTIFS('架電リスト'!$C$5:$C$244,$A42,'架電リスト'!$J$5:$J$244,"番号不明")</f>
        <v/>
      </c>
    </row>
    <row r="43">
      <c r="A43" s="16" t="inlineStr">
        <is>
          <t>あきる野市</t>
        </is>
      </c>
      <c r="B43" s="16">
        <f>COUNTIF('架電リスト'!$C$5:$C$244,A43)</f>
        <v/>
      </c>
      <c r="C43" s="16">
        <f>COUNTIFS('架電リスト'!$C$5:$C$244,A43,'架電リスト'!$E$5:$E$244,"&lt;&gt;")</f>
        <v/>
      </c>
      <c r="D43" s="16">
        <f>B43-COUNTIFS('架電リスト'!$C$5:$C$244,A43,'架電リスト'!$J$5:$J$244,"未架電")-COUNTIFS('架電リスト'!$C$5:$C$244,A43,'架電リスト'!$J$5:$J$244,"")</f>
        <v/>
      </c>
      <c r="E43" s="16">
        <f>COUNTIFS('架電リスト'!$C$5:$C$244,$A43,'架電リスト'!$J$5:$J$244,"不在・折返し待ち")</f>
        <v/>
      </c>
      <c r="F43" s="16">
        <f>COUNTIFS('架電リスト'!$C$5:$C$244,$A43,'架電リスト'!$J$5:$J$244,"担当者不在")</f>
        <v/>
      </c>
      <c r="G43" s="16">
        <f>COUNTIFS('架電リスト'!$C$5:$C$244,$A43,'架電リスト'!$J$5:$J$244,"資料送付")</f>
        <v/>
      </c>
      <c r="H43" s="16">
        <f>COUNTIFS('架電リスト'!$C$5:$C$244,$A43,'架電リスト'!$J$5:$J$244,"アポ獲得")</f>
        <v/>
      </c>
      <c r="I43" s="16">
        <f>COUNTIFS('架電リスト'!$C$5:$C$244,$A43,'架電リスト'!$J$5:$J$244,"検討中")</f>
        <v/>
      </c>
      <c r="J43" s="16">
        <f>COUNTIFS('架電リスト'!$C$5:$C$244,$A43,'架電リスト'!$J$5:$J$244,"NG")</f>
        <v/>
      </c>
      <c r="K43" s="16">
        <f>COUNTIFS('架電リスト'!$C$5:$C$244,$A43,'架電リスト'!$J$5:$J$244,"番号不明")</f>
        <v/>
      </c>
    </row>
    <row r="44">
      <c r="A44" s="16" t="inlineStr">
        <is>
          <t>清瀬市</t>
        </is>
      </c>
      <c r="B44" s="16">
        <f>COUNTIF('架電リスト'!$C$5:$C$244,A44)</f>
        <v/>
      </c>
      <c r="C44" s="16">
        <f>COUNTIFS('架電リスト'!$C$5:$C$244,A44,'架電リスト'!$E$5:$E$244,"&lt;&gt;")</f>
        <v/>
      </c>
      <c r="D44" s="16">
        <f>B44-COUNTIFS('架電リスト'!$C$5:$C$244,A44,'架電リスト'!$J$5:$J$244,"未架電")-COUNTIFS('架電リスト'!$C$5:$C$244,A44,'架電リスト'!$J$5:$J$244,"")</f>
        <v/>
      </c>
      <c r="E44" s="16">
        <f>COUNTIFS('架電リスト'!$C$5:$C$244,$A44,'架電リスト'!$J$5:$J$244,"不在・折返し待ち")</f>
        <v/>
      </c>
      <c r="F44" s="16">
        <f>COUNTIFS('架電リスト'!$C$5:$C$244,$A44,'架電リスト'!$J$5:$J$244,"担当者不在")</f>
        <v/>
      </c>
      <c r="G44" s="16">
        <f>COUNTIFS('架電リスト'!$C$5:$C$244,$A44,'架電リスト'!$J$5:$J$244,"資料送付")</f>
        <v/>
      </c>
      <c r="H44" s="16">
        <f>COUNTIFS('架電リスト'!$C$5:$C$244,$A44,'架電リスト'!$J$5:$J$244,"アポ獲得")</f>
        <v/>
      </c>
      <c r="I44" s="16">
        <f>COUNTIFS('架電リスト'!$C$5:$C$244,$A44,'架電リスト'!$J$5:$J$244,"検討中")</f>
        <v/>
      </c>
      <c r="J44" s="16">
        <f>COUNTIFS('架電リスト'!$C$5:$C$244,$A44,'架電リスト'!$J$5:$J$244,"NG")</f>
        <v/>
      </c>
      <c r="K44" s="16">
        <f>COUNTIFS('架電リスト'!$C$5:$C$244,$A44,'架電リスト'!$J$5:$J$244,"番号不明")</f>
        <v/>
      </c>
    </row>
    <row r="45">
      <c r="A45" s="16" t="inlineStr">
        <is>
          <t>府中市</t>
        </is>
      </c>
      <c r="B45" s="16">
        <f>COUNTIF('架電リスト'!$C$5:$C$244,A45)</f>
        <v/>
      </c>
      <c r="C45" s="16">
        <f>COUNTIFS('架電リスト'!$C$5:$C$244,A45,'架電リスト'!$E$5:$E$244,"&lt;&gt;")</f>
        <v/>
      </c>
      <c r="D45" s="16">
        <f>B45-COUNTIFS('架電リスト'!$C$5:$C$244,A45,'架電リスト'!$J$5:$J$244,"未架電")-COUNTIFS('架電リスト'!$C$5:$C$244,A45,'架電リスト'!$J$5:$J$244,"")</f>
        <v/>
      </c>
      <c r="E45" s="16">
        <f>COUNTIFS('架電リスト'!$C$5:$C$244,$A45,'架電リスト'!$J$5:$J$244,"不在・折返し待ち")</f>
        <v/>
      </c>
      <c r="F45" s="16">
        <f>COUNTIFS('架電リスト'!$C$5:$C$244,$A45,'架電リスト'!$J$5:$J$244,"担当者不在")</f>
        <v/>
      </c>
      <c r="G45" s="16">
        <f>COUNTIFS('架電リスト'!$C$5:$C$244,$A45,'架電リスト'!$J$5:$J$244,"資料送付")</f>
        <v/>
      </c>
      <c r="H45" s="16">
        <f>COUNTIFS('架電リスト'!$C$5:$C$244,$A45,'架電リスト'!$J$5:$J$244,"アポ獲得")</f>
        <v/>
      </c>
      <c r="I45" s="16">
        <f>COUNTIFS('架電リスト'!$C$5:$C$244,$A45,'架電リスト'!$J$5:$J$244,"検討中")</f>
        <v/>
      </c>
      <c r="J45" s="16">
        <f>COUNTIFS('架電リスト'!$C$5:$C$244,$A45,'架電リスト'!$J$5:$J$244,"NG")</f>
        <v/>
      </c>
      <c r="K45" s="16">
        <f>COUNTIFS('架電リスト'!$C$5:$C$244,$A45,'架電リスト'!$J$5:$J$244,"番号不明")</f>
        <v/>
      </c>
    </row>
    <row r="46">
      <c r="A46" s="16" t="inlineStr">
        <is>
          <t>国分寺市</t>
        </is>
      </c>
      <c r="B46" s="16">
        <f>COUNTIF('架電リスト'!$C$5:$C$244,A46)</f>
        <v/>
      </c>
      <c r="C46" s="16">
        <f>COUNTIFS('架電リスト'!$C$5:$C$244,A46,'架電リスト'!$E$5:$E$244,"&lt;&gt;")</f>
        <v/>
      </c>
      <c r="D46" s="16">
        <f>B46-COUNTIFS('架電リスト'!$C$5:$C$244,A46,'架電リスト'!$J$5:$J$244,"未架電")-COUNTIFS('架電リスト'!$C$5:$C$244,A46,'架電リスト'!$J$5:$J$244,"")</f>
        <v/>
      </c>
      <c r="E46" s="16">
        <f>COUNTIFS('架電リスト'!$C$5:$C$244,$A46,'架電リスト'!$J$5:$J$244,"不在・折返し待ち")</f>
        <v/>
      </c>
      <c r="F46" s="16">
        <f>COUNTIFS('架電リスト'!$C$5:$C$244,$A46,'架電リスト'!$J$5:$J$244,"担当者不在")</f>
        <v/>
      </c>
      <c r="G46" s="16">
        <f>COUNTIFS('架電リスト'!$C$5:$C$244,$A46,'架電リスト'!$J$5:$J$244,"資料送付")</f>
        <v/>
      </c>
      <c r="H46" s="16">
        <f>COUNTIFS('架電リスト'!$C$5:$C$244,$A46,'架電リスト'!$J$5:$J$244,"アポ獲得")</f>
        <v/>
      </c>
      <c r="I46" s="16">
        <f>COUNTIFS('架電リスト'!$C$5:$C$244,$A46,'架電リスト'!$J$5:$J$244,"検討中")</f>
        <v/>
      </c>
      <c r="J46" s="16">
        <f>COUNTIFS('架電リスト'!$C$5:$C$244,$A46,'架電リスト'!$J$5:$J$244,"NG")</f>
        <v/>
      </c>
      <c r="K46" s="16">
        <f>COUNTIFS('架電リスト'!$C$5:$C$244,$A46,'架電リスト'!$J$5:$J$244,"番号不明")</f>
        <v/>
      </c>
    </row>
    <row r="47">
      <c r="A47" s="17" t="inlineStr">
        <is>
          <t>合計</t>
        </is>
      </c>
      <c r="B47" s="17">
        <f>SUM(B4:B46)</f>
        <v/>
      </c>
      <c r="C47" s="17">
        <f>SUM(C4:C46)</f>
        <v/>
      </c>
      <c r="D47" s="17">
        <f>SUM(D4:D46)</f>
        <v/>
      </c>
      <c r="E47" s="17">
        <f>SUM(E4:E46)</f>
        <v/>
      </c>
      <c r="F47" s="17">
        <f>SUM(F4:F46)</f>
        <v/>
      </c>
      <c r="G47" s="17">
        <f>SUM(G4:G46)</f>
        <v/>
      </c>
      <c r="H47" s="17">
        <f>SUM(H4:H46)</f>
        <v/>
      </c>
      <c r="I47" s="17">
        <f>SUM(I4:I46)</f>
        <v/>
      </c>
      <c r="J47" s="17">
        <f>SUM(J4:J46)</f>
        <v/>
      </c>
      <c r="K47" s="17">
        <f>SUM(K4:K46)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8" t="inlineStr">
        <is>
          <t>■ 使い方</t>
        </is>
      </c>
    </row>
    <row r="2">
      <c r="A2" s="19" t="inlineStr">
        <is>
          <t>・「架電リスト」の黄色の列（電話番号・架電日・担当者・架電結果・次回連絡日・メモ）に入力してください。</t>
        </is>
      </c>
    </row>
    <row r="3">
      <c r="A3" s="19" t="inlineStr">
        <is>
          <t>・架電結果はプルダウンから選択します（アポ獲得＝緑、NG＝グレーで行が自動着色）。</t>
        </is>
      </c>
    </row>
    <row r="4">
      <c r="A4" s="19" t="inlineStr">
        <is>
          <t>・「学校情報ページ」の「開く」をクリックすると、学校ネットの各校ページが開きます。</t>
        </is>
      </c>
    </row>
    <row r="5">
      <c r="A5" s="19" t="inlineStr">
        <is>
          <t>・「番号の確度」：高＝公式サイト、または2つ以上の情報源で一致／中＝情報サイト1件のみ、または代表番号と断定できず（補足欄参照）／低・要調査＝特定できず。</t>
        </is>
      </c>
    </row>
    <row r="6">
      <c r="A6" s="19" t="inlineStr">
        <is>
          <t>・「電話番号の補足」に、代表番号の共有・別番号（入試事務局など）・移転などの注意を記載しています。架電前にご確認ください。</t>
        </is>
      </c>
    </row>
    <row r="7">
      <c r="A7" s="19" t="inlineStr">
        <is>
          <t>・都道府県や市区町村で絞り込む場合は、見出し行の▼（フィルター）を使用してください。</t>
        </is>
      </c>
    </row>
    <row r="8">
      <c r="A8" s="19" t="inlineStr">
        <is>
          <t>・集計シートは入力内容に連動して自動で集計されます。</t>
        </is>
      </c>
    </row>
    <row r="9">
      <c r="A9" s="19" t="inlineStr"/>
    </row>
    <row r="10">
      <c r="A10" s="18" t="inlineStr">
        <is>
          <t>■ 元データについての注意</t>
        </is>
      </c>
    </row>
    <row r="11">
      <c r="A11" s="19" t="inlineStr">
        <is>
          <t>・出典：ご提供いただいた学校ネットの検索結果（私立高校・東京都、240校）の貼り付けデータ。並び順は都道府県ごとに元データの掲載順です。</t>
        </is>
      </c>
    </row>
    <row r="12">
      <c r="A12" s="19" t="inlineStr">
        <is>
          <t>・電話番号は元データに記載がないため、2026年10月にWeb検索（学校公式サイト、JS日本の学校、みんなの高校情報、自治体・ハローワーク・各道県の私学協会の資料など）で調査しました。推測による補完はしていません。</t>
        </is>
      </c>
    </row>
    <row r="13">
      <c r="A13" s="19" t="inlineStr">
        <is>
          <t>・通信制（広域通信制）の学校は、所在地・電話番号とも本校のものです。架電先（本校／各キャンパス）にご注意ください。</t>
        </is>
      </c>
    </row>
    <row r="14">
      <c r="A14" s="19" t="inlineStr">
        <is>
          <t>・閉校・統合・校名変更などは反映されていない可能性があります。架電前にご確認ください。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2026-10-09T14:54:18Z</dcterms:created>
  <dcterms:modified xsi:type="dcterms:W3CDTF">2026-10-09T14:54:19Z</dcterms:modified>
</cp:coreProperties>
</file>