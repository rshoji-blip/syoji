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'架電リスト'!$A$4:$O$204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1993.html" TargetMode="External" Id="rId1" /><Relationship Type="http://schemas.openxmlformats.org/officeDocument/2006/relationships/hyperlink" Target="https://www.gakkou.net/kou/view/index_302049.html" TargetMode="External" Id="rId2" /><Relationship Type="http://schemas.openxmlformats.org/officeDocument/2006/relationships/hyperlink" Target="https://www.gakkou.net/kou/view/index_301862.html" TargetMode="External" Id="rId3" /><Relationship Type="http://schemas.openxmlformats.org/officeDocument/2006/relationships/hyperlink" Target="https://www.gakkou.net/kou/view/index_301951.html" TargetMode="External" Id="rId4" /><Relationship Type="http://schemas.openxmlformats.org/officeDocument/2006/relationships/hyperlink" Target="https://www.gakkou.net/kou/view/index_301895.html" TargetMode="External" Id="rId5" /><Relationship Type="http://schemas.openxmlformats.org/officeDocument/2006/relationships/hyperlink" Target="https://www.gakkou.net/kou/view/index_301924.html" TargetMode="External" Id="rId6" /><Relationship Type="http://schemas.openxmlformats.org/officeDocument/2006/relationships/hyperlink" Target="https://www.gakkou.net/kou/view/index_301913.html" TargetMode="External" Id="rId7" /><Relationship Type="http://schemas.openxmlformats.org/officeDocument/2006/relationships/hyperlink" Target="https://www.gakkou.net/kou/view/index_301912.html" TargetMode="External" Id="rId8" /><Relationship Type="http://schemas.openxmlformats.org/officeDocument/2006/relationships/hyperlink" Target="https://www.gakkou.net/kou/view/index_301874.html" TargetMode="External" Id="rId9" /><Relationship Type="http://schemas.openxmlformats.org/officeDocument/2006/relationships/hyperlink" Target="https://www.gakkou.net/kou/view/index_301880.html" TargetMode="External" Id="rId10" /><Relationship Type="http://schemas.openxmlformats.org/officeDocument/2006/relationships/hyperlink" Target="https://www.gakkou.net/kou/view/index_302322.html" TargetMode="External" Id="rId11" /><Relationship Type="http://schemas.openxmlformats.org/officeDocument/2006/relationships/hyperlink" Target="https://www.gakkou.net/kou/view/index_302223.html" TargetMode="External" Id="rId12" /><Relationship Type="http://schemas.openxmlformats.org/officeDocument/2006/relationships/hyperlink" Target="https://www.gakkou.net/kou/view/index_301992.html" TargetMode="External" Id="rId13" /><Relationship Type="http://schemas.openxmlformats.org/officeDocument/2006/relationships/hyperlink" Target="https://www.gakkou.net/kou/view/index_306333.html" TargetMode="External" Id="rId14" /><Relationship Type="http://schemas.openxmlformats.org/officeDocument/2006/relationships/hyperlink" Target="https://www.gakkou.net/kou/view/index_301916.html" TargetMode="External" Id="rId15" /><Relationship Type="http://schemas.openxmlformats.org/officeDocument/2006/relationships/hyperlink" Target="https://www.gakkou.net/kou/view/index_302331.html" TargetMode="External" Id="rId16" /><Relationship Type="http://schemas.openxmlformats.org/officeDocument/2006/relationships/hyperlink" Target="https://www.gakkou.net/kou/view/index_302093.html" TargetMode="External" Id="rId17" /><Relationship Type="http://schemas.openxmlformats.org/officeDocument/2006/relationships/hyperlink" Target="https://www.gakkou.net/kou/view/index_301839.html" TargetMode="External" Id="rId18" /><Relationship Type="http://schemas.openxmlformats.org/officeDocument/2006/relationships/hyperlink" Target="https://www.gakkou.net/kou/view/index_302373.html" TargetMode="External" Id="rId19" /><Relationship Type="http://schemas.openxmlformats.org/officeDocument/2006/relationships/hyperlink" Target="https://www.gakkou.net/kou/view/index_302133.html" TargetMode="External" Id="rId20" /><Relationship Type="http://schemas.openxmlformats.org/officeDocument/2006/relationships/hyperlink" Target="https://www.gakkou.net/kou/view/index_306660.html" TargetMode="External" Id="rId21" /><Relationship Type="http://schemas.openxmlformats.org/officeDocument/2006/relationships/hyperlink" Target="https://www.gakkou.net/kou/view/index_302029.html" TargetMode="External" Id="rId22" /><Relationship Type="http://schemas.openxmlformats.org/officeDocument/2006/relationships/hyperlink" Target="https://www.gakkou.net/kou/view/index_302177.html" TargetMode="External" Id="rId23" /><Relationship Type="http://schemas.openxmlformats.org/officeDocument/2006/relationships/hyperlink" Target="https://www.gakkou.net/kou/view/index_301943.html" TargetMode="External" Id="rId24" /><Relationship Type="http://schemas.openxmlformats.org/officeDocument/2006/relationships/hyperlink" Target="https://www.gakkou.net/kou/view/index_301845.html" TargetMode="External" Id="rId25" /><Relationship Type="http://schemas.openxmlformats.org/officeDocument/2006/relationships/hyperlink" Target="https://www.gakkou.net/kou/view/index_301832.html" TargetMode="External" Id="rId26" /><Relationship Type="http://schemas.openxmlformats.org/officeDocument/2006/relationships/hyperlink" Target="https://www.gakkou.net/kou/view/index_302104.html" TargetMode="External" Id="rId27" /><Relationship Type="http://schemas.openxmlformats.org/officeDocument/2006/relationships/hyperlink" Target="https://www.gakkou.net/kou/view/index_302190.html" TargetMode="External" Id="rId28" /><Relationship Type="http://schemas.openxmlformats.org/officeDocument/2006/relationships/hyperlink" Target="https://www.gakkou.net/kou/view/index_301829.html" TargetMode="External" Id="rId29" /><Relationship Type="http://schemas.openxmlformats.org/officeDocument/2006/relationships/hyperlink" Target="https://www.gakkou.net/kou/view/index_302059.html" TargetMode="External" Id="rId30" /><Relationship Type="http://schemas.openxmlformats.org/officeDocument/2006/relationships/hyperlink" Target="https://www.gakkou.net/kou/view/index_301987.html" TargetMode="External" Id="rId31" /><Relationship Type="http://schemas.openxmlformats.org/officeDocument/2006/relationships/hyperlink" Target="https://www.gakkou.net/kou/view/index_302189.html" TargetMode="External" Id="rId32" /><Relationship Type="http://schemas.openxmlformats.org/officeDocument/2006/relationships/hyperlink" Target="https://www.gakkou.net/kou/view/index_302176.html" TargetMode="External" Id="rId33" /><Relationship Type="http://schemas.openxmlformats.org/officeDocument/2006/relationships/hyperlink" Target="https://www.gakkou.net/kou/view/index_301928.html" TargetMode="External" Id="rId34" /><Relationship Type="http://schemas.openxmlformats.org/officeDocument/2006/relationships/hyperlink" Target="https://www.gakkou.net/kou/view/index_301942.html" TargetMode="External" Id="rId35" /><Relationship Type="http://schemas.openxmlformats.org/officeDocument/2006/relationships/hyperlink" Target="https://www.gakkou.net/kou/view/index_302235.html" TargetMode="External" Id="rId36" /><Relationship Type="http://schemas.openxmlformats.org/officeDocument/2006/relationships/hyperlink" Target="https://www.gakkou.net/kou/view/index_302234.html" TargetMode="External" Id="rId37" /><Relationship Type="http://schemas.openxmlformats.org/officeDocument/2006/relationships/hyperlink" Target="https://www.gakkou.net/kou/view/index_301961.html" TargetMode="External" Id="rId38" /><Relationship Type="http://schemas.openxmlformats.org/officeDocument/2006/relationships/hyperlink" Target="https://www.gakkou.net/kou/view/index_301823.html" TargetMode="External" Id="rId39" /><Relationship Type="http://schemas.openxmlformats.org/officeDocument/2006/relationships/hyperlink" Target="https://www.gakkou.net/kou/view/index_302314.html" TargetMode="External" Id="rId40" /><Relationship Type="http://schemas.openxmlformats.org/officeDocument/2006/relationships/hyperlink" Target="https://www.gakkou.net/kou/view/index_301826.html" TargetMode="External" Id="rId41" /><Relationship Type="http://schemas.openxmlformats.org/officeDocument/2006/relationships/hyperlink" Target="https://www.gakkou.net/kou/view/index_302269.html" TargetMode="External" Id="rId42" /><Relationship Type="http://schemas.openxmlformats.org/officeDocument/2006/relationships/hyperlink" Target="https://www.gakkou.net/kou/view/index_301831.html" TargetMode="External" Id="rId43" /><Relationship Type="http://schemas.openxmlformats.org/officeDocument/2006/relationships/hyperlink" Target="https://www.gakkou.net/kou/view/index_302268.html" TargetMode="External" Id="rId44" /><Relationship Type="http://schemas.openxmlformats.org/officeDocument/2006/relationships/hyperlink" Target="https://www.gakkou.net/kou/view/index_302106.html" TargetMode="External" Id="rId45" /><Relationship Type="http://schemas.openxmlformats.org/officeDocument/2006/relationships/hyperlink" Target="https://www.gakkou.net/kou/view/index_301872.html" TargetMode="External" Id="rId46" /><Relationship Type="http://schemas.openxmlformats.org/officeDocument/2006/relationships/hyperlink" Target="https://www.gakkou.net/kou/view/index_301903.html" TargetMode="External" Id="rId47" /><Relationship Type="http://schemas.openxmlformats.org/officeDocument/2006/relationships/hyperlink" Target="https://www.gakkou.net/kou/view/index_301905.html" TargetMode="External" Id="rId48" /><Relationship Type="http://schemas.openxmlformats.org/officeDocument/2006/relationships/hyperlink" Target="https://www.gakkou.net/kou/view/index_301904.html" TargetMode="External" Id="rId49" /><Relationship Type="http://schemas.openxmlformats.org/officeDocument/2006/relationships/hyperlink" Target="https://www.gakkou.net/kou/view/index_302097.html" TargetMode="External" Id="rId50" /><Relationship Type="http://schemas.openxmlformats.org/officeDocument/2006/relationships/hyperlink" Target="https://www.gakkou.net/kou/view/index_302337.html" TargetMode="External" Id="rId51" /><Relationship Type="http://schemas.openxmlformats.org/officeDocument/2006/relationships/hyperlink" Target="https://www.gakkou.net/kou/view/index_301890.html" TargetMode="External" Id="rId52" /><Relationship Type="http://schemas.openxmlformats.org/officeDocument/2006/relationships/hyperlink" Target="https://www.gakkou.net/kou/view/index_302151.html" TargetMode="External" Id="rId53" /><Relationship Type="http://schemas.openxmlformats.org/officeDocument/2006/relationships/hyperlink" Target="https://www.gakkou.net/kou/view/index_302249.html" TargetMode="External" Id="rId54" /><Relationship Type="http://schemas.openxmlformats.org/officeDocument/2006/relationships/hyperlink" Target="https://www.gakkou.net/kou/view/index_302301.html" TargetMode="External" Id="rId55" /><Relationship Type="http://schemas.openxmlformats.org/officeDocument/2006/relationships/hyperlink" Target="https://www.gakkou.net/kou/view/index_302018.html" TargetMode="External" Id="rId56" /><Relationship Type="http://schemas.openxmlformats.org/officeDocument/2006/relationships/hyperlink" Target="https://www.gakkou.net/kou/view/index_301843.html" TargetMode="External" Id="rId57" /><Relationship Type="http://schemas.openxmlformats.org/officeDocument/2006/relationships/hyperlink" Target="https://www.gakkou.net/kou/view/index_302155.html" TargetMode="External" Id="rId58" /><Relationship Type="http://schemas.openxmlformats.org/officeDocument/2006/relationships/hyperlink" Target="https://www.gakkou.net/kou/view/index_302100.html" TargetMode="External" Id="rId59" /><Relationship Type="http://schemas.openxmlformats.org/officeDocument/2006/relationships/hyperlink" Target="https://www.gakkou.net/kou/view/index_302026.html" TargetMode="External" Id="rId60" /><Relationship Type="http://schemas.openxmlformats.org/officeDocument/2006/relationships/hyperlink" Target="https://www.gakkou.net/kou/view/index_302048.html" TargetMode="External" Id="rId61" /><Relationship Type="http://schemas.openxmlformats.org/officeDocument/2006/relationships/hyperlink" Target="https://www.gakkou.net/kou/view/index_302172.html" TargetMode="External" Id="rId62" /><Relationship Type="http://schemas.openxmlformats.org/officeDocument/2006/relationships/hyperlink" Target="https://www.gakkou.net/kou/view/index_302261.html" TargetMode="External" Id="rId63" /><Relationship Type="http://schemas.openxmlformats.org/officeDocument/2006/relationships/hyperlink" Target="https://www.gakkou.net/kou/view/index_302083.html" TargetMode="External" Id="rId64" /><Relationship Type="http://schemas.openxmlformats.org/officeDocument/2006/relationships/hyperlink" Target="https://www.gakkou.net/kou/view/index_301909.html" TargetMode="External" Id="rId65" /><Relationship Type="http://schemas.openxmlformats.org/officeDocument/2006/relationships/hyperlink" Target="https://www.gakkou.net/kou/view/index_302375.html" TargetMode="External" Id="rId66" /><Relationship Type="http://schemas.openxmlformats.org/officeDocument/2006/relationships/hyperlink" Target="https://www.gakkou.net/kou/view/index_302122.html" TargetMode="External" Id="rId67" /><Relationship Type="http://schemas.openxmlformats.org/officeDocument/2006/relationships/hyperlink" Target="https://www.gakkou.net/kou/view/index_302086.html" TargetMode="External" Id="rId68" /><Relationship Type="http://schemas.openxmlformats.org/officeDocument/2006/relationships/hyperlink" Target="https://www.gakkou.net/kou/view/index_302077.html" TargetMode="External" Id="rId69" /><Relationship Type="http://schemas.openxmlformats.org/officeDocument/2006/relationships/hyperlink" Target="https://www.gakkou.net/kou/view/index_301933.html" TargetMode="External" Id="rId70" /><Relationship Type="http://schemas.openxmlformats.org/officeDocument/2006/relationships/hyperlink" Target="https://www.gakkou.net/kou/view/index_301937.html" TargetMode="External" Id="rId71" /><Relationship Type="http://schemas.openxmlformats.org/officeDocument/2006/relationships/hyperlink" Target="https://www.gakkou.net/kou/view/index_302108.html" TargetMode="External" Id="rId72" /><Relationship Type="http://schemas.openxmlformats.org/officeDocument/2006/relationships/hyperlink" Target="https://www.gakkou.net/kou/view/index_302014.html" TargetMode="External" Id="rId73" /><Relationship Type="http://schemas.openxmlformats.org/officeDocument/2006/relationships/hyperlink" Target="https://www.gakkou.net/kou/view/index_302022.html" TargetMode="External" Id="rId74" /><Relationship Type="http://schemas.openxmlformats.org/officeDocument/2006/relationships/hyperlink" Target="https://www.gakkou.net/kou/view/index_302017.html" TargetMode="External" Id="rId75" /><Relationship Type="http://schemas.openxmlformats.org/officeDocument/2006/relationships/hyperlink" Target="https://www.gakkou.net/kou/view/index_302011.html" TargetMode="External" Id="rId76" /><Relationship Type="http://schemas.openxmlformats.org/officeDocument/2006/relationships/hyperlink" Target="https://www.gakkou.net/kou/view/index_302204.html" TargetMode="External" Id="rId77" /><Relationship Type="http://schemas.openxmlformats.org/officeDocument/2006/relationships/hyperlink" Target="https://www.gakkou.net/kou/view/index_301854.html" TargetMode="External" Id="rId78" /><Relationship Type="http://schemas.openxmlformats.org/officeDocument/2006/relationships/hyperlink" Target="https://www.gakkou.net/kou/view/index_301855.html" TargetMode="External" Id="rId79" /><Relationship Type="http://schemas.openxmlformats.org/officeDocument/2006/relationships/hyperlink" Target="https://www.gakkou.net/kou/view/index_302050.html" TargetMode="External" Id="rId80" /><Relationship Type="http://schemas.openxmlformats.org/officeDocument/2006/relationships/hyperlink" Target="https://www.gakkou.net/kou/view/index_302087.html" TargetMode="External" Id="rId81" /><Relationship Type="http://schemas.openxmlformats.org/officeDocument/2006/relationships/hyperlink" Target="https://www.gakkou.net/kou/view/index_301970.html" TargetMode="External" Id="rId82" /><Relationship Type="http://schemas.openxmlformats.org/officeDocument/2006/relationships/hyperlink" Target="https://www.gakkou.net/kou/view/index_302208.html" TargetMode="External" Id="rId83" /><Relationship Type="http://schemas.openxmlformats.org/officeDocument/2006/relationships/hyperlink" Target="https://www.gakkou.net/kou/view/index_302181.html" TargetMode="External" Id="rId84" /><Relationship Type="http://schemas.openxmlformats.org/officeDocument/2006/relationships/hyperlink" Target="https://www.gakkou.net/kou/view/index_302085.html" TargetMode="External" Id="rId85" /><Relationship Type="http://schemas.openxmlformats.org/officeDocument/2006/relationships/hyperlink" Target="https://www.gakkou.net/kou/view/index_301867.html" TargetMode="External" Id="rId86" /><Relationship Type="http://schemas.openxmlformats.org/officeDocument/2006/relationships/hyperlink" Target="https://www.gakkou.net/kou/view/index_302239.html" TargetMode="External" Id="rId87" /><Relationship Type="http://schemas.openxmlformats.org/officeDocument/2006/relationships/hyperlink" Target="https://www.gakkou.net/kou/view/index_302079.html" TargetMode="External" Id="rId88" /><Relationship Type="http://schemas.openxmlformats.org/officeDocument/2006/relationships/hyperlink" Target="https://www.gakkou.net/kou/view/index_302284.html" TargetMode="External" Id="rId89" /><Relationship Type="http://schemas.openxmlformats.org/officeDocument/2006/relationships/hyperlink" Target="https://www.gakkou.net/kou/view/index_301917.html" TargetMode="External" Id="rId90" /><Relationship Type="http://schemas.openxmlformats.org/officeDocument/2006/relationships/hyperlink" Target="https://www.gakkou.net/kou/view/index_302184.html" TargetMode="External" Id="rId91" /><Relationship Type="http://schemas.openxmlformats.org/officeDocument/2006/relationships/hyperlink" Target="https://www.gakkou.net/kou/view/index_301925.html" TargetMode="External" Id="rId92" /><Relationship Type="http://schemas.openxmlformats.org/officeDocument/2006/relationships/hyperlink" Target="https://www.gakkou.net/kou/view/index_302274.html" TargetMode="External" Id="rId93" /><Relationship Type="http://schemas.openxmlformats.org/officeDocument/2006/relationships/hyperlink" Target="https://www.gakkou.net/kou/view/index_301837.html" TargetMode="External" Id="rId94" /><Relationship Type="http://schemas.openxmlformats.org/officeDocument/2006/relationships/hyperlink" Target="https://www.gakkou.net/kou/view/index_302139.html" TargetMode="External" Id="rId95" /><Relationship Type="http://schemas.openxmlformats.org/officeDocument/2006/relationships/hyperlink" Target="https://www.gakkou.net/kou/view/index_302052.html" TargetMode="External" Id="rId96" /><Relationship Type="http://schemas.openxmlformats.org/officeDocument/2006/relationships/hyperlink" Target="https://www.gakkou.net/kou/view/index_302183.html" TargetMode="External" Id="rId97" /><Relationship Type="http://schemas.openxmlformats.org/officeDocument/2006/relationships/hyperlink" Target="https://www.gakkou.net/kou/view/index_301952.html" TargetMode="External" Id="rId98" /><Relationship Type="http://schemas.openxmlformats.org/officeDocument/2006/relationships/hyperlink" Target="https://www.gakkou.net/kou/view/index_302066.html" TargetMode="External" Id="rId99" /><Relationship Type="http://schemas.openxmlformats.org/officeDocument/2006/relationships/hyperlink" Target="https://www.gakkou.net/kou/view/index_302362.html" TargetMode="External" Id="rId100" /><Relationship Type="http://schemas.openxmlformats.org/officeDocument/2006/relationships/hyperlink" Target="https://www.gakkou.net/kou/view/index_302196.html" TargetMode="External" Id="rId101" /><Relationship Type="http://schemas.openxmlformats.org/officeDocument/2006/relationships/hyperlink" Target="https://www.gakkou.net/kou/view/index_302210.html" TargetMode="External" Id="rId102" /><Relationship Type="http://schemas.openxmlformats.org/officeDocument/2006/relationships/hyperlink" Target="https://www.gakkou.net/kou/view/index_301842.html" TargetMode="External" Id="rId103" /><Relationship Type="http://schemas.openxmlformats.org/officeDocument/2006/relationships/hyperlink" Target="https://www.gakkou.net/kou/view/index_302154.html" TargetMode="External" Id="rId104" /><Relationship Type="http://schemas.openxmlformats.org/officeDocument/2006/relationships/hyperlink" Target="https://www.gakkou.net/kou/view/index_302186.html" TargetMode="External" Id="rId105" /><Relationship Type="http://schemas.openxmlformats.org/officeDocument/2006/relationships/hyperlink" Target="https://www.gakkou.net/kou/view/index_302153.html" TargetMode="External" Id="rId106" /><Relationship Type="http://schemas.openxmlformats.org/officeDocument/2006/relationships/hyperlink" Target="https://www.gakkou.net/kou/view/index_301921.html" TargetMode="External" Id="rId107" /><Relationship Type="http://schemas.openxmlformats.org/officeDocument/2006/relationships/hyperlink" Target="https://www.gakkou.net/kou/view/index_301926.html" TargetMode="External" Id="rId108" /><Relationship Type="http://schemas.openxmlformats.org/officeDocument/2006/relationships/hyperlink" Target="https://www.gakkou.net/kou/view/index_302232.html" TargetMode="External" Id="rId109" /><Relationship Type="http://schemas.openxmlformats.org/officeDocument/2006/relationships/hyperlink" Target="https://www.gakkou.net/kou/view/index_301868.html" TargetMode="External" Id="rId110" /><Relationship Type="http://schemas.openxmlformats.org/officeDocument/2006/relationships/hyperlink" Target="https://www.gakkou.net/kou/view/index_302105.html" TargetMode="External" Id="rId111" /><Relationship Type="http://schemas.openxmlformats.org/officeDocument/2006/relationships/hyperlink" Target="https://www.gakkou.net/kou/view/index_302126.html" TargetMode="External" Id="rId112" /><Relationship Type="http://schemas.openxmlformats.org/officeDocument/2006/relationships/hyperlink" Target="https://www.gakkou.net/kou/view/index_302129.html" TargetMode="External" Id="rId113" /><Relationship Type="http://schemas.openxmlformats.org/officeDocument/2006/relationships/hyperlink" Target="https://www.gakkou.net/kou/view/index_301827.html" TargetMode="External" Id="rId114" /><Relationship Type="http://schemas.openxmlformats.org/officeDocument/2006/relationships/hyperlink" Target="https://www.gakkou.net/kou/view/index_301853.html" TargetMode="External" Id="rId115" /><Relationship Type="http://schemas.openxmlformats.org/officeDocument/2006/relationships/hyperlink" Target="https://www.gakkou.net/kou/view/index_302110.html" TargetMode="External" Id="rId116" /><Relationship Type="http://schemas.openxmlformats.org/officeDocument/2006/relationships/hyperlink" Target="https://www.gakkou.net/kou/view/index_302306.html" TargetMode="External" Id="rId117" /><Relationship Type="http://schemas.openxmlformats.org/officeDocument/2006/relationships/hyperlink" Target="https://www.gakkou.net/kou/view/index_301918.html" TargetMode="External" Id="rId118" /><Relationship Type="http://schemas.openxmlformats.org/officeDocument/2006/relationships/hyperlink" Target="https://www.gakkou.net/kou/view/index_302023.html" TargetMode="External" Id="rId119" /><Relationship Type="http://schemas.openxmlformats.org/officeDocument/2006/relationships/hyperlink" Target="https://www.gakkou.net/kou/view/index_302080.html" TargetMode="External" Id="rId120" /><Relationship Type="http://schemas.openxmlformats.org/officeDocument/2006/relationships/hyperlink" Target="https://www.gakkou.net/kou/view/index_302167.html" TargetMode="External" Id="rId121" /><Relationship Type="http://schemas.openxmlformats.org/officeDocument/2006/relationships/hyperlink" Target="https://www.gakkou.net/kou/view/index_302272.html" TargetMode="External" Id="rId122" /><Relationship Type="http://schemas.openxmlformats.org/officeDocument/2006/relationships/hyperlink" Target="https://www.gakkou.net/kou/view/index_302243.html" TargetMode="External" Id="rId123" /><Relationship Type="http://schemas.openxmlformats.org/officeDocument/2006/relationships/hyperlink" Target="https://www.gakkou.net/kou/view/index_301873.html" TargetMode="External" Id="rId124" /><Relationship Type="http://schemas.openxmlformats.org/officeDocument/2006/relationships/hyperlink" Target="https://www.gakkou.net/kou/view/index_301927.html" TargetMode="External" Id="rId125" /><Relationship Type="http://schemas.openxmlformats.org/officeDocument/2006/relationships/hyperlink" Target="https://www.gakkou.net/kou/view/index_302270.html" TargetMode="External" Id="rId126" /><Relationship Type="http://schemas.openxmlformats.org/officeDocument/2006/relationships/hyperlink" Target="https://www.gakkou.net/kou/view/index_302285.html" TargetMode="External" Id="rId127" /><Relationship Type="http://schemas.openxmlformats.org/officeDocument/2006/relationships/hyperlink" Target="https://www.gakkou.net/kou/view/index_302328.html" TargetMode="External" Id="rId128" /><Relationship Type="http://schemas.openxmlformats.org/officeDocument/2006/relationships/hyperlink" Target="https://www.gakkou.net/kou/view/index_302115.html" TargetMode="External" Id="rId129" /><Relationship Type="http://schemas.openxmlformats.org/officeDocument/2006/relationships/hyperlink" Target="https://www.gakkou.net/kou/view/index_302370.html" TargetMode="External" Id="rId130" /><Relationship Type="http://schemas.openxmlformats.org/officeDocument/2006/relationships/hyperlink" Target="https://www.gakkou.net/kou/view/index_302074.html" TargetMode="External" Id="rId131" /><Relationship Type="http://schemas.openxmlformats.org/officeDocument/2006/relationships/hyperlink" Target="https://www.gakkou.net/kou/view/index_306564.html" TargetMode="External" Id="rId132" /><Relationship Type="http://schemas.openxmlformats.org/officeDocument/2006/relationships/hyperlink" Target="https://www.gakkou.net/kou/view/index_302096.html" TargetMode="External" Id="rId133" /><Relationship Type="http://schemas.openxmlformats.org/officeDocument/2006/relationships/hyperlink" Target="https://www.gakkou.net/kou/view/index_302212.html" TargetMode="External" Id="rId134" /><Relationship Type="http://schemas.openxmlformats.org/officeDocument/2006/relationships/hyperlink" Target="https://www.gakkou.net/kou/view/index_301847.html" TargetMode="External" Id="rId135" /><Relationship Type="http://schemas.openxmlformats.org/officeDocument/2006/relationships/hyperlink" Target="https://www.gakkou.net/kou/view/index_301891.html" TargetMode="External" Id="rId136" /><Relationship Type="http://schemas.openxmlformats.org/officeDocument/2006/relationships/hyperlink" Target="https://www.gakkou.net/kou/view/index_302164.html" TargetMode="External" Id="rId137" /><Relationship Type="http://schemas.openxmlformats.org/officeDocument/2006/relationships/hyperlink" Target="https://www.gakkou.net/kou/view/index_302262.html" TargetMode="External" Id="rId138" /><Relationship Type="http://schemas.openxmlformats.org/officeDocument/2006/relationships/hyperlink" Target="https://www.gakkou.net/kou/view/index_301841.html" TargetMode="External" Id="rId139" /><Relationship Type="http://schemas.openxmlformats.org/officeDocument/2006/relationships/hyperlink" Target="https://www.gakkou.net/kou/view/index_302197.html" TargetMode="External" Id="rId140" /><Relationship Type="http://schemas.openxmlformats.org/officeDocument/2006/relationships/hyperlink" Target="https://www.gakkou.net/kou/view/index_302308.html" TargetMode="External" Id="rId141" /><Relationship Type="http://schemas.openxmlformats.org/officeDocument/2006/relationships/hyperlink" Target="https://www.gakkou.net/kou/view/index_302305.html" TargetMode="External" Id="rId142" /><Relationship Type="http://schemas.openxmlformats.org/officeDocument/2006/relationships/hyperlink" Target="https://www.gakkou.net/kou/view/index_301897.html" TargetMode="External" Id="rId143" /><Relationship Type="http://schemas.openxmlformats.org/officeDocument/2006/relationships/hyperlink" Target="https://www.gakkou.net/kou/view/index_302116.html" TargetMode="External" Id="rId144" /><Relationship Type="http://schemas.openxmlformats.org/officeDocument/2006/relationships/hyperlink" Target="https://www.gakkou.net/kou/view/index_302117.html" TargetMode="External" Id="rId145" /><Relationship Type="http://schemas.openxmlformats.org/officeDocument/2006/relationships/hyperlink" Target="https://www.gakkou.net/kou/view/index_302134.html" TargetMode="External" Id="rId146" /><Relationship Type="http://schemas.openxmlformats.org/officeDocument/2006/relationships/hyperlink" Target="https://www.gakkou.net/kou/view/index_302291.html" TargetMode="External" Id="rId147" /><Relationship Type="http://schemas.openxmlformats.org/officeDocument/2006/relationships/hyperlink" Target="https://www.gakkou.net/kou/view/index_301852.html" TargetMode="External" Id="rId148" /><Relationship Type="http://schemas.openxmlformats.org/officeDocument/2006/relationships/hyperlink" Target="https://www.gakkou.net/kou/view/index_306330.html" TargetMode="External" Id="rId149" /><Relationship Type="http://schemas.openxmlformats.org/officeDocument/2006/relationships/hyperlink" Target="https://www.gakkou.net/kou/view/index_301900.html" TargetMode="External" Id="rId150" /><Relationship Type="http://schemas.openxmlformats.org/officeDocument/2006/relationships/hyperlink" Target="https://www.gakkou.net/kou/view/index_301840.html" TargetMode="External" Id="rId151" /><Relationship Type="http://schemas.openxmlformats.org/officeDocument/2006/relationships/hyperlink" Target="https://www.gakkou.net/kou/view/index_302198.html" TargetMode="External" Id="rId152" /><Relationship Type="http://schemas.openxmlformats.org/officeDocument/2006/relationships/hyperlink" Target="https://www.gakkou.net/kou/view/index_302045.html" TargetMode="External" Id="rId153" /><Relationship Type="http://schemas.openxmlformats.org/officeDocument/2006/relationships/hyperlink" Target="https://www.gakkou.net/kou/view/index_302039.html" TargetMode="External" Id="rId154" /><Relationship Type="http://schemas.openxmlformats.org/officeDocument/2006/relationships/hyperlink" Target="https://www.gakkou.net/kou/view/index_302300.html" TargetMode="External" Id="rId155" /><Relationship Type="http://schemas.openxmlformats.org/officeDocument/2006/relationships/hyperlink" Target="https://www.gakkou.net/kou/view/index_302053.html" TargetMode="External" Id="rId156" /><Relationship Type="http://schemas.openxmlformats.org/officeDocument/2006/relationships/hyperlink" Target="https://www.gakkou.net/kou/view/index_301923.html" TargetMode="External" Id="rId157" /><Relationship Type="http://schemas.openxmlformats.org/officeDocument/2006/relationships/hyperlink" Target="https://www.gakkou.net/kou/view/index_302257.html" TargetMode="External" Id="rId158" /><Relationship Type="http://schemas.openxmlformats.org/officeDocument/2006/relationships/hyperlink" Target="https://www.gakkou.net/kou/view/index_302114.html" TargetMode="External" Id="rId159" /><Relationship Type="http://schemas.openxmlformats.org/officeDocument/2006/relationships/hyperlink" Target="https://www.gakkou.net/kou/view/index_302103.html" TargetMode="External" Id="rId160" /><Relationship Type="http://schemas.openxmlformats.org/officeDocument/2006/relationships/hyperlink" Target="https://www.gakkou.net/kou/view/index_302094.html" TargetMode="External" Id="rId161" /><Relationship Type="http://schemas.openxmlformats.org/officeDocument/2006/relationships/hyperlink" Target="https://www.gakkou.net/kou/view/index_302276.html" TargetMode="External" Id="rId162" /><Relationship Type="http://schemas.openxmlformats.org/officeDocument/2006/relationships/hyperlink" Target="https://www.gakkou.net/kou/view/index_302156.html" TargetMode="External" Id="rId163" /><Relationship Type="http://schemas.openxmlformats.org/officeDocument/2006/relationships/hyperlink" Target="https://www.gakkou.net/kou/view/index_302368.html" TargetMode="External" Id="rId164" /><Relationship Type="http://schemas.openxmlformats.org/officeDocument/2006/relationships/hyperlink" Target="https://www.gakkou.net/kou/view/index_302267.html" TargetMode="External" Id="rId165" /><Relationship Type="http://schemas.openxmlformats.org/officeDocument/2006/relationships/hyperlink" Target="https://www.gakkou.net/kou/view/index_302246.html" TargetMode="External" Id="rId166" /><Relationship Type="http://schemas.openxmlformats.org/officeDocument/2006/relationships/hyperlink" Target="https://www.gakkou.net/kou/view/index_301861.html" TargetMode="External" Id="rId167" /><Relationship Type="http://schemas.openxmlformats.org/officeDocument/2006/relationships/hyperlink" Target="https://www.gakkou.net/kou/view/index_301828.html" TargetMode="External" Id="rId168" /><Relationship Type="http://schemas.openxmlformats.org/officeDocument/2006/relationships/hyperlink" Target="https://www.gakkou.net/kou/view/index_301892.html" TargetMode="External" Id="rId169" /><Relationship Type="http://schemas.openxmlformats.org/officeDocument/2006/relationships/hyperlink" Target="https://www.gakkou.net/kou/view/index_301901.html" TargetMode="External" Id="rId170" /><Relationship Type="http://schemas.openxmlformats.org/officeDocument/2006/relationships/hyperlink" Target="https://www.gakkou.net/kou/view/index_302061.html" TargetMode="External" Id="rId171" /><Relationship Type="http://schemas.openxmlformats.org/officeDocument/2006/relationships/hyperlink" Target="https://www.gakkou.net/kou/view/index_302188.html" TargetMode="External" Id="rId172" /><Relationship Type="http://schemas.openxmlformats.org/officeDocument/2006/relationships/hyperlink" Target="https://www.gakkou.net/kou/view/index_302185.html" TargetMode="External" Id="rId173" /><Relationship Type="http://schemas.openxmlformats.org/officeDocument/2006/relationships/hyperlink" Target="https://www.gakkou.net/kou/view/index_301899.html" TargetMode="External" Id="rId174" /><Relationship Type="http://schemas.openxmlformats.org/officeDocument/2006/relationships/hyperlink" Target="https://www.gakkou.net/kou/view/index_302075.html" TargetMode="External" Id="rId175" /><Relationship Type="http://schemas.openxmlformats.org/officeDocument/2006/relationships/hyperlink" Target="https://www.gakkou.net/kou/view/index_302003.html" TargetMode="External" Id="rId176" /><Relationship Type="http://schemas.openxmlformats.org/officeDocument/2006/relationships/hyperlink" Target="https://www.gakkou.net/kou/view/index_301838.html" TargetMode="External" Id="rId177" /><Relationship Type="http://schemas.openxmlformats.org/officeDocument/2006/relationships/hyperlink" Target="https://www.gakkou.net/kou/view/index_302140.html" TargetMode="External" Id="rId178" /><Relationship Type="http://schemas.openxmlformats.org/officeDocument/2006/relationships/hyperlink" Target="https://www.gakkou.net/kou/view/index_302068.html" TargetMode="External" Id="rId179" /><Relationship Type="http://schemas.openxmlformats.org/officeDocument/2006/relationships/hyperlink" Target="https://www.gakkou.net/kou/view/index_302089.html" TargetMode="External" Id="rId180" /><Relationship Type="http://schemas.openxmlformats.org/officeDocument/2006/relationships/hyperlink" Target="https://www.gakkou.net/kou/view/index_302042.html" TargetMode="External" Id="rId181" /><Relationship Type="http://schemas.openxmlformats.org/officeDocument/2006/relationships/hyperlink" Target="https://www.gakkou.net/kou/view/index_302283.html" TargetMode="External" Id="rId182" /><Relationship Type="http://schemas.openxmlformats.org/officeDocument/2006/relationships/hyperlink" Target="https://www.gakkou.net/kou/view/index_302092.html" TargetMode="External" Id="rId183" /><Relationship Type="http://schemas.openxmlformats.org/officeDocument/2006/relationships/hyperlink" Target="https://www.gakkou.net/kou/view/index_301972.html" TargetMode="External" Id="rId184" /><Relationship Type="http://schemas.openxmlformats.org/officeDocument/2006/relationships/hyperlink" Target="https://www.gakkou.net/kou/view/index_302330.html" TargetMode="External" Id="rId185" /><Relationship Type="http://schemas.openxmlformats.org/officeDocument/2006/relationships/hyperlink" Target="https://www.gakkou.net/kou/view/index_302161.html" TargetMode="External" Id="rId186" /><Relationship Type="http://schemas.openxmlformats.org/officeDocument/2006/relationships/hyperlink" Target="https://www.gakkou.net/kou/view/index_302168.html" TargetMode="External" Id="rId187" /><Relationship Type="http://schemas.openxmlformats.org/officeDocument/2006/relationships/hyperlink" Target="https://www.gakkou.net/kou/view/index_301896.html" TargetMode="External" Id="rId188" /><Relationship Type="http://schemas.openxmlformats.org/officeDocument/2006/relationships/hyperlink" Target="https://www.gakkou.net/kou/view/index_302209.html" TargetMode="External" Id="rId189" /><Relationship Type="http://schemas.openxmlformats.org/officeDocument/2006/relationships/hyperlink" Target="https://www.gakkou.net/kou/view/index_302319.html" TargetMode="External" Id="rId190" /><Relationship Type="http://schemas.openxmlformats.org/officeDocument/2006/relationships/hyperlink" Target="https://www.gakkou.net/kou/view/index_302320.html" TargetMode="External" Id="rId191" /><Relationship Type="http://schemas.openxmlformats.org/officeDocument/2006/relationships/hyperlink" Target="https://www.gakkou.net/kou/view/index_302036.html" TargetMode="External" Id="rId192" /><Relationship Type="http://schemas.openxmlformats.org/officeDocument/2006/relationships/hyperlink" Target="https://www.gakkou.net/kou/view/index_301889.html" TargetMode="External" Id="rId193" /><Relationship Type="http://schemas.openxmlformats.org/officeDocument/2006/relationships/hyperlink" Target="https://www.gakkou.net/kou/view/index_301863.html" TargetMode="External" Id="rId194" /><Relationship Type="http://schemas.openxmlformats.org/officeDocument/2006/relationships/hyperlink" Target="https://www.gakkou.net/kou/view/index_302333.html" TargetMode="External" Id="rId195" /><Relationship Type="http://schemas.openxmlformats.org/officeDocument/2006/relationships/hyperlink" Target="https://www.gakkou.net/kou/view/index_302060.html" TargetMode="External" Id="rId196" /><Relationship Type="http://schemas.openxmlformats.org/officeDocument/2006/relationships/hyperlink" Target="https://www.gakkou.net/kou/view/index_302218.html" TargetMode="External" Id="rId197" /><Relationship Type="http://schemas.openxmlformats.org/officeDocument/2006/relationships/hyperlink" Target="https://www.gakkou.net/kou/view/index_301844.html" TargetMode="External" Id="rId198" /><Relationship Type="http://schemas.openxmlformats.org/officeDocument/2006/relationships/hyperlink" Target="https://www.gakkou.net/kou/view/index_301871.html" TargetMode="External" Id="rId199" /><Relationship Type="http://schemas.openxmlformats.org/officeDocument/2006/relationships/hyperlink" Target="https://www.gakkou.net/kou/view/index_302152.html" TargetMode="External" Id="rId20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0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架電リスト（東京都／200校）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東京都</t>
        </is>
      </c>
      <c r="C5" s="5" t="inlineStr">
        <is>
          <t>江戸川区</t>
        </is>
      </c>
      <c r="D5" s="5" t="inlineStr">
        <is>
          <t>愛国高等学校</t>
        </is>
      </c>
      <c r="E5" s="6" t="inlineStr">
        <is>
          <t>03-3658-4111</t>
        </is>
      </c>
      <c r="F5" s="7" t="inlineStr">
        <is>
          <t>高</t>
        </is>
      </c>
      <c r="G5" s="5" t="inlineStr">
        <is>
          <t>普通科・専門学科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東京都の私立高校一覧ほかで一致。中高共通</t>
        </is>
      </c>
      <c r="N5" s="11" t="inlineStr">
        <is>
          <t>https://www.seikatubunka.metro.tokyo.lg.jp/documents/d/seikatubunka/07high_zennichi_r61201 ; https://www.inter-edu.com/schools/school/2206</t>
        </is>
      </c>
      <c r="O5" s="12" t="inlineStr">
        <is>
          <t>開く</t>
        </is>
      </c>
    </row>
    <row r="6">
      <c r="A6" s="4" t="n">
        <v>2</v>
      </c>
      <c r="B6" s="5" t="inlineStr">
        <is>
          <t>東京都</t>
        </is>
      </c>
      <c r="C6" s="5" t="inlineStr">
        <is>
          <t>渋谷区</t>
        </is>
      </c>
      <c r="D6" s="5" t="inlineStr">
        <is>
          <t>青山学院高等部</t>
        </is>
      </c>
      <c r="E6" s="6" t="inlineStr">
        <is>
          <t>03-3409-3880</t>
        </is>
      </c>
      <c r="F6" s="13" t="inlineStr">
        <is>
          <t>中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東京都の私立高校一覧の番号。03-3407-7463（中等部の番号の可能性）を載せるサイトもあり。公式未確認</t>
        </is>
      </c>
      <c r="N6" s="11" t="inlineStr">
        <is>
          <t>https://www.seikatubunka.metro.tokyo.lg.jp/documents/d/seikatubunka/07high_zennichi_r61201</t>
        </is>
      </c>
      <c r="O6" s="12" t="inlineStr">
        <is>
          <t>開く</t>
        </is>
      </c>
    </row>
    <row r="7">
      <c r="A7" s="4" t="n">
        <v>3</v>
      </c>
      <c r="B7" s="5" t="inlineStr">
        <is>
          <t>東京都</t>
        </is>
      </c>
      <c r="C7" s="5" t="inlineStr">
        <is>
          <t>港区</t>
        </is>
      </c>
      <c r="D7" s="5" t="inlineStr">
        <is>
          <t>麻布高等学校</t>
        </is>
      </c>
      <c r="E7" s="6" t="inlineStr">
        <is>
          <t>03-3446-6541</t>
        </is>
      </c>
      <c r="F7" s="7" t="inlineStr">
        <is>
          <t>高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中高共通</t>
        </is>
      </c>
      <c r="N7" s="11" t="inlineStr">
        <is>
          <t>https://www.seikatubunka.metro.tokyo.lg.jp/documents/d/seikatubunka/07high_zennichi_r61201 ; https://www.inter-edu.com/schools/school/2</t>
        </is>
      </c>
      <c r="O7" s="12" t="inlineStr">
        <is>
          <t>開く</t>
        </is>
      </c>
    </row>
    <row r="8">
      <c r="A8" s="4" t="n">
        <v>4</v>
      </c>
      <c r="B8" s="5" t="inlineStr">
        <is>
          <t>東京都</t>
        </is>
      </c>
      <c r="C8" s="5" t="inlineStr">
        <is>
          <t>足立区</t>
        </is>
      </c>
      <c r="D8" s="5" t="inlineStr">
        <is>
          <t>足立学園高等学校</t>
        </is>
      </c>
      <c r="E8" s="6" t="inlineStr">
        <is>
          <t>03-3888-5331</t>
        </is>
      </c>
      <c r="F8" s="7" t="inlineStr">
        <is>
          <t>高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東京都の私立高校一覧ほかで一致。中高共通</t>
        </is>
      </c>
      <c r="N8" s="11" t="inlineStr">
        <is>
          <t>https://www.seikatubunka.metro.tokyo.lg.jp/documents/d/seikatubunka/07high_zennichi_r61201</t>
        </is>
      </c>
      <c r="O8" s="12" t="inlineStr">
        <is>
          <t>開く</t>
        </is>
      </c>
    </row>
    <row r="9">
      <c r="A9" s="4" t="n">
        <v>5</v>
      </c>
      <c r="B9" s="5" t="inlineStr">
        <is>
          <t>東京都</t>
        </is>
      </c>
      <c r="C9" s="5" t="inlineStr">
        <is>
          <t>文京区</t>
        </is>
      </c>
      <c r="D9" s="5" t="inlineStr">
        <is>
          <t>跡見学園高等学校</t>
        </is>
      </c>
      <c r="E9" s="6" t="inlineStr">
        <is>
          <t>03-3941-8167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中高共通。高校からの生徒募集なし（完全中高一貫）</t>
        </is>
      </c>
      <c r="N9" s="11" t="inlineStr">
        <is>
          <t>https://www.seikatubunka.metro.tokyo.lg.jp/documents/d/seikatubunka/07high_zennichi_r61201 ; https://www.inter-edu.com/schools/school/182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東京都</t>
        </is>
      </c>
      <c r="C10" s="5" t="inlineStr">
        <is>
          <t>北区</t>
        </is>
      </c>
      <c r="D10" s="5" t="inlineStr">
        <is>
          <t>安部学院高等学校</t>
        </is>
      </c>
      <c r="E10" s="6" t="inlineStr">
        <is>
          <t>03-3913-2323</t>
        </is>
      </c>
      <c r="F10" s="7" t="inlineStr">
        <is>
          <t>高</t>
        </is>
      </c>
      <c r="G10" s="5" t="inlineStr">
        <is>
          <t>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東京都の私立高校一覧ほかで一致</t>
        </is>
      </c>
      <c r="N10" s="11" t="inlineStr">
        <is>
          <t>https://www.seikatubunka.metro.tokyo.lg.jp/documents/d/seikatubunka/07high_zennichi_r61201 ; https://www.inter-edu.com/schools/school/1786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東京都</t>
        </is>
      </c>
      <c r="C11" s="5" t="inlineStr">
        <is>
          <t>文京区</t>
        </is>
      </c>
      <c r="D11" s="5" t="inlineStr">
        <is>
          <t>郁文館グローバル高等学校</t>
        </is>
      </c>
      <c r="E11" s="6" t="inlineStr">
        <is>
          <t>03-3828-2206</t>
        </is>
      </c>
      <c r="F11" s="7" t="inlineStr">
        <is>
          <t>高</t>
        </is>
      </c>
      <c r="G11" s="5" t="inlineStr">
        <is>
          <t>専門学科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郁文館中学・高校と共通の代表番号</t>
        </is>
      </c>
      <c r="N11" s="11" t="inlineStr">
        <is>
          <t>https://www.inter-edu.com/schools/school/984 ; https://www.seikatubunka.metro.tokyo.lg.jp/documents/d/seikatubunka/07high_zennichi_r61201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東京都</t>
        </is>
      </c>
      <c r="C12" s="5" t="inlineStr">
        <is>
          <t>文京区</t>
        </is>
      </c>
      <c r="D12" s="5" t="inlineStr">
        <is>
          <t>郁文館高等学校</t>
        </is>
      </c>
      <c r="E12" s="6" t="inlineStr">
        <is>
          <t>03-3828-2206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中学・郁文館グローバル高校と共通の代表番号</t>
        </is>
      </c>
      <c r="N12" s="11" t="inlineStr">
        <is>
          <t>https://www.seikatubunka.metro.tokyo.lg.jp/documents/d/seikatubunka/07high_zennichi_r61201 ; https://www.inter-edu.com/schools/school/185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東京都</t>
        </is>
      </c>
      <c r="C13" s="5" t="inlineStr">
        <is>
          <t>台東区</t>
        </is>
      </c>
      <c r="D13" s="5" t="inlineStr">
        <is>
          <t>岩倉高等学校</t>
        </is>
      </c>
      <c r="E13" s="6" t="inlineStr">
        <is>
          <t>03-3841-3086</t>
        </is>
      </c>
      <c r="F13" s="7" t="inlineStr">
        <is>
          <t>高</t>
        </is>
      </c>
      <c r="G13" s="5" t="inlineStr">
        <is>
          <t>普通科・専門学科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公式サイトに「代表」と記載。入試相談室は03-3841-3009</t>
        </is>
      </c>
      <c r="N13" s="11" t="inlineStr">
        <is>
          <t>https://www.tky-iwakura-h.ed.jp/intro/access/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東京都</t>
        </is>
      </c>
      <c r="C14" s="5" t="inlineStr">
        <is>
          <t>台東区</t>
        </is>
      </c>
      <c r="D14" s="5" t="inlineStr">
        <is>
          <t>上野学園高等学校</t>
        </is>
      </c>
      <c r="E14" s="6" t="inlineStr">
        <is>
          <t>03-3847-2201</t>
        </is>
      </c>
      <c r="F14" s="7" t="inlineStr">
        <is>
          <t>高</t>
        </is>
      </c>
      <c r="G14" s="5" t="inlineStr">
        <is>
          <t>普通科・専門学科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中高共通</t>
        </is>
      </c>
      <c r="N14" s="11" t="inlineStr">
        <is>
          <t>https://www.seikatubunka.metro.tokyo.lg.jp/documents/d/seikatubunka/07high_zennichi_r61201 ; https://www.inter-edu.com/schools/school/1988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東京都</t>
        </is>
      </c>
      <c r="C15" s="5" t="inlineStr">
        <is>
          <t>八王子市</t>
        </is>
      </c>
      <c r="D15" s="5" t="inlineStr">
        <is>
          <t>穎明館高等学校</t>
        </is>
      </c>
      <c r="E15" s="6" t="inlineStr">
        <is>
          <t>042-664-6000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中高共通</t>
        </is>
      </c>
      <c r="N15" s="11" t="inlineStr">
        <is>
          <t>https://www.seikatubunka.metro.tokyo.lg.jp/documents/d/seikatubunka/07high_zennichi_r61201 ; https://www.inter-edu.com/schools/school/25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東京都</t>
        </is>
      </c>
      <c r="C16" s="5" t="inlineStr">
        <is>
          <t>練馬区</t>
        </is>
      </c>
      <c r="D16" s="5" t="inlineStr">
        <is>
          <t>英明フロンティア高等学校</t>
        </is>
      </c>
      <c r="E16" s="6" t="inlineStr">
        <is>
          <t>03-3920-5151</t>
        </is>
      </c>
      <c r="F16" s="7" t="inlineStr">
        <is>
          <t>高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【校名変更】2025年4月に東京女子学院から改称・共学化。公式サイトで確認。中高共通</t>
        </is>
      </c>
      <c r="N16" s="11" t="inlineStr">
        <is>
          <t>https://eimei-frontier.ed.jp/ ; https://recruit.eimei-frontier.ed.jp/contact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東京都</t>
        </is>
      </c>
      <c r="C17" s="5" t="inlineStr">
        <is>
          <t>江戸川区</t>
        </is>
      </c>
      <c r="D17" s="5" t="inlineStr">
        <is>
          <t>江戸川女子高等学校</t>
        </is>
      </c>
      <c r="E17" s="6" t="inlineStr">
        <is>
          <t>03-3659-1241</t>
        </is>
      </c>
      <c r="F17" s="7" t="inlineStr">
        <is>
          <t>高</t>
        </is>
      </c>
      <c r="G17" s="5" t="inlineStr">
        <is>
          <t>普通科・専門学科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江戸川区の一覧ほかで一致。中高共通</t>
        </is>
      </c>
      <c r="N17" s="11" t="inlineStr">
        <is>
          <t>https://www.city.edogawa.tokyo.jp/e004/kuseijoho/gaiyo/shisetsuguide/bunya/gakko/toritsushiritsu.html ; https://www.inter-edu.com/schools/school/2036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東京都</t>
        </is>
      </c>
      <c r="C18" s="5" t="inlineStr">
        <is>
          <t>国立市</t>
        </is>
      </c>
      <c r="D18" s="5" t="inlineStr">
        <is>
          <t>NHK学園高等学校</t>
        </is>
      </c>
      <c r="E18" s="6" t="inlineStr">
        <is>
          <t>042-572-3151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通信制。東京都の通信制一覧の番号。042-572-3155は法人の代表、042-573-8111は旧番号の可能性</t>
        </is>
      </c>
      <c r="N18" s="11" t="inlineStr">
        <is>
          <t>https://www.seikatubunka.metro.tokyo.lg.jp/documents/d/seikatubunka/13high_tushin_r61201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東京都</t>
        </is>
      </c>
      <c r="C19" s="5" t="inlineStr">
        <is>
          <t>文京区</t>
        </is>
      </c>
      <c r="D19" s="5" t="inlineStr">
        <is>
          <t>桜蔭高等学校</t>
        </is>
      </c>
      <c r="E19" s="6" t="inlineStr">
        <is>
          <t>03-3811-0147</t>
        </is>
      </c>
      <c r="F19" s="7" t="inlineStr">
        <is>
          <t>高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東京都の私立高校一覧ほかで一致</t>
        </is>
      </c>
      <c r="N19" s="11" t="inlineStr">
        <is>
          <t>https://www.seikatubunka.metro.tokyo.lg.jp/documents/d/seikatubunka/07high_zennichi_r61201 ; https://www.inter-edu.com/schools/school/48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東京都</t>
        </is>
      </c>
      <c r="C20" s="5" t="inlineStr">
        <is>
          <t>町田市</t>
        </is>
      </c>
      <c r="D20" s="5" t="inlineStr">
        <is>
          <t>桜美林高等学校</t>
        </is>
      </c>
      <c r="E20" s="6" t="inlineStr">
        <is>
          <t>042-797-2668</t>
        </is>
      </c>
      <c r="F20" s="13" t="inlineStr">
        <is>
          <t>中</t>
        </is>
      </c>
      <c r="G20" s="5" t="inlineStr">
        <is>
          <t>普通科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東京都の私立高校一覧には042-797-2667とあり食い違い。要確認</t>
        </is>
      </c>
      <c r="N20" s="11" t="inlineStr">
        <is>
          <t>https://www.inter-edu.com/schools/school/1953 ; https://unesco-sdgs.mext.go.jp/?p=6997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東京都</t>
        </is>
      </c>
      <c r="C21" s="5" t="inlineStr">
        <is>
          <t>世田谷区</t>
        </is>
      </c>
      <c r="D21" s="5" t="inlineStr">
        <is>
          <t>鷗友学園女子高等学校</t>
        </is>
      </c>
      <c r="E21" s="6" t="inlineStr">
        <is>
          <t>03-3420-0136</t>
        </is>
      </c>
      <c r="F21" s="13" t="inlineStr">
        <is>
          <t>中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東京都の私立高校一覧のみで確認</t>
        </is>
      </c>
      <c r="N21" s="11" t="inlineStr">
        <is>
          <t>https://www.seikatubunka.metro.tokyo.lg.jp/documents/d/seikatubunka/07high_zennichi_r61201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東京都</t>
        </is>
      </c>
      <c r="C22" s="5" t="inlineStr">
        <is>
          <t>千代田区</t>
        </is>
      </c>
      <c r="D22" s="5" t="inlineStr">
        <is>
          <t>大妻高等学校</t>
        </is>
      </c>
      <c r="E22" s="6" t="inlineStr">
        <is>
          <t>03-5275-6002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中高共通</t>
        </is>
      </c>
      <c r="N22" s="11" t="inlineStr">
        <is>
          <t>https://www.seikatubunka.metro.tokyo.lg.jp/documents/d/seikatubunka/07high_zennichi_r61201 ; https://www.inter-edu.com/schools/school/50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東京都</t>
        </is>
      </c>
      <c r="C23" s="5" t="inlineStr">
        <is>
          <t>多摩市</t>
        </is>
      </c>
      <c r="D23" s="5" t="inlineStr">
        <is>
          <t>大妻多摩高等学校</t>
        </is>
      </c>
      <c r="E23" s="6" t="inlineStr">
        <is>
          <t>042-372-9113</t>
        </is>
      </c>
      <c r="F23" s="7" t="inlineStr">
        <is>
          <t>高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東京都の私立高校一覧ほかで一致</t>
        </is>
      </c>
      <c r="N23" s="11" t="inlineStr">
        <is>
          <t>https://www.seikatubunka.metro.tokyo.lg.jp/documents/d/seikatubunka/07high_zennichi_r61201 ; https://www.inter-edu.com/schools/school/51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東京都</t>
        </is>
      </c>
      <c r="C24" s="5" t="inlineStr">
        <is>
          <t>中野区</t>
        </is>
      </c>
      <c r="D24" s="5" t="inlineStr">
        <is>
          <t>大妻中野高等学校</t>
        </is>
      </c>
      <c r="E24" s="6" t="inlineStr">
        <is>
          <t>03-3389-7211</t>
        </is>
      </c>
      <c r="F24" s="7" t="inlineStr">
        <is>
          <t>高</t>
        </is>
      </c>
      <c r="G24" s="5" t="inlineStr">
        <is>
          <t>普通科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中高共通</t>
        </is>
      </c>
      <c r="N24" s="11" t="inlineStr">
        <is>
          <t>https://unesco-sdgs.mext.go.jp/?p=6992 ; https://www.inter-edu.com/schools/school/52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東京都</t>
        </is>
      </c>
      <c r="C25" s="5" t="inlineStr">
        <is>
          <t>千代田区</t>
        </is>
      </c>
      <c r="D25" s="5" t="inlineStr">
        <is>
          <t>大原学園美空高等学校</t>
        </is>
      </c>
      <c r="E25" s="6" t="inlineStr">
        <is>
          <t>03-3237-3141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通信制。東京都の通信制一覧とYahoo!マップで一致。町田キャンパスは別番号の可能性</t>
        </is>
      </c>
      <c r="N25" s="11" t="inlineStr">
        <is>
          <t>https://www.seikatubunka.metro.tokyo.lg.jp/documents/d/seikatubunka/13high_tushin_r61201 ; https://map.yahoo.co.jp/v3/place/P1V36L6F1ko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東京都</t>
        </is>
      </c>
      <c r="C26" s="5" t="inlineStr">
        <is>
          <t>大田区</t>
        </is>
      </c>
      <c r="D26" s="5" t="inlineStr">
        <is>
          <t>大森学園高等学校</t>
        </is>
      </c>
      <c r="E26" s="6" t="inlineStr">
        <is>
          <t>03-3762-7336</t>
        </is>
      </c>
      <c r="F26" s="13" t="inlineStr">
        <is>
          <t>中</t>
        </is>
      </c>
      <c r="G26" s="5" t="inlineStr">
        <is>
          <t>普通科・専門学科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学校情報サイト1件のみで確認</t>
        </is>
      </c>
      <c r="N26" s="11" t="inlineStr">
        <is>
          <t>https://www.inter-edu.com/schools/school/565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東京都</t>
        </is>
      </c>
      <c r="C27" s="5" t="inlineStr">
        <is>
          <t>新宿区</t>
        </is>
      </c>
      <c r="D27" s="5" t="inlineStr">
        <is>
          <t>海城高等学校</t>
        </is>
      </c>
      <c r="E27" s="6" t="inlineStr">
        <is>
          <t>03-3209-5880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中高共通</t>
        </is>
      </c>
      <c r="N27" s="11" t="inlineStr">
        <is>
          <t>https://www.inter-edu.com/schools/school/4 ; https://www.seikatubunka.metro.tokyo.lg.jp/documents/d/seikatubunka/07high_zennichi_r61201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東京都</t>
        </is>
      </c>
      <c r="C28" s="5" t="inlineStr">
        <is>
          <t>荒川区</t>
        </is>
      </c>
      <c r="D28" s="5" t="inlineStr">
        <is>
          <t>開成高等学校</t>
        </is>
      </c>
      <c r="E28" s="6" t="inlineStr">
        <is>
          <t>03-3822-0741</t>
        </is>
      </c>
      <c r="F28" s="13" t="inlineStr">
        <is>
          <t>中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中高共通とみられる。公式の教員募集資料には高校の問い合わせ先として03-3822-0743の記載あり</t>
        </is>
      </c>
      <c r="N28" s="11" t="inlineStr">
        <is>
          <t>https://www.inter-edu.com/schools/school/1941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東京都</t>
        </is>
      </c>
      <c r="C29" s="5" t="inlineStr">
        <is>
          <t>中央区</t>
        </is>
      </c>
      <c r="D29" s="5" t="inlineStr">
        <is>
          <t>開智日本橋学園高等学校</t>
        </is>
      </c>
      <c r="E29" s="6" t="inlineStr">
        <is>
          <t>03-3662-2507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中高共通。高校募集なし（完全中高一貫）との情報あり</t>
        </is>
      </c>
      <c r="N29" s="11" t="inlineStr">
        <is>
          <t>https://www.seikatubunka.metro.tokyo.lg.jp/documents/d/seikatubunka/07high_zennichi_r61201 ; https://www.inter-edu.com/schools/school/255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東京都</t>
        </is>
      </c>
      <c r="C30" s="5" t="inlineStr">
        <is>
          <t>江東区</t>
        </is>
      </c>
      <c r="D30" s="5" t="inlineStr">
        <is>
          <t>かえつ有明高等学校</t>
        </is>
      </c>
      <c r="E30" s="6" t="inlineStr">
        <is>
          <t>03-5564-2161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中高共通。「広報室」と表記するサイトもあり、代表か不明</t>
        </is>
      </c>
      <c r="N30" s="11" t="inlineStr">
        <is>
          <t>https://www.inter-edu.com/schools/school/1989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東京都</t>
        </is>
      </c>
      <c r="C31" s="5" t="inlineStr">
        <is>
          <t>世田谷区</t>
        </is>
      </c>
      <c r="D31" s="5" t="inlineStr">
        <is>
          <t>科学技術学園高等学校</t>
        </is>
      </c>
      <c r="E31" s="6" t="inlineStr">
        <is>
          <t>03-5494-7711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全日制・通信制の東京都一覧で一致。定時制あり</t>
        </is>
      </c>
      <c r="N31" s="11" t="inlineStr">
        <is>
          <t>https://www.seikatubunka.metro.tokyo.lg.jp/documents/d/seikatubunka/07high_zennichi_r61201 ; https://www.seikatubunka.metro.tokyo.lg.jp/documents/d/seikatubunka/13high_tushin_r61201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東京都</t>
        </is>
      </c>
      <c r="C32" s="5" t="inlineStr">
        <is>
          <t>豊島区</t>
        </is>
      </c>
      <c r="D32" s="5" t="inlineStr">
        <is>
          <t>川村高等学校</t>
        </is>
      </c>
      <c r="E32" s="6" t="inlineStr">
        <is>
          <t>03-3984-8321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学校資料に「代表」と記載。中高共通</t>
        </is>
      </c>
      <c r="N32" s="11" t="inlineStr">
        <is>
          <t>https://www.univpress.co.jp/wp-content/uploads/29kawamura-.pdf ; https://map.yahoo.co.jp/v3/place/0LqAmew92LU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東京都</t>
        </is>
      </c>
      <c r="C33" s="5" t="inlineStr">
        <is>
          <t>千代田区</t>
        </is>
      </c>
      <c r="D33" s="5" t="inlineStr">
        <is>
          <t>神田女学園高等学校</t>
        </is>
      </c>
      <c r="E33" s="6" t="inlineStr">
        <is>
          <t>03-6383-3751</t>
        </is>
      </c>
      <c r="F33" s="7" t="inlineStr">
        <is>
          <t>高</t>
        </is>
      </c>
      <c r="G33" s="5" t="inlineStr">
        <is>
          <t>普通科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中高共通。複数の情報源で一致</t>
        </is>
      </c>
      <c r="N33" s="11" t="inlineStr">
        <is>
          <t>https://www.inter-edu.com/schools/school/2211 ; https://school.js88.com/scl_h/22037920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東京都</t>
        </is>
      </c>
      <c r="C34" s="5" t="inlineStr">
        <is>
          <t>渋谷区</t>
        </is>
      </c>
      <c r="D34" s="5" t="inlineStr">
        <is>
          <t>関東国際高等学校</t>
        </is>
      </c>
      <c r="E34" s="6" t="inlineStr">
        <is>
          <t>03-3376-2244</t>
        </is>
      </c>
      <c r="F34" s="7" t="inlineStr">
        <is>
          <t>高</t>
        </is>
      </c>
      <c r="G34" s="5" t="inlineStr">
        <is>
          <t>普通科・専門学科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東京都の私立高校一覧と一致</t>
        </is>
      </c>
      <c r="N34" s="11" t="inlineStr">
        <is>
          <t>https://www.inter-edu.com/schools/school/566 ; https://www.seikatubunka.metro.tokyo.lg.jp/documents/d/seikatubunka/07high_zennichi_r61201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東京都</t>
        </is>
      </c>
      <c r="C35" s="5" t="inlineStr">
        <is>
          <t>江戸川区</t>
        </is>
      </c>
      <c r="D35" s="5" t="inlineStr">
        <is>
          <t>関東第一高等学校</t>
        </is>
      </c>
      <c r="E35" s="6" t="inlineStr">
        <is>
          <t>03-3653-1541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公式資料に学校代表として記載。広報直通は03-3653-1680</t>
        </is>
      </c>
      <c r="N35" s="11" t="inlineStr">
        <is>
          <t>https://www.kanto-ichiko.ac.jp/topics/assets/fdd62acf219d9e2f1087e8a41dadae25fea8c585.pdf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東京都</t>
        </is>
      </c>
      <c r="C36" s="5" t="inlineStr">
        <is>
          <t>豊島区</t>
        </is>
      </c>
      <c r="D36" s="5" t="inlineStr">
        <is>
          <t>学習院高等科</t>
        </is>
      </c>
      <c r="E36" s="6" t="inlineStr">
        <is>
          <t>03-5992-1032</t>
        </is>
      </c>
      <c r="F36" s="7" t="inlineStr">
        <is>
          <t>高</t>
        </is>
      </c>
      <c r="G36" s="5" t="inlineStr">
        <is>
          <t>普通科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公式の学校案内と東京都の一覧で一致。一部サイトの03-3986-0221は旧番号の可能性</t>
        </is>
      </c>
      <c r="N36" s="11" t="inlineStr">
        <is>
          <t>https://www.gakushuin.ac.jp/bsh/admission/pdf/leaf2023.pdf ; https://www.seikatubunka.metro.tokyo.lg.jp/documents/d/seikatubunka/07high_zennichi_r61201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東京都</t>
        </is>
      </c>
      <c r="C37" s="5" t="inlineStr">
        <is>
          <t>新宿区</t>
        </is>
      </c>
      <c r="D37" s="5" t="inlineStr">
        <is>
          <t>学習院女子高等科</t>
        </is>
      </c>
      <c r="E37" s="6" t="inlineStr">
        <is>
          <t>03-3203-1901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学校情報サイトのみで確認。03-3203-1906は学習院女子大学の番号なので注意</t>
        </is>
      </c>
      <c r="N37" s="11" t="inlineStr">
        <is>
          <t>https://www.inter-edu.com/schools/school/54 ; https://www.minkou.jp/junior/school/7530/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東京都</t>
        </is>
      </c>
      <c r="C38" s="5" t="inlineStr">
        <is>
          <t>北区</t>
        </is>
      </c>
      <c r="D38" s="5" t="inlineStr">
        <is>
          <t>北里大学附属順天高等学校</t>
        </is>
      </c>
      <c r="E38" s="6" t="inlineStr">
        <is>
          <t>03-3908-2966</t>
        </is>
      </c>
      <c r="F38" s="7" t="inlineStr">
        <is>
          <t>高</t>
        </is>
      </c>
      <c r="G38" s="5" t="inlineStr">
        <is>
          <t>普通科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旧 順天高校。2つのサイトで一致</t>
        </is>
      </c>
      <c r="N38" s="11" t="inlineStr">
        <is>
          <t>https://www.inter-edu.com/schools/school/1995 ; https://school.js88.com/scl_h/22038690?page=6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東京都</t>
        </is>
      </c>
      <c r="C39" s="5" t="inlineStr">
        <is>
          <t>荒川区</t>
        </is>
      </c>
      <c r="D39" s="5" t="inlineStr">
        <is>
          <t>北豊島高等学校</t>
        </is>
      </c>
      <c r="E39" s="6" t="inlineStr">
        <is>
          <t>03-3895-4490</t>
        </is>
      </c>
      <c r="F39" s="13" t="inlineStr">
        <is>
          <t>中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全日制の番号（学校情報サイト）。通信制課程は03-3895-3051</t>
        </is>
      </c>
      <c r="N39" s="11" t="inlineStr">
        <is>
          <t>https://www.inter-edu.com/schools/school/189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東京都</t>
        </is>
      </c>
      <c r="C40" s="5" t="inlineStr">
        <is>
          <t>武蔵野市</t>
        </is>
      </c>
      <c r="D40" s="5" t="inlineStr">
        <is>
          <t>吉祥寺湧水高等学校</t>
        </is>
      </c>
      <c r="E40" s="6" t="inlineStr">
        <is>
          <t>0422-22-1266</t>
        </is>
      </c>
      <c r="F40" s="13" t="inlineStr">
        <is>
          <t>中</t>
        </is>
      </c>
      <c r="G40" s="5" t="inlineStr">
        <is>
          <t>普通科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【校名変更予定】現在は藤村女子高校（2027年4月に改称予定）。学校情報サイトのみで確認</t>
        </is>
      </c>
      <c r="N40" s="11" t="inlineStr">
        <is>
          <t>https://www.inter-edu.com/schools/school/2102 ; https://www.minkou.jp/junior/school/8077/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東京都</t>
        </is>
      </c>
      <c r="C41" s="5" t="inlineStr">
        <is>
          <t>武蔵野市</t>
        </is>
      </c>
      <c r="D41" s="5" t="inlineStr">
        <is>
          <t>吉祥女子高等学校</t>
        </is>
      </c>
      <c r="E41" s="6" t="inlineStr">
        <is>
          <t>0422-22-8117</t>
        </is>
      </c>
      <c r="F41" s="13" t="inlineStr">
        <is>
          <t>中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学校情報サイト1件のみで確認</t>
        </is>
      </c>
      <c r="N41" s="11" t="inlineStr">
        <is>
          <t>https://www.inter-edu.com/schools/school/103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東京都</t>
        </is>
      </c>
      <c r="C42" s="5" t="inlineStr">
        <is>
          <t>葛飾区</t>
        </is>
      </c>
      <c r="D42" s="5" t="inlineStr">
        <is>
          <t>共栄学園高等学校</t>
        </is>
      </c>
      <c r="E42" s="6" t="inlineStr">
        <is>
          <t>03-3601-7136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2つの情報源で一致</t>
        </is>
      </c>
      <c r="N42" s="11" t="inlineStr">
        <is>
          <t>https://www.inter-edu.com/schools/school/1992 ; https://univpress.co.jp/gk_pdf/13604.pdf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東京都</t>
        </is>
      </c>
      <c r="C43" s="5" t="inlineStr">
        <is>
          <t>千代田区</t>
        </is>
      </c>
      <c r="D43" s="5" t="inlineStr">
        <is>
          <t>共立女子高等学校</t>
        </is>
      </c>
      <c r="E43" s="6" t="inlineStr">
        <is>
          <t>03-3237-2744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東京都の私立高校一覧ほかで一致</t>
        </is>
      </c>
      <c r="N43" s="11" t="inlineStr">
        <is>
          <t>https://www.seikatubunka.metro.tokyo.lg.jp/documents/d/seikatubunka/07high_zennichi_r61201 ; https://www.inter-edu.com/schools/school/104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東京都</t>
        </is>
      </c>
      <c r="C44" s="5" t="inlineStr">
        <is>
          <t>八王子市</t>
        </is>
      </c>
      <c r="D44" s="5" t="inlineStr">
        <is>
          <t>共立女子第二高等学校</t>
        </is>
      </c>
      <c r="E44" s="6" t="inlineStr">
        <is>
          <t>042-661-9952</t>
        </is>
      </c>
      <c r="F44" s="13" t="inlineStr">
        <is>
          <t>中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学校情報サイトのみで確認</t>
        </is>
      </c>
      <c r="N44" s="11" t="inlineStr">
        <is>
          <t>https://www.inter-edu.com/schools/school/1875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東京都</t>
        </is>
      </c>
      <c r="C45" s="5" t="inlineStr">
        <is>
          <t>千代田区</t>
        </is>
      </c>
      <c r="D45" s="5" t="inlineStr">
        <is>
          <t>錦城学園高等学校</t>
        </is>
      </c>
      <c r="E45" s="6" t="inlineStr">
        <is>
          <t>03-3291-3211</t>
        </is>
      </c>
      <c r="F45" s="13" t="inlineStr">
        <is>
          <t>中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学校情報サイトのみで確認。錦城高校（小平市）とは別の学校</t>
        </is>
      </c>
      <c r="N45" s="11" t="inlineStr">
        <is>
          <t>https://www.inter-edu.com/schools/school/1017 ; https://school.js88.com/scl_h/22037990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東京都</t>
        </is>
      </c>
      <c r="C46" s="5" t="inlineStr">
        <is>
          <t>小平市</t>
        </is>
      </c>
      <c r="D46" s="5" t="inlineStr">
        <is>
          <t>錦城高等学校</t>
        </is>
      </c>
      <c r="E46" s="6" t="inlineStr">
        <is>
          <t>042-341-0741</t>
        </is>
      </c>
      <c r="F46" s="7" t="inlineStr">
        <is>
          <t>高</t>
        </is>
      </c>
      <c r="G46" s="5" t="inlineStr">
        <is>
          <t>普通科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複数の資料で一致。錦城学園（千代田区）とは別の学校</t>
        </is>
      </c>
      <c r="N46" s="11" t="inlineStr">
        <is>
          <t>https://www.inter-edu.com/schools/school/575 ; https://www.univpress.co.jp/gk_pdf/13720.pdf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東京都</t>
        </is>
      </c>
      <c r="C47" s="5" t="inlineStr">
        <is>
          <t>千代田区</t>
        </is>
      </c>
      <c r="D47" s="5" t="inlineStr">
        <is>
          <t>暁星高等学校</t>
        </is>
      </c>
      <c r="E47" s="6" t="inlineStr">
        <is>
          <t>03-3262-3291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中高共通。東京都の私立高校一覧と一致</t>
        </is>
      </c>
      <c r="N47" s="11" t="inlineStr">
        <is>
          <t>https://www.seikatubunka.metro.tokyo.lg.jp/documents/d/seikatubunka/07high_zennichi_r61201 ; https://www.inter-edu.com/schools/school/105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東京都</t>
        </is>
      </c>
      <c r="C48" s="5" t="inlineStr">
        <is>
          <t>国立市</t>
        </is>
      </c>
      <c r="D48" s="5" t="inlineStr">
        <is>
          <t>国立音楽大学附属高等学校</t>
        </is>
      </c>
      <c r="E48" s="6" t="inlineStr">
        <is>
          <t>042-572-4111</t>
        </is>
      </c>
      <c r="F48" s="7" t="inlineStr">
        <is>
          <t>高</t>
        </is>
      </c>
      <c r="G48" s="5" t="inlineStr">
        <is>
          <t>普通科・専門学科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中高共通。複数の情報源で一致</t>
        </is>
      </c>
      <c r="N48" s="11" t="inlineStr">
        <is>
          <t>https://www.inter-edu.com/schools/school/1873 ; https://www.minkou.jp/junior/school/8203/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東京都</t>
        </is>
      </c>
      <c r="C49" s="5" t="inlineStr">
        <is>
          <t>世田谷区</t>
        </is>
      </c>
      <c r="D49" s="5" t="inlineStr">
        <is>
          <t>国本女子高等学校</t>
        </is>
      </c>
      <c r="E49" s="6" t="inlineStr">
        <is>
          <t>03-3416-4722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中高共通。複数の情報源で一致</t>
        </is>
      </c>
      <c r="N49" s="11" t="inlineStr">
        <is>
          <t>https://www.inter-edu.com/schools/school/2112 ; https://school.js88.com/scl_h/22039150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東京都</t>
        </is>
      </c>
      <c r="C50" s="5" t="inlineStr">
        <is>
          <t>港区</t>
        </is>
      </c>
      <c r="D50" s="5" t="inlineStr">
        <is>
          <t>慶應義塾女子高等学校</t>
        </is>
      </c>
      <c r="E50" s="6" t="inlineStr">
        <is>
          <t>03-5427-1674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公式の入試要項に「代表」と記載</t>
        </is>
      </c>
      <c r="N50" s="11" t="inlineStr">
        <is>
          <t>https://www.gshs.keio.ac.jp/common/pdf/2026nyushiyoko_suisen.pdf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東京都</t>
        </is>
      </c>
      <c r="C51" s="5" t="inlineStr">
        <is>
          <t>文京区</t>
        </is>
      </c>
      <c r="D51" s="5" t="inlineStr">
        <is>
          <t>京華高等学校</t>
        </is>
      </c>
      <c r="E51" s="6" t="inlineStr">
        <is>
          <t>03-3946-4451</t>
        </is>
      </c>
      <c r="F51" s="7" t="inlineStr">
        <is>
          <t>高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中高共通。京華商業・京華女子とは別番号</t>
        </is>
      </c>
      <c r="N51" s="11" t="inlineStr">
        <is>
          <t>https://www.inter-edu.com/schools/school/1991 ; https://www.city.bunkyo.lg.jp/documents/5788/kizi_2024.pdf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東京都</t>
        </is>
      </c>
      <c r="C52" s="5" t="inlineStr">
        <is>
          <t>文京区</t>
        </is>
      </c>
      <c r="D52" s="5" t="inlineStr">
        <is>
          <t>京華商業高等学校</t>
        </is>
      </c>
      <c r="E52" s="6" t="inlineStr">
        <is>
          <t>03-3946-4491</t>
        </is>
      </c>
      <c r="F52" s="7" t="inlineStr">
        <is>
          <t>高</t>
        </is>
      </c>
      <c r="G52" s="5" t="inlineStr">
        <is>
          <t>専門学科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京華・京華女子とは別番号</t>
        </is>
      </c>
      <c r="N52" s="11" t="inlineStr">
        <is>
          <t>https://www.city.bunkyo.lg.jp/b003/p006756.html ; https://www.univpress.co.jp/gk_pdf/13568.pdf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東京都</t>
        </is>
      </c>
      <c r="C53" s="5" t="inlineStr">
        <is>
          <t>文京区</t>
        </is>
      </c>
      <c r="D53" s="5" t="inlineStr">
        <is>
          <t>京華女子高等学校</t>
        </is>
      </c>
      <c r="E53" s="6" t="inlineStr">
        <is>
          <t>03-3946-4434</t>
        </is>
      </c>
      <c r="F53" s="7" t="inlineStr">
        <is>
          <t>高</t>
        </is>
      </c>
      <c r="G53" s="5" t="inlineStr">
        <is>
          <t>普通科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中高共通。京華・京華商業とは別番号</t>
        </is>
      </c>
      <c r="N53" s="11" t="inlineStr">
        <is>
          <t>https://www.inter-edu.com/schools/school/2098 ; https://www.seikatubunka.metro.tokyo.lg.jp/documents/d/seikatubunka/07high_zennichi_r61201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東京都</t>
        </is>
      </c>
      <c r="C54" s="5" t="inlineStr">
        <is>
          <t>世田谷区</t>
        </is>
      </c>
      <c r="D54" s="5" t="inlineStr">
        <is>
          <t>恵泉女学園高等学校</t>
        </is>
      </c>
      <c r="E54" s="6" t="inlineStr">
        <is>
          <t>03-3303-2115</t>
        </is>
      </c>
      <c r="F54" s="7" t="inlineStr">
        <is>
          <t>高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中高共通。高校からの生徒募集なし（完全中高一貫）</t>
        </is>
      </c>
      <c r="N54" s="11" t="inlineStr">
        <is>
          <t>https://www.inter-edu.com/schools/school/191 ; https://uccj.org/kyodan/wp-content/uploads/2022/12/2023school1.pdf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東京都</t>
        </is>
      </c>
      <c r="C55" s="5" t="inlineStr">
        <is>
          <t>昭島市</t>
        </is>
      </c>
      <c r="D55" s="5" t="inlineStr">
        <is>
          <t>啓明学園高等学校</t>
        </is>
      </c>
      <c r="E55" s="6" t="inlineStr">
        <is>
          <t>042-541-1003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中高共通。学校情報サイトのみで確認</t>
        </is>
      </c>
      <c r="N55" s="11" t="inlineStr">
        <is>
          <t>https://www.inter-edu.com/schools/school/1956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東京都</t>
        </is>
      </c>
      <c r="C56" s="5" t="inlineStr">
        <is>
          <t>文京区</t>
        </is>
      </c>
      <c r="D56" s="5" t="inlineStr">
        <is>
          <t>小石川淑徳学園高等学校</t>
        </is>
      </c>
      <c r="E56" s="6" t="inlineStr">
        <is>
          <t>03-3811-0237</t>
        </is>
      </c>
      <c r="F56" s="7" t="inlineStr">
        <is>
          <t>高</t>
        </is>
      </c>
      <c r="G56" s="5" t="inlineStr">
        <is>
          <t>普通科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中高共通。広尾学園小石川とは別の学校</t>
        </is>
      </c>
      <c r="N56" s="11" t="inlineStr">
        <is>
          <t>https://school.js88.com/scl_h/22038550 ; https://www.inter-edu.com/schools/school/2113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東京都</t>
        </is>
      </c>
      <c r="C57" s="5" t="inlineStr">
        <is>
          <t>杉並区</t>
        </is>
      </c>
      <c r="D57" s="5" t="inlineStr">
        <is>
          <t>光塩女子学院高等科</t>
        </is>
      </c>
      <c r="E57" s="6" t="inlineStr">
        <is>
          <t>03-3315-1911</t>
        </is>
      </c>
      <c r="F57" s="7" t="inlineStr">
        <is>
          <t>高</t>
        </is>
      </c>
      <c r="G57" s="5" t="inlineStr">
        <is>
          <t>普通科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中高共通。杉並区の一覧と一致</t>
        </is>
      </c>
      <c r="N57" s="11" t="inlineStr">
        <is>
          <t>https://www.city.suginami.tokyo.jp/kusei/gaiyou/shisetsu/genre/school/shiritsukoukou/index.html ; https://www.inter-edu.com/schools/school/55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東京都</t>
        </is>
      </c>
      <c r="C58" s="5" t="inlineStr">
        <is>
          <t>調布市</t>
        </is>
      </c>
      <c r="D58" s="5" t="inlineStr">
        <is>
          <t>晃華学園高等学校</t>
        </is>
      </c>
      <c r="E58" s="6" t="inlineStr">
        <is>
          <t>042-482-8952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</t>
        </is>
      </c>
      <c r="N58" s="11" t="inlineStr">
        <is>
          <t>https://www.inter-edu.com/schools/school/56 ; https://school.js88.com/scl_h/22038410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東京都</t>
        </is>
      </c>
      <c r="C59" s="5" t="inlineStr">
        <is>
          <t>八王子市</t>
        </is>
      </c>
      <c r="D59" s="5" t="inlineStr">
        <is>
          <t>工学院大学附属高等学校</t>
        </is>
      </c>
      <c r="E59" s="6" t="inlineStr">
        <is>
          <t>042-628-4912</t>
        </is>
      </c>
      <c r="F59" s="7" t="inlineStr">
        <is>
          <t>高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公式サイトに「代表」と記載。中高共通。入試広報部は042-628-4914</t>
        </is>
      </c>
      <c r="N59" s="11" t="inlineStr">
        <is>
          <t>https://www.js.kogakuin.ac.jp/about/contact.html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東京都</t>
        </is>
      </c>
      <c r="C60" s="5" t="inlineStr">
        <is>
          <t>品川区</t>
        </is>
      </c>
      <c r="D60" s="5" t="inlineStr">
        <is>
          <t>攻玉社高等学校</t>
        </is>
      </c>
      <c r="E60" s="6" t="inlineStr">
        <is>
          <t>03-3493-0331</t>
        </is>
      </c>
      <c r="F60" s="7" t="inlineStr">
        <is>
          <t>高</t>
        </is>
      </c>
      <c r="G60" s="5" t="inlineStr">
        <is>
          <t>普通科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中高共通</t>
        </is>
      </c>
      <c r="N60" s="11" t="inlineStr">
        <is>
          <t>https://school.js88.com/scl_h/22038910 ; https://www.inter-edu.com/schools/school/8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東京都</t>
        </is>
      </c>
      <c r="C61" s="5" t="inlineStr">
        <is>
          <t>千代田区</t>
        </is>
      </c>
      <c r="D61" s="5" t="inlineStr">
        <is>
          <t>麹町学園女子高等学校</t>
        </is>
      </c>
      <c r="E61" s="6" t="inlineStr">
        <is>
          <t>03-3263-3011</t>
        </is>
      </c>
      <c r="F61" s="13" t="inlineStr">
        <is>
          <t>中</t>
        </is>
      </c>
      <c r="G61" s="5" t="inlineStr">
        <is>
          <t>普通科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中高共通。学校情報サイトのみで確認</t>
        </is>
      </c>
      <c r="N61" s="11" t="inlineStr">
        <is>
          <t>https://www.inter-edu.com/schools/school/2058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東京都</t>
        </is>
      </c>
      <c r="C62" s="5" t="inlineStr">
        <is>
          <t>杉並区</t>
        </is>
      </c>
      <c r="D62" s="5" t="inlineStr">
        <is>
          <t>佼成学園高等学校</t>
        </is>
      </c>
      <c r="E62" s="6" t="inlineStr">
        <is>
          <t>03-3381-7227</t>
        </is>
      </c>
      <c r="F62" s="7" t="inlineStr">
        <is>
          <t>高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中高共通。杉並区の一覧と公式資料で一致</t>
        </is>
      </c>
      <c r="N62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東京都</t>
        </is>
      </c>
      <c r="C63" s="5" t="inlineStr">
        <is>
          <t>世田谷区</t>
        </is>
      </c>
      <c r="D63" s="5" t="inlineStr">
        <is>
          <t>佼成学園女子高等学校</t>
        </is>
      </c>
      <c r="E63" s="6" t="inlineStr">
        <is>
          <t>03-3300-2351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中高共通</t>
        </is>
      </c>
      <c r="N63" s="11" t="inlineStr">
        <is>
          <t>https://www.inter-edu.com/schools/school/2056 ; https://www.seikatubunka.metro.tokyo.lg.jp/documents/d/seikatubunka/07high_zennichi_r61201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東京都</t>
        </is>
      </c>
      <c r="C64" s="5" t="inlineStr">
        <is>
          <t>品川区</t>
        </is>
      </c>
      <c r="D64" s="5" t="inlineStr">
        <is>
          <t>香蘭女学校高等科</t>
        </is>
      </c>
      <c r="E64" s="6" t="inlineStr">
        <is>
          <t>03-3786-1136</t>
        </is>
      </c>
      <c r="F64" s="7" t="inlineStr">
        <is>
          <t>高</t>
        </is>
      </c>
      <c r="G64" s="5" t="inlineStr">
        <is>
          <t>普通科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中高共通</t>
        </is>
      </c>
      <c r="N64" s="11" t="inlineStr">
        <is>
          <t>https://www.seikatubunka.metro.tokyo.lg.jp/documents/d/seikatubunka/07high_zennichi_r61201 ; https://school.js88.com/scl_h/22038920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東京都</t>
        </is>
      </c>
      <c r="C65" s="5" t="inlineStr">
        <is>
          <t>渋谷区</t>
        </is>
      </c>
      <c r="D65" s="5" t="inlineStr">
        <is>
          <t>國學院高等学校</t>
        </is>
      </c>
      <c r="E65" s="6" t="inlineStr">
        <is>
          <t>03-3403-2331</t>
        </is>
      </c>
      <c r="F65" s="13" t="inlineStr">
        <is>
          <t>中</t>
        </is>
      </c>
      <c r="G65" s="5" t="inlineStr">
        <is>
          <t>普通科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学校情報サイト1件のみで確認</t>
        </is>
      </c>
      <c r="N65" s="11" t="inlineStr">
        <is>
          <t>https://www.inter-edu.com/schools/school/541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東京都</t>
        </is>
      </c>
      <c r="C66" s="5" t="inlineStr">
        <is>
          <t>杉並区</t>
        </is>
      </c>
      <c r="D66" s="5" t="inlineStr">
        <is>
          <t>國學院大學久我山高等学校</t>
        </is>
      </c>
      <c r="E66" s="6" t="inlineStr">
        <is>
          <t>03-3334-1151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中高共通。2つのサイトで一致</t>
        </is>
      </c>
      <c r="N66" s="11" t="inlineStr">
        <is>
          <t>https://www.inter-edu.com/schools/school/122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東京都</t>
        </is>
      </c>
      <c r="C67" s="5" t="inlineStr">
        <is>
          <t>小金井市</t>
        </is>
      </c>
      <c r="D67" s="5" t="inlineStr">
        <is>
          <t>国際基督教大学高等学校</t>
        </is>
      </c>
      <c r="E67" s="6" t="inlineStr">
        <is>
          <t>0422-33-3401</t>
        </is>
      </c>
      <c r="F67" s="7" t="inlineStr">
        <is>
          <t>高</t>
        </is>
      </c>
      <c r="G67" s="5" t="inlineStr">
        <is>
          <t>普通科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公式資料に「学校代表」と記載</t>
        </is>
      </c>
      <c r="N67" s="11" t="inlineStr">
        <is>
          <t>https://icu-h.ed.jp/news/docs/c92876a21d1bfb013106119a1fa19b9c9d7100d6.pdf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東京都</t>
        </is>
      </c>
      <c r="C68" s="5" t="inlineStr">
        <is>
          <t>世田谷区</t>
        </is>
      </c>
      <c r="D68" s="5" t="inlineStr">
        <is>
          <t>国士舘高等学校</t>
        </is>
      </c>
      <c r="E68" s="6" t="inlineStr">
        <is>
          <t>03-5481-3131</t>
        </is>
      </c>
      <c r="F68" s="7" t="inlineStr">
        <is>
          <t>高</t>
        </is>
      </c>
      <c r="G68" s="5" t="inlineStr">
        <is>
          <t>普通科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公式の学校案内に全日制・定時制の代表として記載。入試担当は03-5481-3135</t>
        </is>
      </c>
      <c r="N68" s="11" t="inlineStr">
        <is>
          <t>https://www.kokushikan.ac.jp/houjin/about/public_relations/docs/HSschoolguide2027.pdf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東京都</t>
        </is>
      </c>
      <c r="C69" s="5" t="inlineStr">
        <is>
          <t>文京区</t>
        </is>
      </c>
      <c r="D69" s="5" t="inlineStr">
        <is>
          <t>駒込高等学校</t>
        </is>
      </c>
      <c r="E69" s="6" t="inlineStr">
        <is>
          <t>03-3828-4141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中高共通。文京区の資料と一致</t>
        </is>
      </c>
      <c r="N69" s="11" t="inlineStr">
        <is>
          <t>https://www.inter-edu.com/schools/school/1993 ; https://www.city.bunkyo.lg.jp/documents/5788/kizi_2024.pdf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東京都</t>
        </is>
      </c>
      <c r="C70" s="5" t="inlineStr">
        <is>
          <t>稲城市</t>
        </is>
      </c>
      <c r="D70" s="5" t="inlineStr">
        <is>
          <t>駒沢学園女子高等学校</t>
        </is>
      </c>
      <c r="E70" s="6" t="inlineStr">
        <is>
          <t>042-350-7123</t>
        </is>
      </c>
      <c r="F70" s="7" t="inlineStr">
        <is>
          <t>高</t>
        </is>
      </c>
      <c r="G70" s="5" t="inlineStr">
        <is>
          <t>普通科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東京都の私立高校一覧と一致</t>
        </is>
      </c>
      <c r="N70" s="11" t="inlineStr">
        <is>
          <t>https://www.inter-edu.com/schools/school/1971 ; https://www.seikatubunka.metro.tokyo.lg.jp/documents/d/seikatubunka/07high_zennichi_r61201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東京都</t>
        </is>
      </c>
      <c r="C71" s="5" t="inlineStr">
        <is>
          <t>世田谷区</t>
        </is>
      </c>
      <c r="D71" s="5" t="inlineStr">
        <is>
          <t>駒澤大学高等学校</t>
        </is>
      </c>
      <c r="E71" s="6" t="inlineStr">
        <is>
          <t>03-3700-6131</t>
        </is>
      </c>
      <c r="F71" s="13" t="inlineStr">
        <is>
          <t>中</t>
        </is>
      </c>
      <c r="G71" s="5" t="inlineStr">
        <is>
          <t>普通科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学校情報サイト1件のみで確認。大学の番号とは別</t>
        </is>
      </c>
      <c r="N71" s="11" t="inlineStr">
        <is>
          <t>https://www.inter-edu.com/schools/school/589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東京都</t>
        </is>
      </c>
      <c r="C72" s="5" t="inlineStr">
        <is>
          <t>世田谷区</t>
        </is>
      </c>
      <c r="D72" s="5" t="inlineStr">
        <is>
          <t>駒場学園高等学校</t>
        </is>
      </c>
      <c r="E72" s="6" t="inlineStr">
        <is>
          <t>03-3413-5561</t>
        </is>
      </c>
      <c r="F72" s="13" t="inlineStr">
        <is>
          <t>中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学校情報サイト1件のみで確認</t>
        </is>
      </c>
      <c r="N72" s="11" t="inlineStr">
        <is>
          <t>https://www.inter-edu.com/schools/school/590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東京都</t>
        </is>
      </c>
      <c r="C73" s="5" t="inlineStr">
        <is>
          <t>世田谷区</t>
        </is>
      </c>
      <c r="D73" s="5" t="inlineStr">
        <is>
          <t>駒場東邦高等学校</t>
        </is>
      </c>
      <c r="E73" s="6" t="inlineStr">
        <is>
          <t>03-3466-8221</t>
        </is>
      </c>
      <c r="F73" s="13" t="inlineStr">
        <is>
          <t>中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中高共通。学校情報サイト1件のみで確認</t>
        </is>
      </c>
      <c r="N73" s="11" t="inlineStr">
        <is>
          <t>https://www.inter-edu.com/schools/school/10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東京都</t>
        </is>
      </c>
      <c r="C74" s="5" t="inlineStr">
        <is>
          <t>北区</t>
        </is>
      </c>
      <c r="D74" s="5" t="inlineStr">
        <is>
          <t>桜丘高等学校（東京都）</t>
        </is>
      </c>
      <c r="E74" s="6" t="inlineStr">
        <is>
          <t>03-3910-6161</t>
        </is>
      </c>
      <c r="F74" s="7" t="inlineStr">
        <is>
          <t>高</t>
        </is>
      </c>
      <c r="G74" s="5" t="inlineStr">
        <is>
          <t>普通科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2つのサイトで一致</t>
        </is>
      </c>
      <c r="N74" s="11" t="inlineStr">
        <is>
          <t>https://www.inter-edu.com/schools/school/1939 ; https://school.js88.com/scl_h/22038680/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東京都</t>
        </is>
      </c>
      <c r="C75" s="5" t="inlineStr">
        <is>
          <t>北区</t>
        </is>
      </c>
      <c r="D75" s="5" t="inlineStr">
        <is>
          <t>サレジアン国際学園高等学校</t>
        </is>
      </c>
      <c r="E75" s="6" t="inlineStr">
        <is>
          <t>03-3906-0054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東京都の私立高校一覧とYahoo!マップで一致。中高共通</t>
        </is>
      </c>
      <c r="N75" s="11" t="inlineStr">
        <is>
          <t>https://www.seikatubunka.metro.tokyo.lg.jp/documents/d/seikatubunka/07high_zennichi_r61201 ; https://map.yahoo.co.jp/v3/place/TcdA71hDDO2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東京都</t>
        </is>
      </c>
      <c r="C76" s="5" t="inlineStr">
        <is>
          <t>世田谷区</t>
        </is>
      </c>
      <c r="D76" s="5" t="inlineStr">
        <is>
          <t>サレジアン国際学園世田谷高等学校</t>
        </is>
      </c>
      <c r="E76" s="6" t="inlineStr">
        <is>
          <t>03-3416-1150</t>
        </is>
      </c>
      <c r="F76" s="7" t="inlineStr">
        <is>
          <t>高</t>
        </is>
      </c>
      <c r="G76" s="5" t="inlineStr">
        <is>
          <t>普通科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中高共通。高校からの募集はないとの情報あり（要確認）</t>
        </is>
      </c>
      <c r="N76" s="11" t="inlineStr">
        <is>
          <t>https://www.inter-edu.com/schools/school/260 ; https://univpress.co.jp/gk_pdf/13659.pdf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東京都</t>
        </is>
      </c>
      <c r="C77" s="5" t="inlineStr">
        <is>
          <t>品川区</t>
        </is>
      </c>
      <c r="D77" s="5" t="inlineStr">
        <is>
          <t>品川エトワール女子高等学校</t>
        </is>
      </c>
      <c r="E77" s="6" t="inlineStr">
        <is>
          <t>03-3474-2231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公式Xと複数のサイトで一致</t>
        </is>
      </c>
      <c r="N77" s="11" t="inlineStr">
        <is>
          <t>https://x.com/shinagawaetoile ; https://www.school-data.com/school_info/school.php/sc=133063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東京都</t>
        </is>
      </c>
      <c r="C78" s="5" t="inlineStr">
        <is>
          <t>品川区</t>
        </is>
      </c>
      <c r="D78" s="5" t="inlineStr">
        <is>
          <t>品川学藝高等学校</t>
        </is>
      </c>
      <c r="E78" s="6" t="inlineStr">
        <is>
          <t>03-3786-1711</t>
        </is>
      </c>
      <c r="F78" s="13" t="inlineStr">
        <is>
          <t>中</t>
        </is>
      </c>
      <c r="G78" s="5" t="inlineStr">
        <is>
          <t>普通科・専門学科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学校情報サイト1件のみで確認</t>
        </is>
      </c>
      <c r="N78" s="11" t="inlineStr">
        <is>
          <t>https://www.inter-edu.com/schools/school/1808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東京都</t>
        </is>
      </c>
      <c r="C79" s="5" t="inlineStr">
        <is>
          <t>品川区</t>
        </is>
      </c>
      <c r="D79" s="5" t="inlineStr">
        <is>
          <t>品川翔英高等学校</t>
        </is>
      </c>
      <c r="E79" s="6" t="inlineStr">
        <is>
          <t>03-3774-1151</t>
        </is>
      </c>
      <c r="F79" s="13" t="inlineStr">
        <is>
          <t>中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学校情報サイト1件のみで確認</t>
        </is>
      </c>
      <c r="N79" s="11" t="inlineStr">
        <is>
          <t>https://www.inter-edu.com/schools/school/2110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東京都</t>
        </is>
      </c>
      <c r="C80" s="5" t="inlineStr">
        <is>
          <t>品川区</t>
        </is>
      </c>
      <c r="D80" s="5" t="inlineStr">
        <is>
          <t>品川女子学院高等部</t>
        </is>
      </c>
      <c r="E80" s="6" t="inlineStr">
        <is>
          <t>03-3474-4048</t>
        </is>
      </c>
      <c r="F80" s="7" t="inlineStr">
        <is>
          <t>高</t>
        </is>
      </c>
      <c r="G80" s="5" t="inlineStr">
        <is>
          <t>普通科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2つのサイトで一致</t>
        </is>
      </c>
      <c r="N80" s="11" t="inlineStr">
        <is>
          <t>https://www.inter-edu.com/schools/school/90 ; https://school.js88.com/scl_h/22038930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東京都</t>
        </is>
      </c>
      <c r="C81" s="5" t="inlineStr">
        <is>
          <t>江東区</t>
        </is>
      </c>
      <c r="D81" s="5" t="inlineStr">
        <is>
          <t>芝浦工業大学附属高等学校</t>
        </is>
      </c>
      <c r="E81" s="6" t="inlineStr">
        <is>
          <t>03-3520-8501</t>
        </is>
      </c>
      <c r="F81" s="13" t="inlineStr">
        <is>
          <t>中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代表として掲載。学校情報サイトのみで確認</t>
        </is>
      </c>
      <c r="N81" s="11" t="inlineStr">
        <is>
          <t>https://www.inter-edu.com/schools/school/186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東京都</t>
        </is>
      </c>
      <c r="C82" s="5" t="inlineStr">
        <is>
          <t>港区</t>
        </is>
      </c>
      <c r="D82" s="5" t="inlineStr">
        <is>
          <t>芝高等学校</t>
        </is>
      </c>
      <c r="E82" s="6" t="inlineStr">
        <is>
          <t>03-3431-2629</t>
        </is>
      </c>
      <c r="F82" s="7" t="inlineStr">
        <is>
          <t>高</t>
        </is>
      </c>
      <c r="G82" s="5" t="inlineStr">
        <is>
          <t>普通科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2つのサイトで一致</t>
        </is>
      </c>
      <c r="N82" s="11" t="inlineStr">
        <is>
          <t>https://www.inter-edu.com/schools/school/12 ; https://school.js88.com/scl_h/22038120/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東京都</t>
        </is>
      </c>
      <c r="C83" s="5" t="inlineStr">
        <is>
          <t>港区</t>
        </is>
      </c>
      <c r="D83" s="5" t="inlineStr">
        <is>
          <t>芝国際高等学校</t>
        </is>
      </c>
      <c r="E83" s="6" t="inlineStr">
        <is>
          <t>03-5427-0666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中高共通。学校情報サイトで一致</t>
        </is>
      </c>
      <c r="N83" s="11" t="inlineStr">
        <is>
          <t>https://www.inter-edu.com/schools/school/2074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東京都</t>
        </is>
      </c>
      <c r="C84" s="5" t="inlineStr">
        <is>
          <t>渋谷区</t>
        </is>
      </c>
      <c r="D84" s="5" t="inlineStr">
        <is>
          <t>渋谷教育学園渋谷高等学校</t>
        </is>
      </c>
      <c r="E84" s="6" t="inlineStr">
        <is>
          <t>03-3400-6363</t>
        </is>
      </c>
      <c r="F84" s="7" t="inlineStr">
        <is>
          <t>高</t>
        </is>
      </c>
      <c r="G84" s="5" t="inlineStr">
        <is>
          <t>普通科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中高共通。複数サイトで一致</t>
        </is>
      </c>
      <c r="N84" s="11" t="inlineStr">
        <is>
          <t>https://www.inter-edu.com/schools/school/88/ ; https://www.minkou.jp/junior/school/7736/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東京都</t>
        </is>
      </c>
      <c r="C85" s="5" t="inlineStr">
        <is>
          <t>世田谷区</t>
        </is>
      </c>
      <c r="D85" s="5" t="inlineStr">
        <is>
          <t>下北沢成徳高等学校</t>
        </is>
      </c>
      <c r="E85" s="6" t="inlineStr">
        <is>
          <t>03-3468-1551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学校情報サイト3件で一致</t>
        </is>
      </c>
      <c r="N85" s="11" t="inlineStr">
        <is>
          <t>https://www.inter-edu.com/schools/school/608 ; https://school.js88.com/scl_h/22039260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東京都</t>
        </is>
      </c>
      <c r="C86" s="5" t="inlineStr">
        <is>
          <t>葛飾区</t>
        </is>
      </c>
      <c r="D86" s="5" t="inlineStr">
        <is>
          <t>修徳高等学校</t>
        </is>
      </c>
      <c r="E86" s="6" t="inlineStr">
        <is>
          <t>03-3601-0116</t>
        </is>
      </c>
      <c r="F86" s="7" t="inlineStr">
        <is>
          <t>高</t>
        </is>
      </c>
      <c r="G86" s="5" t="inlineStr">
        <is>
          <t>普通科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中高共通</t>
        </is>
      </c>
      <c r="N86" s="11" t="inlineStr">
        <is>
          <t>https://www.inter-edu.com/schools/school/2076 ; https://www.minkou.jp/junior/school/7976/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東京都</t>
        </is>
      </c>
      <c r="C87" s="5" t="inlineStr">
        <is>
          <t>板橋区</t>
        </is>
      </c>
      <c r="D87" s="5" t="inlineStr">
        <is>
          <t>淑徳高等学校</t>
        </is>
      </c>
      <c r="E87" s="6" t="inlineStr">
        <is>
          <t>03-3969-7411</t>
        </is>
      </c>
      <c r="F87" s="13" t="inlineStr">
        <is>
          <t>中</t>
        </is>
      </c>
      <c r="G87" s="5" t="inlineStr">
        <is>
          <t>普通科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中高共通。学校情報サイトのみで確認</t>
        </is>
      </c>
      <c r="N87" s="11" t="inlineStr">
        <is>
          <t>https://www.inter-edu.com/schools/school/1994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東京都</t>
        </is>
      </c>
      <c r="C88" s="5" t="inlineStr">
        <is>
          <t>豊島区</t>
        </is>
      </c>
      <c r="D88" s="5" t="inlineStr">
        <is>
          <t>淑徳巣鴨高等学校</t>
        </is>
      </c>
      <c r="E88" s="6" t="inlineStr">
        <is>
          <t>03-3918-6451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中高共通。学校情報サイトのみで確認</t>
        </is>
      </c>
      <c r="N88" s="11" t="inlineStr">
        <is>
          <t>https://www.inter-edu.com/schools/school/2078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東京都</t>
        </is>
      </c>
      <c r="C89" s="5" t="inlineStr">
        <is>
          <t>世田谷区</t>
        </is>
      </c>
      <c r="D89" s="5" t="inlineStr">
        <is>
          <t>松蔭大学附属松蔭高等学校（東京都）</t>
        </is>
      </c>
      <c r="E89" s="6" t="inlineStr">
        <is>
          <t>03-3467-1511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中高共通</t>
        </is>
      </c>
      <c r="N89" s="11" t="inlineStr">
        <is>
          <t>https://school.js88.com/scl_h/22039230 ; https://www.inter-edu.com/schools/school/2213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東京都</t>
        </is>
      </c>
      <c r="C90" s="5" t="inlineStr">
        <is>
          <t>港区</t>
        </is>
      </c>
      <c r="D90" s="5" t="inlineStr">
        <is>
          <t>頌栄女子学院高等学校</t>
        </is>
      </c>
      <c r="E90" s="6" t="inlineStr">
        <is>
          <t>03-3441-2005</t>
        </is>
      </c>
      <c r="F90" s="13" t="inlineStr">
        <is>
          <t>中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中高共通。学校情報サイト1件のみで確認</t>
        </is>
      </c>
      <c r="N90" s="11" t="inlineStr">
        <is>
          <t>https://www.inter-edu.com/schools/school/58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東京都</t>
        </is>
      </c>
      <c r="C91" s="5" t="inlineStr">
        <is>
          <t>武蔵野市</t>
        </is>
      </c>
      <c r="D91" s="5" t="inlineStr">
        <is>
          <t>聖徳学園高等学校</t>
        </is>
      </c>
      <c r="E91" s="6" t="inlineStr">
        <is>
          <t>0422-31-5121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中高共通</t>
        </is>
      </c>
      <c r="N91" s="11" t="inlineStr">
        <is>
          <t>https://www.inter-edu.com/schools/school/2070 ; https://univpress.co.jp/gk_pdf/13731.pdf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東京都</t>
        </is>
      </c>
      <c r="C92" s="5" t="inlineStr">
        <is>
          <t>世田谷区</t>
        </is>
      </c>
      <c r="D92" s="5" t="inlineStr">
        <is>
          <t>昭和女子大学附属昭和高等学校</t>
        </is>
      </c>
      <c r="E92" s="6" t="inlineStr">
        <is>
          <t>03-3411-5115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中高共通。東京都の私立高校一覧と一致</t>
        </is>
      </c>
      <c r="N92" s="11" t="inlineStr">
        <is>
          <t>https://www.seikatubunka.metro.tokyo.lg.jp/documents/d/seikatubunka/07high_zennichi_r61201 ; https://www.inter-edu.com/schools/school/225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東京都</t>
        </is>
      </c>
      <c r="C93" s="5" t="inlineStr">
        <is>
          <t>立川市</t>
        </is>
      </c>
      <c r="D93" s="5" t="inlineStr">
        <is>
          <t>昭和第一学園高等学校</t>
        </is>
      </c>
      <c r="E93" s="6" t="inlineStr">
        <is>
          <t>042-536-1611</t>
        </is>
      </c>
      <c r="F93" s="7" t="inlineStr">
        <is>
          <t>高</t>
        </is>
      </c>
      <c r="G93" s="5" t="inlineStr">
        <is>
          <t>普通科・専門学科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立川市の学校。昭和第一高校（文京区）とは別の学校</t>
        </is>
      </c>
      <c r="N93" s="11" t="inlineStr">
        <is>
          <t>https://www.seikatubunka.metro.tokyo.lg.jp/documents/d/seikatubunka/07high_zennichi_r61201 ; https://www.inter-edu.com/schools/school/613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東京都</t>
        </is>
      </c>
      <c r="C94" s="5" t="inlineStr">
        <is>
          <t>文京区</t>
        </is>
      </c>
      <c r="D94" s="5" t="inlineStr">
        <is>
          <t>昭和第一高等学校</t>
        </is>
      </c>
      <c r="E94" s="6" t="inlineStr">
        <is>
          <t>03-3811-0636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文京区の学校。昭和第一学園（立川市）とは別の学校</t>
        </is>
      </c>
      <c r="N94" s="11" t="inlineStr">
        <is>
          <t>https://www.minkou.jp/hischool/school/2372/ ; https://www.city.bunkyo.lg.jp/documents/5788/kizi_2024.pdf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東京都</t>
        </is>
      </c>
      <c r="C95" s="5" t="inlineStr">
        <is>
          <t>豊島区</t>
        </is>
      </c>
      <c r="D95" s="5" t="inlineStr">
        <is>
          <t>昭和鉄道高等学校</t>
        </is>
      </c>
      <c r="E95" s="6" t="inlineStr">
        <is>
          <t>03-3988-5511</t>
        </is>
      </c>
      <c r="F95" s="13" t="inlineStr">
        <is>
          <t>中</t>
        </is>
      </c>
      <c r="G95" s="5" t="inlineStr">
        <is>
          <t>専門学科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東京都の私立高校一覧で確認。豊島学院高校と同じ番号（同じ学校法人・同じ敷地のため）</t>
        </is>
      </c>
      <c r="N95" s="11" t="inlineStr">
        <is>
          <t>https://www.seikatubunka.metro.tokyo.lg.jp/documents/d/seikatubunka/07high_zennichi_r61201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東京都</t>
        </is>
      </c>
      <c r="C96" s="5" t="inlineStr">
        <is>
          <t>北区</t>
        </is>
      </c>
      <c r="D96" s="5" t="inlineStr">
        <is>
          <t>女子聖学院高等学校</t>
        </is>
      </c>
      <c r="E96" s="6" t="inlineStr">
        <is>
          <t>03-3917-2277</t>
        </is>
      </c>
      <c r="F96" s="13" t="inlineStr">
        <is>
          <t>中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中高共通。高校募集なし（完全中高一貫）との情報あり</t>
        </is>
      </c>
      <c r="N96" s="11" t="inlineStr">
        <is>
          <t>https://www.inter-edu.com/schools/school/60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東京都</t>
        </is>
      </c>
      <c r="C97" s="5" t="inlineStr">
        <is>
          <t>小平市</t>
        </is>
      </c>
      <c r="D97" s="5" t="inlineStr">
        <is>
          <t>白梅学園高等学校</t>
        </is>
      </c>
      <c r="E97" s="6" t="inlineStr">
        <is>
          <t>042-346-5691</t>
        </is>
      </c>
      <c r="F97" s="13" t="inlineStr">
        <is>
          <t>中</t>
        </is>
      </c>
      <c r="G97" s="5" t="inlineStr">
        <is>
          <t>普通科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学校情報サイトのみで確認。清修中高一貫部・大学は別番号</t>
        </is>
      </c>
      <c r="N97" s="11" t="inlineStr">
        <is>
          <t>https://www.inter-edu.com/schools/school/1800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東京都</t>
        </is>
      </c>
      <c r="C98" s="5" t="inlineStr">
        <is>
          <t>千代田区</t>
        </is>
      </c>
      <c r="D98" s="5" t="inlineStr">
        <is>
          <t>白百合学園高等学校</t>
        </is>
      </c>
      <c r="E98" s="6" t="inlineStr">
        <is>
          <t>03-3234-6661</t>
        </is>
      </c>
      <c r="F98" s="7" t="inlineStr">
        <is>
          <t>高</t>
        </is>
      </c>
      <c r="G98" s="5" t="inlineStr">
        <is>
          <t>普通科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中高共通の代表番号。高校募集なし</t>
        </is>
      </c>
      <c r="N98" s="11" t="inlineStr">
        <is>
          <t>https://www.inter-edu.com/schools/school/61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東京都</t>
        </is>
      </c>
      <c r="C99" s="5" t="inlineStr">
        <is>
          <t>中野区</t>
        </is>
      </c>
      <c r="D99" s="5" t="inlineStr">
        <is>
          <t>実践学園高等学校</t>
        </is>
      </c>
      <c r="E99" s="6" t="inlineStr">
        <is>
          <t>03-3371-5268</t>
        </is>
      </c>
      <c r="F99" s="13" t="inlineStr">
        <is>
          <t>中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中高共通とみられる。学校情報サイトのみで確認</t>
        </is>
      </c>
      <c r="N99" s="11" t="inlineStr">
        <is>
          <t>https://www.inter-edu.com/schools/school/127/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東京都</t>
        </is>
      </c>
      <c r="C100" s="5" t="inlineStr">
        <is>
          <t>渋谷区</t>
        </is>
      </c>
      <c r="D100" s="5" t="inlineStr">
        <is>
          <t>実践女子学園高等学校</t>
        </is>
      </c>
      <c r="E100" s="6" t="inlineStr">
        <is>
          <t>03-3409-1771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中高共通</t>
        </is>
      </c>
      <c r="N100" s="11" t="inlineStr">
        <is>
          <t>https://www.inter-edu.com/schools/school/223 ; https://school.js88.com/scl_h/22038360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東京都</t>
        </is>
      </c>
      <c r="C101" s="5" t="inlineStr">
        <is>
          <t>豊島区</t>
        </is>
      </c>
      <c r="D101" s="5" t="inlineStr">
        <is>
          <t>十文字高等学校</t>
        </is>
      </c>
      <c r="E101" s="6" t="inlineStr">
        <is>
          <t>03-3918-0511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中高共通</t>
        </is>
      </c>
      <c r="N101" s="11" t="inlineStr">
        <is>
          <t>https://www.inter-edu.com/schools/school/2060 ; https://www.univpress.co.jp/gk_pdf/13686.pdf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東京都</t>
        </is>
      </c>
      <c r="C102" s="5" t="inlineStr">
        <is>
          <t>足立区</t>
        </is>
      </c>
      <c r="D102" s="5" t="inlineStr">
        <is>
          <t>潤徳女子高等学校</t>
        </is>
      </c>
      <c r="E102" s="6" t="inlineStr">
        <is>
          <t>03-3881-7161</t>
        </is>
      </c>
      <c r="F102" s="7" t="inlineStr">
        <is>
          <t>高</t>
        </is>
      </c>
      <c r="G102" s="5" t="inlineStr">
        <is>
          <t>普通科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2つの情報源で一致</t>
        </is>
      </c>
      <c r="N102" s="11" t="inlineStr">
        <is>
          <t>https://www.inter-edu.com/schools/school/607 ; https://www.univpress.co.jp/gk_pdf/13602.pdf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東京都</t>
        </is>
      </c>
      <c r="C103" s="5" t="inlineStr">
        <is>
          <t>目黒区</t>
        </is>
      </c>
      <c r="D103" s="5" t="inlineStr">
        <is>
          <t>自由ヶ丘学園高等学校</t>
        </is>
      </c>
      <c r="E103" s="14" t="n"/>
      <c r="F103" s="15" t="inlineStr">
        <is>
          <t>要調査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代表番号を確定できず。候補：03-3717-0388（学校情報サイト）／03-4330-2530（公式チラシの広報部）</t>
        </is>
      </c>
      <c r="N103" s="11" t="inlineStr">
        <is>
          <t>https://school.js88.com/scl_h/22039000/ ; https://www.jiyugaoka.ed.jp/wp-content/uploads/2026/06/2026オープンスクールチラシ.pdf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東京都</t>
        </is>
      </c>
      <c r="C104" s="5" t="inlineStr">
        <is>
          <t>東久留米市</t>
        </is>
      </c>
      <c r="D104" s="5" t="inlineStr">
        <is>
          <t>自由学園高等科</t>
        </is>
      </c>
      <c r="E104" s="6" t="inlineStr">
        <is>
          <t>042-422-3111</t>
        </is>
      </c>
      <c r="F104" s="13" t="inlineStr">
        <is>
          <t>中</t>
        </is>
      </c>
      <c r="G104" s="5" t="inlineStr">
        <is>
          <t>普通科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学園全体の代表番号の可能性。高等部職員室の直通は042-422-1079</t>
        </is>
      </c>
      <c r="N104" s="11" t="inlineStr">
        <is>
          <t>https://www.inter-edu.com/schools/school/2103 ; https://www.jiyu.ac.jp/nyushi/2027_sh.pdf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東京都</t>
        </is>
      </c>
      <c r="C105" s="5" t="inlineStr">
        <is>
          <t>豊島区</t>
        </is>
      </c>
      <c r="D105" s="5" t="inlineStr">
        <is>
          <t>城西大学附属城西高等学校</t>
        </is>
      </c>
      <c r="E105" s="6" t="inlineStr">
        <is>
          <t>03-3973-6331</t>
        </is>
      </c>
      <c r="F105" s="7" t="inlineStr">
        <is>
          <t>高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中高共通</t>
        </is>
      </c>
      <c r="N105" s="11" t="inlineStr">
        <is>
          <t>https://www.inter-edu.com/schools/school/1996 ; https://www.minkou.jp/junior/school/7807/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東京都</t>
        </is>
      </c>
      <c r="C106" s="5" t="inlineStr">
        <is>
          <t>板橋区</t>
        </is>
      </c>
      <c r="D106" s="5" t="inlineStr">
        <is>
          <t>城北高等学校（東京都）</t>
        </is>
      </c>
      <c r="E106" s="6" t="inlineStr">
        <is>
          <t>03-3956-3157</t>
        </is>
      </c>
      <c r="F106" s="7" t="inlineStr">
        <is>
          <t>高</t>
        </is>
      </c>
      <c r="G106" s="5" t="inlineStr">
        <is>
          <t>普通科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学校の募集要項に「代表」と記載。中高共通</t>
        </is>
      </c>
      <c r="N106" s="11" t="inlineStr">
        <is>
          <t>https://www.johoku.ac.jp/media/47118 ; https://www.seikatubunka.metro.tokyo.lg.jp/documents/d/seikatubunka/07high_zennichi_r61201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東京都</t>
        </is>
      </c>
      <c r="C107" s="5" t="inlineStr">
        <is>
          <t>千代田区</t>
        </is>
      </c>
      <c r="D107" s="5" t="inlineStr">
        <is>
          <t>女子学院高等学校</t>
        </is>
      </c>
      <c r="E107" s="6" t="inlineStr">
        <is>
          <t>03-3263-1711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中高共通。高校募集なし（完全中高一貫）</t>
        </is>
      </c>
      <c r="N107" s="11" t="inlineStr">
        <is>
          <t>https://www.inter-edu.com/schools/school/59 ; https://school.js88.com/scl_j/31130011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東京都</t>
        </is>
      </c>
      <c r="C108" s="5" t="inlineStr">
        <is>
          <t>杉並区</t>
        </is>
      </c>
      <c r="D108" s="5" t="inlineStr">
        <is>
          <t>女子美術大学付属高等学校</t>
        </is>
      </c>
      <c r="E108" s="6" t="inlineStr">
        <is>
          <t>03-5340-4541</t>
        </is>
      </c>
      <c r="F108" s="7" t="inlineStr">
        <is>
          <t>高</t>
        </is>
      </c>
      <c r="G108" s="5" t="inlineStr">
        <is>
          <t>普通科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中高共通</t>
        </is>
      </c>
      <c r="N108" s="11" t="inlineStr">
        <is>
          <t>https://www.seikatubunka.metro.tokyo.lg.jp/documents/d/seikatubunka/07high_zennichi_r61201 ; https://www.inter-edu.com/schools/school/2065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東京都</t>
        </is>
      </c>
      <c r="C109" s="5" t="inlineStr">
        <is>
          <t>豊島区</t>
        </is>
      </c>
      <c r="D109" s="5" t="inlineStr">
        <is>
          <t>巣鴨高等学校</t>
        </is>
      </c>
      <c r="E109" s="6" t="inlineStr">
        <is>
          <t>03-3918-5311</t>
        </is>
      </c>
      <c r="F109" s="7" t="inlineStr">
        <is>
          <t>高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中高共通。複数サイトで一致</t>
        </is>
      </c>
      <c r="N109" s="11" t="inlineStr">
        <is>
          <t>https://www.inter-edu.com/schools/school/1945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東京都</t>
        </is>
      </c>
      <c r="C110" s="5" t="inlineStr">
        <is>
          <t>杉並区</t>
        </is>
      </c>
      <c r="D110" s="5" t="inlineStr">
        <is>
          <t>杉並学院高等学校</t>
        </is>
      </c>
      <c r="E110" s="6" t="inlineStr">
        <is>
          <t>03-3316-3311</t>
        </is>
      </c>
      <c r="F110" s="7" t="inlineStr">
        <is>
          <t>高</t>
        </is>
      </c>
      <c r="G110" s="5" t="inlineStr">
        <is>
          <t>普通科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杉並区の一覧ほかで一致</t>
        </is>
      </c>
      <c r="N110" s="11" t="inlineStr">
        <is>
          <t>https://www.inter-edu.com/schools/school/1019 ; https://www.city.suginami.tokyo.jp/kusei/gaiyou/shisetsu/genre/school/shiritsukoukou/index.html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東京都</t>
        </is>
      </c>
      <c r="C111" s="5" t="inlineStr">
        <is>
          <t>北区</t>
        </is>
      </c>
      <c r="D111" s="5" t="inlineStr">
        <is>
          <t>駿台学園高等学校</t>
        </is>
      </c>
      <c r="E111" s="6" t="inlineStr">
        <is>
          <t>03-3913-5735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全日制の代表。定時制は03-3914-5849</t>
        </is>
      </c>
      <c r="N111" s="11" t="inlineStr">
        <is>
          <t>https://www.inter-edu.com/schools/school/2104 ; https://school.js88.com/scl_h/22038710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東京都</t>
        </is>
      </c>
      <c r="C112" s="5" t="inlineStr">
        <is>
          <t>北区</t>
        </is>
      </c>
      <c r="D112" s="5" t="inlineStr">
        <is>
          <t>聖学院高等学校</t>
        </is>
      </c>
      <c r="E112" s="6" t="inlineStr">
        <is>
          <t>03-3917-1121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中高共通。複数サイトで一致</t>
        </is>
      </c>
      <c r="N112" s="11" t="inlineStr">
        <is>
          <t>https://www.inter-edu.com/schools/school/1946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東京都</t>
        </is>
      </c>
      <c r="C113" s="5" t="inlineStr">
        <is>
          <t>武蔵野市</t>
        </is>
      </c>
      <c r="D113" s="5" t="inlineStr">
        <is>
          <t>成蹊高等学校</t>
        </is>
      </c>
      <c r="E113" s="6" t="inlineStr">
        <is>
          <t>0422-37-3818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中高共通</t>
        </is>
      </c>
      <c r="N113" s="11" t="inlineStr">
        <is>
          <t>https://www.inter-edu.com/schools/school/1997 ; https://www.minkou.jp/junior/school/8075/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東京都</t>
        </is>
      </c>
      <c r="C114" s="5" t="inlineStr">
        <is>
          <t>港区</t>
        </is>
      </c>
      <c r="D114" s="5" t="inlineStr">
        <is>
          <t>聖心女子学院高等科</t>
        </is>
      </c>
      <c r="E114" s="6" t="inlineStr">
        <is>
          <t>03-3444-7671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初等科〜高等科共通の代表番号。高校募集なし</t>
        </is>
      </c>
      <c r="N114" s="11" t="inlineStr">
        <is>
          <t>https://www.minkou.jp/hischool/school/2433/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東京都</t>
        </is>
      </c>
      <c r="C115" s="5" t="inlineStr">
        <is>
          <t>世田谷区</t>
        </is>
      </c>
      <c r="D115" s="5" t="inlineStr">
        <is>
          <t>成城学園高等学校</t>
        </is>
      </c>
      <c r="E115" s="6" t="inlineStr">
        <is>
          <t>03-3482-2104</t>
        </is>
      </c>
      <c r="F115" s="13" t="inlineStr">
        <is>
          <t>中</t>
        </is>
      </c>
      <c r="G115" s="5" t="inlineStr">
        <is>
          <t>普通科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公式の中学校高等学校事務室の番号（検索要約による）。03-3482-2105を載せるサイトもあり。成城高校（新宿区）とは別の学校</t>
        </is>
      </c>
      <c r="N115" s="11" t="inlineStr">
        <is>
          <t>https://www.seijogakuen.ed.jp/chukou/info/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東京都</t>
        </is>
      </c>
      <c r="C116" s="5" t="inlineStr">
        <is>
          <t>新宿区</t>
        </is>
      </c>
      <c r="D116" s="5" t="inlineStr">
        <is>
          <t>成城高等学校</t>
        </is>
      </c>
      <c r="E116" s="6" t="inlineStr">
        <is>
          <t>03-3341-6141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中高共通。成城学園とは別の学校。高校募集停止（完全中高一貫）との情報あり</t>
        </is>
      </c>
      <c r="N116" s="11" t="inlineStr">
        <is>
          <t>https://www.inter-edu.com/schools/school/16 ; https://map.yahoo.co.jp/v3/place/M-_odyJ2xIg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東京都</t>
        </is>
      </c>
      <c r="C117" s="5" t="inlineStr">
        <is>
          <t>新宿区</t>
        </is>
      </c>
      <c r="D117" s="5" t="inlineStr">
        <is>
          <t>成女高等学校</t>
        </is>
      </c>
      <c r="E117" s="6" t="inlineStr">
        <is>
          <t>03-3351-2330</t>
        </is>
      </c>
      <c r="F117" s="7" t="inlineStr">
        <is>
          <t>高</t>
        </is>
      </c>
      <c r="G117" s="5" t="inlineStr">
        <is>
          <t>普通科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東京都の私立高校一覧ほかで一致</t>
        </is>
      </c>
      <c r="N117" s="11" t="inlineStr">
        <is>
          <t>https://www.seikatubunka.metro.tokyo.lg.jp/documents/d/seikatubunka/07high_zennichi_r61201 ; https://school.js88.com/scl_h/22038270/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東京都</t>
        </is>
      </c>
      <c r="C118" s="5" t="inlineStr">
        <is>
          <t>千代田区</t>
        </is>
      </c>
      <c r="D118" s="5" t="inlineStr">
        <is>
          <t>正則学園高等学校</t>
        </is>
      </c>
      <c r="E118" s="6" t="inlineStr">
        <is>
          <t>03-3295-3011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千代田区の学校。正則高校（港区）とは別の学校</t>
        </is>
      </c>
      <c r="N118" s="11" t="inlineStr">
        <is>
          <t>https://www.inter-edu.com/schools/school/995 ; https://school.js88.com/scl_h/22037990?page=5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東京都</t>
        </is>
      </c>
      <c r="C119" s="5" t="inlineStr">
        <is>
          <t>港区</t>
        </is>
      </c>
      <c r="D119" s="5" t="inlineStr">
        <is>
          <t>正則高等学校</t>
        </is>
      </c>
      <c r="E119" s="6" t="inlineStr">
        <is>
          <t>03-3431-0913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港区の学校。正則学園（千代田区）とは別の学校</t>
        </is>
      </c>
      <c r="N119" s="11" t="inlineStr">
        <is>
          <t>https://www.inter-edu.com/schools/school/1020 ; https://univpress.co.jp/gk_pdf/13529.pdf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東京都</t>
        </is>
      </c>
      <c r="C120" s="5" t="inlineStr">
        <is>
          <t>世田谷区</t>
        </is>
      </c>
      <c r="D120" s="5" t="inlineStr">
        <is>
          <t>聖ドミニコ学園高等学校</t>
        </is>
      </c>
      <c r="E120" s="6" t="inlineStr">
        <is>
          <t>03-3700-0017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学園事務局の番号（学園共通の代表とみられる）</t>
        </is>
      </c>
      <c r="N120" s="11" t="inlineStr">
        <is>
          <t>https://www.inter-edu.com/schools/school/235 ; https://school.js88.com/scl_h/22039270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東京都</t>
        </is>
      </c>
      <c r="C121" s="5" t="inlineStr">
        <is>
          <t>八王子市</t>
        </is>
      </c>
      <c r="D121" s="5" t="inlineStr">
        <is>
          <t>聖パウロ学園高等学校</t>
        </is>
      </c>
      <c r="E121" s="6" t="inlineStr">
        <is>
          <t>042-651-3893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全日制の番号。通信制は042-651-3882を案内する資料あり</t>
        </is>
      </c>
      <c r="N121" s="11" t="inlineStr">
        <is>
          <t>https://www.inter-edu.com/schools/school/620 ; https://univpress.co.jp/gk_pdf/13710.pdf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東京都</t>
        </is>
      </c>
      <c r="C122" s="5" t="inlineStr">
        <is>
          <t>北区</t>
        </is>
      </c>
      <c r="D122" s="5" t="inlineStr">
        <is>
          <t>成立学園高等学校</t>
        </is>
      </c>
      <c r="E122" s="6" t="inlineStr">
        <is>
          <t>03-3902-5494</t>
        </is>
      </c>
      <c r="F122" s="7" t="inlineStr">
        <is>
          <t>高</t>
        </is>
      </c>
      <c r="G122" s="5" t="inlineStr">
        <is>
          <t>普通科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学校の公式資料に代表として記載。中高共通</t>
        </is>
      </c>
      <c r="N122" s="11" t="inlineStr">
        <is>
          <t>https://www.inter-edu.com/schools/school/2087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東京都</t>
        </is>
      </c>
      <c r="C123" s="5" t="inlineStr">
        <is>
          <t>品川区</t>
        </is>
      </c>
      <c r="D123" s="5" t="inlineStr">
        <is>
          <t>青稜高等学校</t>
        </is>
      </c>
      <c r="E123" s="6" t="inlineStr">
        <is>
          <t>03-3782-1502</t>
        </is>
      </c>
      <c r="F123" s="7" t="inlineStr">
        <is>
          <t>高</t>
        </is>
      </c>
      <c r="G123" s="5" t="inlineStr">
        <is>
          <t>普通科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中高共通</t>
        </is>
      </c>
      <c r="N123" s="11" t="inlineStr">
        <is>
          <t>https://www.inter-edu.com/schools/school/2000 ; https://school.js88.com/scl_h/22038940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東京都</t>
        </is>
      </c>
      <c r="C124" s="5" t="inlineStr">
        <is>
          <t>世田谷区</t>
        </is>
      </c>
      <c r="D124" s="5" t="inlineStr">
        <is>
          <t>世田谷学園高等学校</t>
        </is>
      </c>
      <c r="E124" s="6" t="inlineStr">
        <is>
          <t>03-3411-8661</t>
        </is>
      </c>
      <c r="F124" s="7" t="inlineStr">
        <is>
          <t>高</t>
        </is>
      </c>
      <c r="G124" s="5" t="inlineStr">
        <is>
          <t>普通科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中高共通</t>
        </is>
      </c>
      <c r="N124" s="11" t="inlineStr">
        <is>
          <t>https://www.inter-edu.com/schools/school/80 ; https://www.univpress.co.jp/gk_pdf/13649.pdf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東京都</t>
        </is>
      </c>
      <c r="C125" s="5" t="inlineStr">
        <is>
          <t>杉並区</t>
        </is>
      </c>
      <c r="D125" s="5" t="inlineStr">
        <is>
          <t>専修大学附属高等学校</t>
        </is>
      </c>
      <c r="E125" s="6" t="inlineStr">
        <is>
          <t>03-3322-7171</t>
        </is>
      </c>
      <c r="F125" s="13" t="inlineStr">
        <is>
          <t>中</t>
        </is>
      </c>
      <c r="G125" s="5" t="inlineStr">
        <is>
          <t>普通科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学校情報サイトのみで確認</t>
        </is>
      </c>
      <c r="N125" s="11" t="inlineStr">
        <is>
          <t>https://school.js88.com/scl_h/22039570?page=5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東京都</t>
        </is>
      </c>
      <c r="C126" s="5" t="inlineStr">
        <is>
          <t>小平市</t>
        </is>
      </c>
      <c r="D126" s="5" t="inlineStr">
        <is>
          <t>創価高等学校</t>
        </is>
      </c>
      <c r="E126" s="6" t="inlineStr">
        <is>
          <t>042-342-2611</t>
        </is>
      </c>
      <c r="F126" s="7" t="inlineStr">
        <is>
          <t>高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2つの情報源で一致。042-341-2611は中学校の番号なので注意</t>
        </is>
      </c>
      <c r="N126" s="11" t="inlineStr">
        <is>
          <t>https://www.univpress.Co.jp/gk_pdf/13722.pdf ; https://map.yahoo.co.jp/v3/place/6edwbApzAAk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東京都</t>
        </is>
      </c>
      <c r="C127" s="5" t="inlineStr">
        <is>
          <t>三鷹市</t>
        </is>
      </c>
      <c r="D127" s="5" t="inlineStr">
        <is>
          <t>大成高等学校（東京都）</t>
        </is>
      </c>
      <c r="E127" s="6" t="inlineStr">
        <is>
          <t>0422-43-3196</t>
        </is>
      </c>
      <c r="F127" s="13" t="inlineStr">
        <is>
          <t>中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学校情報サイト1件のみで確認</t>
        </is>
      </c>
      <c r="N127" s="11" t="inlineStr">
        <is>
          <t>https://www.inter-edu.com/schools/school/626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東京都</t>
        </is>
      </c>
      <c r="C128" s="5" t="inlineStr">
        <is>
          <t>港区</t>
        </is>
      </c>
      <c r="D128" s="5" t="inlineStr">
        <is>
          <t>高輪高等学校</t>
        </is>
      </c>
      <c r="E128" s="6" t="inlineStr">
        <is>
          <t>03-3441-7201</t>
        </is>
      </c>
      <c r="F128" s="7" t="inlineStr">
        <is>
          <t>高</t>
        </is>
      </c>
      <c r="G128" s="5" t="inlineStr">
        <is>
          <t>普通科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中高共通。高校募集なし（完全中高一貫）</t>
        </is>
      </c>
      <c r="N128" s="11" t="inlineStr">
        <is>
          <t>https://www.minkou.jp/junior/school/7509/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東京都</t>
        </is>
      </c>
      <c r="C129" s="5" t="inlineStr">
        <is>
          <t>北区</t>
        </is>
      </c>
      <c r="D129" s="5" t="inlineStr">
        <is>
          <t>瀧野川女子学園高等学校</t>
        </is>
      </c>
      <c r="E129" s="6" t="inlineStr">
        <is>
          <t>03-3910-6315</t>
        </is>
      </c>
      <c r="F129" s="13" t="inlineStr">
        <is>
          <t>中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学校情報サイト1件のみで確認</t>
        </is>
      </c>
      <c r="N129" s="11" t="inlineStr">
        <is>
          <t>https://www.inter-edu.com/schools/school/1926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東京都</t>
        </is>
      </c>
      <c r="C130" s="5" t="inlineStr">
        <is>
          <t>武蔵村山市</t>
        </is>
      </c>
      <c r="D130" s="5" t="inlineStr">
        <is>
          <t>拓殖大学第一高等学校</t>
        </is>
      </c>
      <c r="E130" s="6" t="inlineStr">
        <is>
          <t>042-590-3311</t>
        </is>
      </c>
      <c r="F130" s="13" t="inlineStr">
        <is>
          <t>中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学校情報サイト1件のみで確認</t>
        </is>
      </c>
      <c r="N130" s="11" t="inlineStr">
        <is>
          <t>https://www.inter-edu.com/schools/school/546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東京都</t>
        </is>
      </c>
      <c r="C131" s="5" t="inlineStr">
        <is>
          <t>立川市</t>
        </is>
      </c>
      <c r="D131" s="5" t="inlineStr">
        <is>
          <t>立川女子高等学校</t>
        </is>
      </c>
      <c r="E131" s="6" t="inlineStr">
        <is>
          <t>042-524-5188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2つの情報源で一致。042-524-5288を載せるサイトは誤記とみられる</t>
        </is>
      </c>
      <c r="N131" s="11" t="inlineStr">
        <is>
          <t>https://univpress.co.jp/gk_pdf/13716.pdf ; https://map.yahoo.co.jp/v3/place/yNs4D15xvU-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東京都</t>
        </is>
      </c>
      <c r="C132" s="5" t="inlineStr">
        <is>
          <t>町田市</t>
        </is>
      </c>
      <c r="D132" s="5" t="inlineStr">
        <is>
          <t>玉川学園高等部</t>
        </is>
      </c>
      <c r="E132" s="6" t="inlineStr">
        <is>
          <t>042-739-8931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学園（K-12）共通の代表番号とみられる</t>
        </is>
      </c>
      <c r="N132" s="11" t="inlineStr">
        <is>
          <t>https://www.inter-edu.com/schools/school/2001 ; https://www.univpress.co.jp/wp-content/uploads/45tamagawagakuen-.pdf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東京都</t>
        </is>
      </c>
      <c r="C133" s="5" t="inlineStr">
        <is>
          <t>世田谷区</t>
        </is>
      </c>
      <c r="D133" s="5" t="inlineStr">
        <is>
          <t>玉川聖学院高等部</t>
        </is>
      </c>
      <c r="E133" s="6" t="inlineStr">
        <is>
          <t>03-3702-4141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中高共通。複数サイトで一致</t>
        </is>
      </c>
      <c r="N133" s="11" t="inlineStr">
        <is>
          <t>https://www.inter-edu.com/schools/school/1972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東京都</t>
        </is>
      </c>
      <c r="C134" s="5" t="inlineStr">
        <is>
          <t>多摩市</t>
        </is>
      </c>
      <c r="D134" s="5" t="inlineStr">
        <is>
          <t>多摩大学附属聖ヶ丘高等学校</t>
        </is>
      </c>
      <c r="E134" s="6" t="inlineStr">
        <is>
          <t>042-372-9393</t>
        </is>
      </c>
      <c r="F134" s="13" t="inlineStr">
        <is>
          <t>中</t>
        </is>
      </c>
      <c r="G134" s="5" t="inlineStr">
        <is>
          <t>普通科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中高共通。学校情報サイトのみで確認</t>
        </is>
      </c>
      <c r="N134" s="11" t="inlineStr">
        <is>
          <t>https://www.inter-edu.com/schools/school/1982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東京都</t>
        </is>
      </c>
      <c r="C135" s="5" t="inlineStr">
        <is>
          <t>目黒区</t>
        </is>
      </c>
      <c r="D135" s="5" t="inlineStr">
        <is>
          <t>多摩大学目黒高等学校</t>
        </is>
      </c>
      <c r="E135" s="6" t="inlineStr">
        <is>
          <t>03-3714-2661</t>
        </is>
      </c>
      <c r="F135" s="7" t="inlineStr">
        <is>
          <t>高</t>
        </is>
      </c>
      <c r="G135" s="5" t="inlineStr">
        <is>
          <t>普通科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中高共通</t>
        </is>
      </c>
      <c r="N135" s="11" t="inlineStr">
        <is>
          <t>https://school.js88.com/scl_h/22039060?page=5 ; https://www.inter-edu.com/schools/school/2002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東京都</t>
        </is>
      </c>
      <c r="C136" s="5" t="inlineStr">
        <is>
          <t>新宿区</t>
        </is>
      </c>
      <c r="D136" s="5" t="inlineStr">
        <is>
          <t>大智学園高等学校</t>
        </is>
      </c>
      <c r="E136" s="6" t="inlineStr">
        <is>
          <t>03-5925-2773</t>
        </is>
      </c>
      <c r="F136" s="13" t="inlineStr">
        <is>
          <t>中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広域通信制。新宿校舎の番号（本校は福島県川内村）。学校の公式LINEで確認</t>
        </is>
      </c>
      <c r="N136" s="11" t="inlineStr">
        <is>
          <t>https://page.line.me/065bkmjx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東京都</t>
        </is>
      </c>
      <c r="C137" s="5" t="inlineStr">
        <is>
          <t>世田谷区</t>
        </is>
      </c>
      <c r="D137" s="5" t="inlineStr">
        <is>
          <t>大東学園高等学校</t>
        </is>
      </c>
      <c r="E137" s="6" t="inlineStr">
        <is>
          <t>03-3483-1901</t>
        </is>
      </c>
      <c r="F137" s="7" t="inlineStr">
        <is>
          <t>高</t>
        </is>
      </c>
      <c r="G137" s="5" t="inlineStr">
        <is>
          <t>普通科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複数サイトで一致</t>
        </is>
      </c>
      <c r="N137" s="11" t="inlineStr">
        <is>
          <t>https://www.inter-edu.com/schools/school/1812 ; https://school.js88.com/scl_h/22039290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東京都</t>
        </is>
      </c>
      <c r="C138" s="5" t="inlineStr">
        <is>
          <t>板橋区</t>
        </is>
      </c>
      <c r="D138" s="5" t="inlineStr">
        <is>
          <t>大東文化大学第一高等学校</t>
        </is>
      </c>
      <c r="E138" s="6" t="inlineStr">
        <is>
          <t>03-3935-1115</t>
        </is>
      </c>
      <c r="F138" s="13" t="inlineStr">
        <is>
          <t>中</t>
        </is>
      </c>
      <c r="G138" s="5" t="inlineStr">
        <is>
          <t>普通科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学校情報サイト1件のみで確認</t>
        </is>
      </c>
      <c r="N138" s="11" t="inlineStr">
        <is>
          <t>https://www.inter-edu.com/schools/school/547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東京都</t>
        </is>
      </c>
      <c r="C139" s="5" t="inlineStr">
        <is>
          <t>江東区</t>
        </is>
      </c>
      <c r="D139" s="5" t="inlineStr">
        <is>
          <t>中央学院大学中央高等学校</t>
        </is>
      </c>
      <c r="E139" s="6" t="inlineStr">
        <is>
          <t>03-5836-7020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代表として掲載</t>
        </is>
      </c>
      <c r="N139" s="11" t="inlineStr">
        <is>
          <t>https://school.js88.com/scl_h/22038080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東京都</t>
        </is>
      </c>
      <c r="C140" s="5" t="inlineStr">
        <is>
          <t>文京区</t>
        </is>
      </c>
      <c r="D140" s="5" t="inlineStr">
        <is>
          <t>中央大学高等学校</t>
        </is>
      </c>
      <c r="E140" s="6" t="inlineStr">
        <is>
          <t>03-3814-5275</t>
        </is>
      </c>
      <c r="F140" s="7" t="inlineStr">
        <is>
          <t>高</t>
        </is>
      </c>
      <c r="G140" s="5" t="inlineStr">
        <is>
          <t>普通科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昼間定時制。東京都の定時制一覧と一致</t>
        </is>
      </c>
      <c r="N140" s="11" t="inlineStr">
        <is>
          <t>https://www.inter-edu.com/schools/school/628 ; https://www.seikatubunka.metro.tokyo.lg.jp/documents/d/seikatubunka/10high_teiji_r20401_01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東京都</t>
        </is>
      </c>
      <c r="C141" s="5" t="inlineStr">
        <is>
          <t>杉並区</t>
        </is>
      </c>
      <c r="D141" s="5" t="inlineStr">
        <is>
          <t>中央大学杉並高等学校</t>
        </is>
      </c>
      <c r="E141" s="6" t="inlineStr">
        <is>
          <t>03-3390-3175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学校情報サイト1件のみで確認</t>
        </is>
      </c>
      <c r="N141" s="11" t="inlineStr">
        <is>
          <t>https://www.inter-edu.com/schools/school/629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東京都</t>
        </is>
      </c>
      <c r="C142" s="5" t="inlineStr">
        <is>
          <t>小金井市</t>
        </is>
      </c>
      <c r="D142" s="5" t="inlineStr">
        <is>
          <t>中央大学附属高等学校</t>
        </is>
      </c>
      <c r="E142" s="6" t="inlineStr">
        <is>
          <t>042-381-5413</t>
        </is>
      </c>
      <c r="F142" s="7" t="inlineStr">
        <is>
          <t>高</t>
        </is>
      </c>
      <c r="G142" s="5" t="inlineStr">
        <is>
          <t>普通科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大学の公式資料と学校情報サイトで一致</t>
        </is>
      </c>
      <c r="N142" s="11" t="inlineStr">
        <is>
          <t>https://www.chuo-u.ac.jp/media/gaiyo/gaiyo26-27_54.pdf ; https://school.js88.com/scl_h/22040170?page=5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東京都</t>
        </is>
      </c>
      <c r="C143" s="5" t="inlineStr">
        <is>
          <t>千代田区</t>
        </is>
      </c>
      <c r="D143" s="5" t="inlineStr">
        <is>
          <t>千代田高等学校</t>
        </is>
      </c>
      <c r="E143" s="6" t="inlineStr">
        <is>
          <t>03-3263-6551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旧 千代田女学園。中高共通</t>
        </is>
      </c>
      <c r="N143" s="11" t="inlineStr">
        <is>
          <t>https://www.inter-edu.com/schools/school/2072 ; https://univpress.co.jp/gk_pdf/13512.pdf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東京都</t>
        </is>
      </c>
      <c r="C144" s="5" t="inlineStr">
        <is>
          <t>板橋区</t>
        </is>
      </c>
      <c r="D144" s="5" t="inlineStr">
        <is>
          <t>帝京高等学校</t>
        </is>
      </c>
      <c r="E144" s="6" t="inlineStr">
        <is>
          <t>03-3963-4711</t>
        </is>
      </c>
      <c r="F144" s="7" t="inlineStr">
        <is>
          <t>高</t>
        </is>
      </c>
      <c r="G144" s="5" t="inlineStr">
        <is>
          <t>普通科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代表として掲載。03-3963-6383を載せるサイトもあり（別の窓口か）</t>
        </is>
      </c>
      <c r="N144" s="11" t="inlineStr">
        <is>
          <t>https://school.js88.com/scl_h/22039800 ; https://www.minkou.jp/hischool/school/university/2732/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東京都</t>
        </is>
      </c>
      <c r="C145" s="5" t="inlineStr">
        <is>
          <t>八王子市</t>
        </is>
      </c>
      <c r="D145" s="5" t="inlineStr">
        <is>
          <t>帝京大学高等学校</t>
        </is>
      </c>
      <c r="E145" s="6" t="inlineStr">
        <is>
          <t>042-676-9511</t>
        </is>
      </c>
      <c r="F145" s="13" t="inlineStr">
        <is>
          <t>中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学校情報サイトのみで確認、公式未確認。中高共通の可能性</t>
        </is>
      </c>
      <c r="N145" s="11" t="inlineStr">
        <is>
          <t>https://www.inter-edu.com/schools/school/2003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東京都</t>
        </is>
      </c>
      <c r="C146" s="5" t="inlineStr">
        <is>
          <t>八王子市</t>
        </is>
      </c>
      <c r="D146" s="5" t="inlineStr">
        <is>
          <t>帝京八王子高等学校</t>
        </is>
      </c>
      <c r="E146" s="6" t="inlineStr">
        <is>
          <t>042-654-6141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複数サイトに「代表」と記載</t>
        </is>
      </c>
      <c r="N146" s="11" t="inlineStr">
        <is>
          <t>https://www.inter-edu.com/schools/school/1961 ; https://school.js88.com/scl_h/22038380?page=5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東京都</t>
        </is>
      </c>
      <c r="C147" s="5" t="inlineStr">
        <is>
          <t>文京区</t>
        </is>
      </c>
      <c r="D147" s="5" t="inlineStr">
        <is>
          <t>貞静学園高等学校</t>
        </is>
      </c>
      <c r="E147" s="6" t="inlineStr">
        <is>
          <t>03-3943-3711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中高共通。複数サイトで一致</t>
        </is>
      </c>
      <c r="N147" s="11" t="inlineStr">
        <is>
          <t>https://www.inter-edu.com/schools/school/2507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東京都</t>
        </is>
      </c>
      <c r="C148" s="5" t="inlineStr">
        <is>
          <t>世田谷区</t>
        </is>
      </c>
      <c r="D148" s="5" t="inlineStr">
        <is>
          <t>田園調布学園高等部</t>
        </is>
      </c>
      <c r="E148" s="6" t="inlineStr">
        <is>
          <t>03-3727-6121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中高共通。複数サイトで一致</t>
        </is>
      </c>
      <c r="N148" s="11" t="inlineStr">
        <is>
          <t>https://www.inter-edu.com/schools/school/240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東京都</t>
        </is>
      </c>
      <c r="C149" s="5" t="inlineStr">
        <is>
          <t>世田谷区</t>
        </is>
      </c>
      <c r="D149" s="5" t="inlineStr">
        <is>
          <t>田園調布雙葉高等学校</t>
        </is>
      </c>
      <c r="E149" s="6" t="inlineStr">
        <is>
          <t>03-3721-1772</t>
        </is>
      </c>
      <c r="F149" s="7" t="inlineStr">
        <is>
          <t>高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公式サイトで確認（高校の番号）。中学校03-3721-5087、事務局03-3721-5484は別番号</t>
        </is>
      </c>
      <c r="N149" s="11" t="inlineStr">
        <is>
          <t>https://www.denenchofufutaba.ed.jp/about/access.html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東京都</t>
        </is>
      </c>
      <c r="C150" s="5" t="inlineStr">
        <is>
          <t>中野区</t>
        </is>
      </c>
      <c r="D150" s="5" t="inlineStr">
        <is>
          <t>東亜学園高等学校</t>
        </is>
      </c>
      <c r="E150" s="6" t="inlineStr">
        <is>
          <t>03-3387-6331</t>
        </is>
      </c>
      <c r="F150" s="13" t="inlineStr">
        <is>
          <t>中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学校情報サイト1件のみで確認</t>
        </is>
      </c>
      <c r="N150" s="11" t="inlineStr">
        <is>
          <t>https://www.inter-edu.com/schools/school/654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東京都</t>
        </is>
      </c>
      <c r="C151" s="5" t="inlineStr">
        <is>
          <t>あきる野市</t>
        </is>
      </c>
      <c r="D151" s="5" t="inlineStr">
        <is>
          <t>東海大学菅生高等学校</t>
        </is>
      </c>
      <c r="E151" s="6" t="inlineStr">
        <is>
          <t>042-559-2200</t>
        </is>
      </c>
      <c r="F151" s="13" t="inlineStr">
        <is>
          <t>中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学校情報サイト1件のみで確認。中等部は別番号（042-559-2411）</t>
        </is>
      </c>
      <c r="N151" s="11" t="inlineStr">
        <is>
          <t>https://school.js88.com/scl_h/22040210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東京都</t>
        </is>
      </c>
      <c r="C152" s="5" t="inlineStr">
        <is>
          <t>港区</t>
        </is>
      </c>
      <c r="D152" s="5" t="inlineStr">
        <is>
          <t>東海大学付属高輪台高等学校</t>
        </is>
      </c>
      <c r="E152" s="6" t="inlineStr">
        <is>
          <t>03-3448-4011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複数の情報源で一致</t>
        </is>
      </c>
      <c r="N152" s="11" t="inlineStr">
        <is>
          <t>https://www.inter-edu.com/schools/school/2005 ; https://univpress.co.jp/gk_pdf/13533.pdf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東京都</t>
        </is>
      </c>
      <c r="C153" s="5" t="inlineStr">
        <is>
          <t>渋谷区</t>
        </is>
      </c>
      <c r="D153" s="5" t="inlineStr">
        <is>
          <t>東海大学付属望星高等学校</t>
        </is>
      </c>
      <c r="E153" s="6" t="inlineStr">
        <is>
          <t>03-3467-8111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東京都の通信制高校一覧で確認（通信制）</t>
        </is>
      </c>
      <c r="N153" s="11" t="inlineStr">
        <is>
          <t>https://www.seikatubunka.metro.tokyo.lg.jp/documents/d/seikatubunka/13high_tushin_r61201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東京都</t>
        </is>
      </c>
      <c r="C154" s="5" t="inlineStr">
        <is>
          <t>文京区</t>
        </is>
      </c>
      <c r="D154" s="5" t="inlineStr">
        <is>
          <t>東京音楽大学付属高等学校</t>
        </is>
      </c>
      <c r="E154" s="6" t="inlineStr">
        <is>
          <t>03-3988-6214</t>
        </is>
      </c>
      <c r="F154" s="7" t="inlineStr">
        <is>
          <t>高</t>
        </is>
      </c>
      <c r="G154" s="5" t="inlineStr">
        <is>
          <t>専門学科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公式サイトで確認。【移転】現在は豊島区南池袋。旧番号03-3945-6214は使わない</t>
        </is>
      </c>
      <c r="N154" s="11" t="inlineStr">
        <is>
          <t>https://hs.tokyo-ondai.ac.jp/access/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東京都</t>
        </is>
      </c>
      <c r="C155" s="5" t="inlineStr">
        <is>
          <t>千代田区</t>
        </is>
      </c>
      <c r="D155" s="5" t="inlineStr">
        <is>
          <t>東京家政学院高等学校</t>
        </is>
      </c>
      <c r="E155" s="6" t="inlineStr">
        <is>
          <t>03-3262-2559</t>
        </is>
      </c>
      <c r="F155" s="13" t="inlineStr">
        <is>
          <t>中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学校情報サイトのみで確認。中高共通</t>
        </is>
      </c>
      <c r="N155" s="11" t="inlineStr">
        <is>
          <t>https://www.inter-edu.com/schools/school/2073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東京都</t>
        </is>
      </c>
      <c r="C156" s="5" t="inlineStr">
        <is>
          <t>板橋区</t>
        </is>
      </c>
      <c r="D156" s="5" t="inlineStr">
        <is>
          <t>東京家政大学附属女子高等学校</t>
        </is>
      </c>
      <c r="E156" s="6" t="inlineStr">
        <is>
          <t>03-3961-2447</t>
        </is>
      </c>
      <c r="F156" s="13" t="inlineStr">
        <is>
          <t>中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複数サイトに掲載。入試広報部は03-3961-0748。代表か未確定</t>
        </is>
      </c>
      <c r="N156" s="11" t="inlineStr">
        <is>
          <t>https://www.inter-edu.com/schools/school/1973 ; https://school.js88.com/scl_h/22039810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東京都</t>
        </is>
      </c>
      <c r="C157" s="5" t="inlineStr">
        <is>
          <t>大田区</t>
        </is>
      </c>
      <c r="D157" s="5" t="inlineStr">
        <is>
          <t>東京高等学校</t>
        </is>
      </c>
      <c r="E157" s="6" t="inlineStr">
        <is>
          <t>03-3750-2635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複数の情報源で一致</t>
        </is>
      </c>
      <c r="N157" s="11" t="inlineStr">
        <is>
          <t>https://www.inter-edu.com/schools/school/653 ; https://www.univpress.co.jp/gk_pdf/13629.pdf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東京都</t>
        </is>
      </c>
      <c r="C158" s="5" t="inlineStr">
        <is>
          <t>大田区</t>
        </is>
      </c>
      <c r="D158" s="5" t="inlineStr">
        <is>
          <t>東京実業高等学校</t>
        </is>
      </c>
      <c r="E158" s="6" t="inlineStr">
        <is>
          <t>03-3732-4481</t>
        </is>
      </c>
      <c r="F158" s="13" t="inlineStr">
        <is>
          <t>中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学校情報サイト1件のみで確認</t>
        </is>
      </c>
      <c r="N158" s="11" t="inlineStr">
        <is>
          <t>https://www.inter-edu.com/schools/school/1022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東京都</t>
        </is>
      </c>
      <c r="C159" s="5" t="inlineStr">
        <is>
          <t>八王子市</t>
        </is>
      </c>
      <c r="D159" s="5" t="inlineStr">
        <is>
          <t>東京純心女子高等学校</t>
        </is>
      </c>
      <c r="E159" s="6" t="inlineStr">
        <is>
          <t>042-691-1345</t>
        </is>
      </c>
      <c r="F159" s="7" t="inlineStr">
        <is>
          <t>高</t>
        </is>
      </c>
      <c r="G159" s="5" t="inlineStr">
        <is>
          <t>普通科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中高共通。複数サイトで一致</t>
        </is>
      </c>
      <c r="N159" s="11" t="inlineStr">
        <is>
          <t>https://www.inter-edu.com/schools/school/1974 ; https://www.minkou.jp/junior/school/8023/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東京都</t>
        </is>
      </c>
      <c r="C160" s="5" t="inlineStr">
        <is>
          <t>渋谷区</t>
        </is>
      </c>
      <c r="D160" s="5" t="inlineStr">
        <is>
          <t>東京女学館高等学校</t>
        </is>
      </c>
      <c r="E160" s="6" t="inlineStr">
        <is>
          <t>03-3400-0867</t>
        </is>
      </c>
      <c r="F160" s="13" t="inlineStr">
        <is>
          <t>中</t>
        </is>
      </c>
      <c r="G160" s="5" t="inlineStr">
        <is>
          <t>普通科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中高共通。学校情報サイト1件のみで確認</t>
        </is>
      </c>
      <c r="N160" s="11" t="inlineStr">
        <is>
          <t>https://www.inter-edu.com/schools/school/86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東京都</t>
        </is>
      </c>
      <c r="C161" s="5" t="inlineStr">
        <is>
          <t>北区</t>
        </is>
      </c>
      <c r="D161" s="5" t="inlineStr">
        <is>
          <t>東京成徳大学高等学校</t>
        </is>
      </c>
      <c r="E161" s="6" t="inlineStr">
        <is>
          <t>03-3911-5196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高等部（王子）の番号（公式の学校案内）。中高一貫部（豊島）は03-3911-7109</t>
        </is>
      </c>
      <c r="N161" s="11" t="inlineStr">
        <is>
          <t>https://www.tokyoseitoku.jp/hs/assets/pdf/information/pamphlet.pdf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東京都</t>
        </is>
      </c>
      <c r="C162" s="5" t="inlineStr">
        <is>
          <t>小金井市</t>
        </is>
      </c>
      <c r="D162" s="5" t="inlineStr">
        <is>
          <t>東京電機大学高等学校</t>
        </is>
      </c>
      <c r="E162" s="6" t="inlineStr">
        <is>
          <t>0422-37-6441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事務室の番号。中高共通</t>
        </is>
      </c>
      <c r="N162" s="11" t="inlineStr">
        <is>
          <t>https://school.js88.com/scl_h/22038580 ; https://www.inter-edu.com/schools/school/1962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東京都</t>
        </is>
      </c>
      <c r="C163" s="5" t="inlineStr">
        <is>
          <t>世田谷区</t>
        </is>
      </c>
      <c r="D163" s="5" t="inlineStr">
        <is>
          <t>東京都市大学等々力高等学校</t>
        </is>
      </c>
      <c r="E163" s="6" t="inlineStr">
        <is>
          <t>03-5962-0104</t>
        </is>
      </c>
      <c r="F163" s="13" t="inlineStr">
        <is>
          <t>中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学校情報サイトのみで確認</t>
        </is>
      </c>
      <c r="N163" s="11" t="inlineStr">
        <is>
          <t>https://www.inter-edu.com/schools/school/2004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東京都</t>
        </is>
      </c>
      <c r="C164" s="5" t="inlineStr">
        <is>
          <t>世田谷区</t>
        </is>
      </c>
      <c r="D164" s="5" t="inlineStr">
        <is>
          <t>東京都市大学付属高等学校</t>
        </is>
      </c>
      <c r="E164" s="6" t="inlineStr">
        <is>
          <t>03-3415-0104</t>
        </is>
      </c>
      <c r="F164" s="13" t="inlineStr">
        <is>
          <t>中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中高共通。学校情報サイトで一致、公式未確認</t>
        </is>
      </c>
      <c r="N164" s="11" t="inlineStr">
        <is>
          <t>https://www.inter-edu.com/schools/school/84 ; https://www.minkou.jp/junior/school/7706/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東京都</t>
        </is>
      </c>
      <c r="C165" s="5" t="inlineStr">
        <is>
          <t>世田谷区</t>
        </is>
      </c>
      <c r="D165" s="5" t="inlineStr">
        <is>
          <t>東京農業大学第一高等学校</t>
        </is>
      </c>
      <c r="E165" s="6" t="inlineStr">
        <is>
          <t>03-3425-4481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中高共通。2025年度から高校募集を停止（完全中高一貫）との情報あり</t>
        </is>
      </c>
      <c r="N165" s="11" t="inlineStr">
        <is>
          <t>https://www.inter-edu.com/schools/school/139 ; https://www.minkou.jp/junior/school/7689/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東京都</t>
        </is>
      </c>
      <c r="C166" s="5" t="inlineStr">
        <is>
          <t>西東京市</t>
        </is>
      </c>
      <c r="D166" s="5" t="inlineStr">
        <is>
          <t>東京文華高等学校</t>
        </is>
      </c>
      <c r="E166" s="6" t="inlineStr">
        <is>
          <t>042-463-2903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【校名変更】2026年4月に文華女子高校から改称・共学化。番号は変更なし</t>
        </is>
      </c>
      <c r="N166" s="11" t="inlineStr">
        <is>
          <t>https://school.js88.com/scl_h/22040190 ; https://www.minkou.jp/hischool/school/96254/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東京都</t>
        </is>
      </c>
      <c r="C167" s="5" t="inlineStr">
        <is>
          <t>杉並区</t>
        </is>
      </c>
      <c r="D167" s="5" t="inlineStr">
        <is>
          <t>東京立正高等学校</t>
        </is>
      </c>
      <c r="E167" s="6" t="inlineStr">
        <is>
          <t>03-3312-1111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公式パンフレットに「代表」と記載</t>
        </is>
      </c>
      <c r="N167" s="11" t="inlineStr">
        <is>
          <t>https://tokyorissho.ed.jp/exam/pdf/senior_panf2027.pdf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東京都</t>
        </is>
      </c>
      <c r="C168" s="5" t="inlineStr">
        <is>
          <t>清瀬市</t>
        </is>
      </c>
      <c r="D168" s="5" t="inlineStr">
        <is>
          <t>東星学園高等学校</t>
        </is>
      </c>
      <c r="E168" s="6" t="inlineStr">
        <is>
          <t>042-493-3201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代表として掲載。中高共通</t>
        </is>
      </c>
      <c r="N168" s="11" t="inlineStr">
        <is>
          <t>https://www.inter-edu.com/schools/school/2105 ; https://school.js88.com/scl_h/22039870?page=5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東京都</t>
        </is>
      </c>
      <c r="C169" s="5" t="inlineStr">
        <is>
          <t>国立市</t>
        </is>
      </c>
      <c r="D169" s="5" t="inlineStr">
        <is>
          <t>桐朋高等学校</t>
        </is>
      </c>
      <c r="E169" s="6" t="inlineStr">
        <is>
          <t>042-577-2171</t>
        </is>
      </c>
      <c r="F169" s="7" t="inlineStr">
        <is>
          <t>高</t>
        </is>
      </c>
      <c r="G169" s="5" t="inlineStr">
        <is>
          <t>普通科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中高共通。複数サイトで一致。桐朋女子（調布市）とは別の学校</t>
        </is>
      </c>
      <c r="N169" s="11" t="inlineStr">
        <is>
          <t>https://www.inter-edu.com/schools/school/1947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東京都</t>
        </is>
      </c>
      <c r="C170" s="5" t="inlineStr">
        <is>
          <t>調布市</t>
        </is>
      </c>
      <c r="D170" s="5" t="inlineStr">
        <is>
          <t>桐朋女子高等学校</t>
        </is>
      </c>
      <c r="E170" s="6" t="inlineStr">
        <is>
          <t>03-3300-2111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公式の募集要項に「代表」と記載。入試事務局は03-3300-2116</t>
        </is>
      </c>
      <c r="N170" s="11" t="inlineStr">
        <is>
          <t>https://chuko.toho.ac.jp/pdf/2026high_suisen_youkou.pdf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東京都</t>
        </is>
      </c>
      <c r="C171" s="5" t="inlineStr">
        <is>
          <t>港区</t>
        </is>
      </c>
      <c r="D171" s="5" t="inlineStr">
        <is>
          <t>東洋英和女学院高等部</t>
        </is>
      </c>
      <c r="E171" s="6" t="inlineStr">
        <is>
          <t>03-3583-0696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中高共通。高校募集なし（完全中高一貫）</t>
        </is>
      </c>
      <c r="N171" s="11" t="inlineStr">
        <is>
          <t>https://www.inter-edu.com/schools/school/65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東京都</t>
        </is>
      </c>
      <c r="C172" s="5" t="inlineStr">
        <is>
          <t>千代田区</t>
        </is>
      </c>
      <c r="D172" s="5" t="inlineStr">
        <is>
          <t>東洋高等学校</t>
        </is>
      </c>
      <c r="E172" s="6" t="inlineStr">
        <is>
          <t>03-3291-3824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公式資料で確認</t>
        </is>
      </c>
      <c r="N172" s="11" t="inlineStr">
        <is>
          <t>https://toyo.ed.jp/wordpress/wp-content/uploads/2024/07/20240701-6681de45f02f1.pdf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東京都</t>
        </is>
      </c>
      <c r="C173" s="5" t="inlineStr">
        <is>
          <t>文京区</t>
        </is>
      </c>
      <c r="D173" s="5" t="inlineStr">
        <is>
          <t>東洋女子高等学校</t>
        </is>
      </c>
      <c r="E173" s="6" t="inlineStr">
        <is>
          <t>03-3941-2680</t>
        </is>
      </c>
      <c r="F173" s="7" t="inlineStr">
        <is>
          <t>高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文京区の一覧ほかで一致</t>
        </is>
      </c>
      <c r="N173" s="11" t="inlineStr">
        <is>
          <t>https://www.city.bunkyo.lg.jp/documents/5788/kizi_2024.pdf ; https://www.inter-edu.com/schools/school/652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東京都</t>
        </is>
      </c>
      <c r="C174" s="5" t="inlineStr">
        <is>
          <t>文京区</t>
        </is>
      </c>
      <c r="D174" s="5" t="inlineStr">
        <is>
          <t>東洋大学京北高等学校</t>
        </is>
      </c>
      <c r="E174" s="6" t="inlineStr">
        <is>
          <t>03-3816-6211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中高共通</t>
        </is>
      </c>
      <c r="N174" s="11" t="inlineStr">
        <is>
          <t>https://www.inter-edu.com/schools/school/2179 ; https://www.minkou.jp/junior/school/7822/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東京都</t>
        </is>
      </c>
      <c r="C175" s="5" t="inlineStr">
        <is>
          <t>目黒区</t>
        </is>
      </c>
      <c r="D175" s="5" t="inlineStr">
        <is>
          <t>トキワ松学園高等学校</t>
        </is>
      </c>
      <c r="E175" s="6" t="inlineStr">
        <is>
          <t>03-3713-8161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代表として掲載。中高共通</t>
        </is>
      </c>
      <c r="N175" s="11" t="inlineStr">
        <is>
          <t>https://www.inter-edu.com/schools/school/2077 ; https://school.js88.com/scl_h/22039030/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東京都</t>
        </is>
      </c>
      <c r="C176" s="5" t="inlineStr">
        <is>
          <t>豊島区</t>
        </is>
      </c>
      <c r="D176" s="5" t="inlineStr">
        <is>
          <t>豊島岡女子学園高等学校</t>
        </is>
      </c>
      <c r="E176" s="6" t="inlineStr">
        <is>
          <t>03-3983-8261</t>
        </is>
      </c>
      <c r="F176" s="13" t="inlineStr">
        <is>
          <t>中</t>
        </is>
      </c>
      <c r="G176" s="5" t="inlineStr">
        <is>
          <t>普通科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中高共通。学校情報サイトのみで確認</t>
        </is>
      </c>
      <c r="N176" s="11" t="inlineStr">
        <is>
          <t>https://www.inter-edu.com/schools/school/66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東京都</t>
        </is>
      </c>
      <c r="C177" s="5" t="inlineStr">
        <is>
          <t>豊島区</t>
        </is>
      </c>
      <c r="D177" s="5" t="inlineStr">
        <is>
          <t>豊島学院高等学校</t>
        </is>
      </c>
      <c r="E177" s="6" t="inlineStr">
        <is>
          <t>03-3988-5511</t>
        </is>
      </c>
      <c r="F177" s="7" t="inlineStr">
        <is>
          <t>高</t>
        </is>
      </c>
      <c r="G177" s="5" t="inlineStr">
        <is>
          <t>普通科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3つの情報源で一致。昭和鉄道高校と同じ番号（同じ学校法人・同じ敷地）</t>
        </is>
      </c>
      <c r="N177" s="11" t="inlineStr">
        <is>
          <t>https://www.inter-edu.com/schools/school/655 ; https://school.js88.com/scl_h/22039730?page=5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東京都</t>
        </is>
      </c>
      <c r="C178" s="5" t="inlineStr">
        <is>
          <t>文京区</t>
        </is>
      </c>
      <c r="D178" s="5" t="inlineStr">
        <is>
          <t>獨協高等学校</t>
        </is>
      </c>
      <c r="E178" s="6" t="inlineStr">
        <is>
          <t>03-3943-3651</t>
        </is>
      </c>
      <c r="F178" s="7" t="inlineStr">
        <is>
          <t>高</t>
        </is>
      </c>
      <c r="G178" s="5" t="inlineStr">
        <is>
          <t>普通科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代表として掲載。中高共通</t>
        </is>
      </c>
      <c r="N178" s="11" t="inlineStr">
        <is>
          <t>https://www.city.bunkyo.lg.jp/documents/5788/kizi_2024.pdf ; https://www.inter-edu.com/schools/school/93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東京都</t>
        </is>
      </c>
      <c r="C179" s="5" t="inlineStr">
        <is>
          <t>調布市</t>
        </is>
      </c>
      <c r="D179" s="5" t="inlineStr">
        <is>
          <t>ドルトン東京学園高等部</t>
        </is>
      </c>
      <c r="E179" s="6" t="inlineStr">
        <is>
          <t>03-5787-7945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中高共通</t>
        </is>
      </c>
      <c r="N179" s="11" t="inlineStr">
        <is>
          <t>https://www.inter-edu.com/schools/school/2508 ; https://school.js88.com/scl_j/34041514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東京都</t>
        </is>
      </c>
      <c r="C180" s="5" t="inlineStr">
        <is>
          <t>江東区</t>
        </is>
      </c>
      <c r="D180" s="5" t="inlineStr">
        <is>
          <t>中村高等学校</t>
        </is>
      </c>
      <c r="E180" s="6" t="inlineStr">
        <is>
          <t>03-3642-8041</t>
        </is>
      </c>
      <c r="F180" s="7" t="inlineStr">
        <is>
          <t>高</t>
        </is>
      </c>
      <c r="G180" s="5" t="inlineStr">
        <is>
          <t>普通科・専門学科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中高共通</t>
        </is>
      </c>
      <c r="N180" s="11" t="inlineStr">
        <is>
          <t>https://www.inter-edu.com/schools/school/2081 ; https://school.js88.com/scl_h/22038820/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東京都</t>
        </is>
      </c>
      <c r="C181" s="5" t="inlineStr">
        <is>
          <t>千代田区</t>
        </is>
      </c>
      <c r="D181" s="5" t="inlineStr">
        <is>
          <t>二松学舎大学附属高等学校</t>
        </is>
      </c>
      <c r="E181" s="6" t="inlineStr">
        <is>
          <t>03-3261-9288</t>
        </is>
      </c>
      <c r="F181" s="13" t="inlineStr">
        <is>
          <t>中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学校情報サイト1件のみで確認。柏校とは別の学校</t>
        </is>
      </c>
      <c r="N181" s="11" t="inlineStr">
        <is>
          <t>https://school.js88.com/scl_h/22038030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東京都</t>
        </is>
      </c>
      <c r="C182" s="5" t="inlineStr">
        <is>
          <t>中野区</t>
        </is>
      </c>
      <c r="D182" s="5" t="inlineStr">
        <is>
          <t>新渡戸文化高等学校</t>
        </is>
      </c>
      <c r="E182" s="6" t="inlineStr">
        <is>
          <t>03-3381-0408</t>
        </is>
      </c>
      <c r="F182" s="13" t="inlineStr">
        <is>
          <t>中</t>
        </is>
      </c>
      <c r="G182" s="5" t="inlineStr">
        <is>
          <t>普通科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中高共通。学校情報サイトのみで確認</t>
        </is>
      </c>
      <c r="N182" s="11" t="inlineStr">
        <is>
          <t>https://www.inter-edu.com/schools/school/2101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東京都</t>
        </is>
      </c>
      <c r="C183" s="5" t="inlineStr">
        <is>
          <t>目黒区</t>
        </is>
      </c>
      <c r="D183" s="5" t="inlineStr">
        <is>
          <t>日本工業大学駒場高等学校</t>
        </is>
      </c>
      <c r="E183" s="6" t="inlineStr">
        <is>
          <t>03-3467-2130</t>
        </is>
      </c>
      <c r="F183" s="13" t="inlineStr">
        <is>
          <t>中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中高共通。学校情報サイトのみで確認</t>
        </is>
      </c>
      <c r="N183" s="11" t="inlineStr">
        <is>
          <t>https://www.inter-edu.com/schools/school/2079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東京都</t>
        </is>
      </c>
      <c r="C184" s="5" t="inlineStr">
        <is>
          <t>世田谷区</t>
        </is>
      </c>
      <c r="D184" s="5" t="inlineStr">
        <is>
          <t>日本女子体育大学附属二階堂高等学校</t>
        </is>
      </c>
      <c r="E184" s="6" t="inlineStr">
        <is>
          <t>03-3322-9159</t>
        </is>
      </c>
      <c r="F184" s="13" t="inlineStr">
        <is>
          <t>中</t>
        </is>
      </c>
      <c r="G184" s="5" t="inlineStr">
        <is>
          <t>普通科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学校情報サイト1件のみで確認</t>
        </is>
      </c>
      <c r="N184" s="11" t="inlineStr">
        <is>
          <t>https://www.inter-edu.com/schools/school/1801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東京都</t>
        </is>
      </c>
      <c r="C185" s="5" t="inlineStr">
        <is>
          <t>大田区</t>
        </is>
      </c>
      <c r="D185" s="5" t="inlineStr">
        <is>
          <t>日本体育大学荏原高等学校</t>
        </is>
      </c>
      <c r="E185" s="6" t="inlineStr">
        <is>
          <t>03-3759-3291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2つのサイトで一致</t>
        </is>
      </c>
      <c r="N185" s="11" t="inlineStr">
        <is>
          <t>https://www.inter-edu.com/schools/school/1023 ; https://school.js88.com/scl_h/22039120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東京都</t>
        </is>
      </c>
      <c r="C186" s="5" t="inlineStr">
        <is>
          <t>東村山市</t>
        </is>
      </c>
      <c r="D186" s="5" t="inlineStr">
        <is>
          <t>日本体育大学桜華高等学校</t>
        </is>
      </c>
      <c r="E186" s="6" t="inlineStr">
        <is>
          <t>042-391-4133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中高共通</t>
        </is>
      </c>
      <c r="N186" s="11" t="inlineStr">
        <is>
          <t>https://school.js88.com/scl_h/22040050 ; https://www.inter-edu.com/schools/school/2212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東京都</t>
        </is>
      </c>
      <c r="C187" s="5" t="inlineStr">
        <is>
          <t>世田谷区</t>
        </is>
      </c>
      <c r="D187" s="5" t="inlineStr">
        <is>
          <t>日本大学櫻丘高等学校</t>
        </is>
      </c>
      <c r="E187" s="6" t="inlineStr">
        <is>
          <t>03-5317-9300</t>
        </is>
      </c>
      <c r="F187" s="13" t="inlineStr">
        <is>
          <t>中</t>
        </is>
      </c>
      <c r="G187" s="5" t="inlineStr">
        <is>
          <t>普通科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学校情報サイト1件のみで確認</t>
        </is>
      </c>
      <c r="N187" s="11" t="inlineStr">
        <is>
          <t>https://www.inter-edu.com/schools/school/666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東京都</t>
        </is>
      </c>
      <c r="C188" s="5" t="inlineStr">
        <is>
          <t>墨田区</t>
        </is>
      </c>
      <c r="D188" s="5" t="inlineStr">
        <is>
          <t>日本大学第一高等学校</t>
        </is>
      </c>
      <c r="E188" s="6" t="inlineStr">
        <is>
          <t>03-3625-0026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中高共通。学校情報サイトのみで確認</t>
        </is>
      </c>
      <c r="N188" s="11" t="inlineStr">
        <is>
          <t>https://www.inter-edu.com/schools/school/1963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東京都</t>
        </is>
      </c>
      <c r="C189" s="5" t="inlineStr">
        <is>
          <t>町田市</t>
        </is>
      </c>
      <c r="D189" s="5" t="inlineStr">
        <is>
          <t>日本大学第三高等学校</t>
        </is>
      </c>
      <c r="E189" s="6" t="inlineStr">
        <is>
          <t>042-789-5535</t>
        </is>
      </c>
      <c r="F189" s="13" t="inlineStr">
        <is>
          <t>中</t>
        </is>
      </c>
      <c r="G189" s="5" t="inlineStr">
        <is>
          <t>普通科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学校情報サイトのみで確認。中学校は042-793-2131の可能性</t>
        </is>
      </c>
      <c r="N189" s="11" t="inlineStr">
        <is>
          <t>https://www.inter-edu.com/schools/school/1964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東京都</t>
        </is>
      </c>
      <c r="C190" s="5" t="inlineStr">
        <is>
          <t>杉並区</t>
        </is>
      </c>
      <c r="D190" s="5" t="inlineStr">
        <is>
          <t>日本大学第二高等学校</t>
        </is>
      </c>
      <c r="E190" s="6" t="inlineStr">
        <is>
          <t>03-3391-0223</t>
        </is>
      </c>
      <c r="F190" s="7" t="inlineStr">
        <is>
          <t>高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公式サイトで確認。中高共通</t>
        </is>
      </c>
      <c r="N190" s="11" t="inlineStr">
        <is>
          <t>https://www.nichidai2.ac.jp/access/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東京都</t>
        </is>
      </c>
      <c r="C191" s="5" t="inlineStr">
        <is>
          <t>杉並区</t>
        </is>
      </c>
      <c r="D191" s="5" t="inlineStr">
        <is>
          <t>日本大学鶴ヶ丘高等学校</t>
        </is>
      </c>
      <c r="E191" s="6" t="inlineStr">
        <is>
          <t>03-3322-7521</t>
        </is>
      </c>
      <c r="F191" s="13" t="inlineStr">
        <is>
          <t>中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学校情報サイト1件のみで確認</t>
        </is>
      </c>
      <c r="N191" s="11" t="inlineStr">
        <is>
          <t>https://www.inter-edu.com/schools/school/549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東京都</t>
        </is>
      </c>
      <c r="C192" s="5" t="inlineStr">
        <is>
          <t>文京区</t>
        </is>
      </c>
      <c r="D192" s="5" t="inlineStr">
        <is>
          <t>日本大学豊山高等学校</t>
        </is>
      </c>
      <c r="E192" s="6" t="inlineStr">
        <is>
          <t>03-3943-2161</t>
        </is>
      </c>
      <c r="F192" s="7" t="inlineStr">
        <is>
          <t>高</t>
        </is>
      </c>
      <c r="G192" s="5" t="inlineStr">
        <is>
          <t>普通科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公式資料に「代表」と記載。中高共通</t>
        </is>
      </c>
      <c r="N192" s="11" t="inlineStr">
        <is>
          <t>https://www.buzan.hs.nihon-u.ac.jp/app/files/uploads/2023/07/0c3e5f5f42ed3ec2a5cc6564632ff9a9.pdf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東京都</t>
        </is>
      </c>
      <c r="C193" s="5" t="inlineStr">
        <is>
          <t>板橋区</t>
        </is>
      </c>
      <c r="D193" s="5" t="inlineStr">
        <is>
          <t>日本大学豊山女子高等学校</t>
        </is>
      </c>
      <c r="E193" s="6" t="inlineStr">
        <is>
          <t>03-3934-2341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中高共通。2つのサイトで一致</t>
        </is>
      </c>
      <c r="N193" s="11" t="inlineStr">
        <is>
          <t>https://www.inter-edu.com/schools/school/253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東京都</t>
        </is>
      </c>
      <c r="C194" s="5" t="inlineStr">
        <is>
          <t>八王子市</t>
        </is>
      </c>
      <c r="D194" s="5" t="inlineStr">
        <is>
          <t>八王子学園八王子高等学校</t>
        </is>
      </c>
      <c r="E194" s="6" t="inlineStr">
        <is>
          <t>042-623-3461</t>
        </is>
      </c>
      <c r="F194" s="13" t="inlineStr">
        <is>
          <t>中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中高共通。学校情報サイトのみで確認</t>
        </is>
      </c>
      <c r="N194" s="11" t="inlineStr">
        <is>
          <t>https://www.inter-edu.com/schools/school/2097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東京都</t>
        </is>
      </c>
      <c r="C195" s="5" t="inlineStr">
        <is>
          <t>八王子市</t>
        </is>
      </c>
      <c r="D195" s="5" t="inlineStr">
        <is>
          <t>八王子実践高等学校</t>
        </is>
      </c>
      <c r="E195" s="6" t="inlineStr">
        <is>
          <t>042-622-0654</t>
        </is>
      </c>
      <c r="F195" s="13" t="inlineStr">
        <is>
          <t>中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中高共通。学校情報サイトのみで確認</t>
        </is>
      </c>
      <c r="N195" s="11" t="inlineStr">
        <is>
          <t>https://www.inter-edu.com/schools/school/2106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東京都</t>
        </is>
      </c>
      <c r="C196" s="5" t="inlineStr">
        <is>
          <t>大田区</t>
        </is>
      </c>
      <c r="D196" s="5" t="inlineStr">
        <is>
          <t>羽田国際高等学校</t>
        </is>
      </c>
      <c r="E196" s="6" t="inlineStr">
        <is>
          <t>03-3742-1511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法人の広報資料と学校情報サイトで一致。中高共通</t>
        </is>
      </c>
      <c r="N196" s="11" t="inlineStr">
        <is>
          <t>https://prtimes.jp/main/html/rd/p/000000037.000115210.html ; https://www.inter-edu.com/schools/school/1871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東京都</t>
        </is>
      </c>
      <c r="C197" s="5" t="inlineStr">
        <is>
          <t>文京区</t>
        </is>
      </c>
      <c r="D197" s="5" t="inlineStr">
        <is>
          <t>広尾学園小石川高等学校</t>
        </is>
      </c>
      <c r="E197" s="6" t="inlineStr">
        <is>
          <t>03-5940-4455</t>
        </is>
      </c>
      <c r="F197" s="7" t="inlineStr">
        <is>
          <t>高</t>
        </is>
      </c>
      <c r="G197" s="5" t="inlineStr">
        <is>
          <t>普通科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公式サイトで確認。中高共通。入試専用は03-5940-4187</t>
        </is>
      </c>
      <c r="N197" s="11" t="inlineStr">
        <is>
          <t>https://hiroo-koishikawa.ed.jp/contact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東京都</t>
        </is>
      </c>
      <c r="C198" s="5" t="inlineStr">
        <is>
          <t>港区</t>
        </is>
      </c>
      <c r="D198" s="5" t="inlineStr">
        <is>
          <t>広尾学園高等学校</t>
        </is>
      </c>
      <c r="E198" s="6" t="inlineStr">
        <is>
          <t>03-3444-7272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公式資料（広報室）と学校情報サイトで一致。中高共通</t>
        </is>
      </c>
      <c r="N198" s="11" t="inlineStr">
        <is>
          <t>https://www.hiroogakuen.ed.jp/junior/2026bosyuyoko_info.pdf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東京都</t>
        </is>
      </c>
      <c r="C199" s="5" t="inlineStr">
        <is>
          <t>町田市</t>
        </is>
      </c>
      <c r="D199" s="5" t="inlineStr">
        <is>
          <t>フェリシア高等学校</t>
        </is>
      </c>
      <c r="E199" s="6" t="inlineStr">
        <is>
          <t>044-988-1126</t>
        </is>
      </c>
      <c r="F199" s="13" t="inlineStr">
        <is>
          <t>中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学校情報サイト1件のみで確認（所在地は町田市、市外局番044）</t>
        </is>
      </c>
      <c r="N199" s="11" t="inlineStr">
        <is>
          <t>https://school.js88.com/scl_h/22039420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東京都</t>
        </is>
      </c>
      <c r="C200" s="5" t="inlineStr">
        <is>
          <t>渋谷区</t>
        </is>
      </c>
      <c r="D200" s="5" t="inlineStr">
        <is>
          <t>富士見丘高等学校</t>
        </is>
      </c>
      <c r="E200" s="6" t="inlineStr">
        <is>
          <t>03-3376-1481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中高共通。富士見高校（練馬区）とは別の学校</t>
        </is>
      </c>
      <c r="N200" s="11" t="inlineStr">
        <is>
          <t>https://www.inter-edu.com/schools/school/256 ; https://www.minkou.jp/hischool/school/4180/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東京都</t>
        </is>
      </c>
      <c r="C201" s="5" t="inlineStr">
        <is>
          <t>練馬区</t>
        </is>
      </c>
      <c r="D201" s="5" t="inlineStr">
        <is>
          <t>富士見高等学校</t>
        </is>
      </c>
      <c r="E201" s="6" t="inlineStr">
        <is>
          <t>03-3999-2136</t>
        </is>
      </c>
      <c r="F201" s="7" t="inlineStr">
        <is>
          <t>高</t>
        </is>
      </c>
      <c r="G201" s="5" t="inlineStr">
        <is>
          <t>普通科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練馬区の一覧と一致。富士見丘高校（渋谷区）とは別の学校</t>
        </is>
      </c>
      <c r="N201" s="11" t="inlineStr">
        <is>
          <t>https://www.city.nerima.tokyo.jp/shisetsu/gakko/koko.html ; https://www.inter-edu.com/schools/school/257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東京都</t>
        </is>
      </c>
      <c r="C202" s="5" t="inlineStr">
        <is>
          <t>千代田区</t>
        </is>
      </c>
      <c r="D202" s="5" t="inlineStr">
        <is>
          <t>雙葉高等学校</t>
        </is>
      </c>
      <c r="E202" s="6" t="inlineStr">
        <is>
          <t>03-3261-0821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中高共通</t>
        </is>
      </c>
      <c r="N202" s="11" t="inlineStr">
        <is>
          <t>https://www.inter-edu.com/schools/school/68 ; https://www.minkou.jp/junior/school/7479/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東京都</t>
        </is>
      </c>
      <c r="C203" s="5" t="inlineStr">
        <is>
          <t>港区</t>
        </is>
      </c>
      <c r="D203" s="5" t="inlineStr">
        <is>
          <t>普連土学園高等学校</t>
        </is>
      </c>
      <c r="E203" s="6" t="inlineStr">
        <is>
          <t>03-3451-4616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</t>
        </is>
      </c>
      <c r="N203" s="11" t="inlineStr">
        <is>
          <t>https://www.inter-edu.com/schools/school/258 ; https://k-doumei.or.jp/wp-content/uploads/2024/09/bd9e3ce9489feb4f707ef4abc1c07b2f.pdf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東京都</t>
        </is>
      </c>
      <c r="C204" s="5" t="inlineStr">
        <is>
          <t>杉並区</t>
        </is>
      </c>
      <c r="D204" s="5" t="inlineStr">
        <is>
          <t>文化学園大学杉並高等学校</t>
        </is>
      </c>
      <c r="E204" s="6" t="inlineStr">
        <is>
          <t>03-3392-6636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杉並区の一覧と一致</t>
        </is>
      </c>
      <c r="N204" s="11" t="inlineStr">
        <is>
          <t>https://www.city.suginami.tokyo.jp/shisetsu/school/shiritsuko/index.html ; https://www.inter-edu.com/schools/school/69</t>
        </is>
      </c>
      <c r="O204" s="12" t="inlineStr">
        <is>
          <t>開く</t>
        </is>
      </c>
    </row>
  </sheetData>
  <autoFilter ref="A4:O204"/>
  <conditionalFormatting sqref="A5:O204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204" showDropDown="0" showInputMessage="0" showErrorMessage="0" allowBlank="1" type="list">
      <formula1>"未架電,不在・折返し待ち,担当者不在,資料送付,アポ獲得,検討中,NG,番号不明"</formula1>
    </dataValidation>
    <dataValidation sqref="H5:H204 K5:K204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世田谷区</t>
        </is>
      </c>
      <c r="B4" s="16">
        <f>COUNTIF('架電リスト'!$C$5:$C$204,A4)</f>
        <v/>
      </c>
      <c r="C4" s="16">
        <f>COUNTIFS('架電リスト'!$C$5:$C$204,A4,'架電リスト'!$E$5:$E$204,"&lt;&gt;")</f>
        <v/>
      </c>
      <c r="D4" s="16">
        <f>B4-COUNTIFS('架電リスト'!$C$5:$C$204,A4,'架電リスト'!$J$5:$J$204,"未架電")-COUNTIFS('架電リスト'!$C$5:$C$204,A4,'架電リスト'!$J$5:$J$204,"")</f>
        <v/>
      </c>
      <c r="E4" s="16">
        <f>COUNTIFS('架電リスト'!$C$5:$C$204,$A4,'架電リスト'!$J$5:$J$204,"不在・折返し待ち")</f>
        <v/>
      </c>
      <c r="F4" s="16">
        <f>COUNTIFS('架電リスト'!$C$5:$C$204,$A4,'架電リスト'!$J$5:$J$204,"担当者不在")</f>
        <v/>
      </c>
      <c r="G4" s="16">
        <f>COUNTIFS('架電リスト'!$C$5:$C$204,$A4,'架電リスト'!$J$5:$J$204,"資料送付")</f>
        <v/>
      </c>
      <c r="H4" s="16">
        <f>COUNTIFS('架電リスト'!$C$5:$C$204,$A4,'架電リスト'!$J$5:$J$204,"アポ獲得")</f>
        <v/>
      </c>
      <c r="I4" s="16">
        <f>COUNTIFS('架電リスト'!$C$5:$C$204,$A4,'架電リスト'!$J$5:$J$204,"検討中")</f>
        <v/>
      </c>
      <c r="J4" s="16">
        <f>COUNTIFS('架電リスト'!$C$5:$C$204,$A4,'架電リスト'!$J$5:$J$204,"NG")</f>
        <v/>
      </c>
      <c r="K4" s="16">
        <f>COUNTIFS('架電リスト'!$C$5:$C$204,$A4,'架電リスト'!$J$5:$J$204,"番号不明")</f>
        <v/>
      </c>
    </row>
    <row r="5">
      <c r="A5" s="16" t="inlineStr">
        <is>
          <t>文京区</t>
        </is>
      </c>
      <c r="B5" s="16">
        <f>COUNTIF('架電リスト'!$C$5:$C$204,A5)</f>
        <v/>
      </c>
      <c r="C5" s="16">
        <f>COUNTIFS('架電リスト'!$C$5:$C$204,A5,'架電リスト'!$E$5:$E$204,"&lt;&gt;")</f>
        <v/>
      </c>
      <c r="D5" s="16">
        <f>B5-COUNTIFS('架電リスト'!$C$5:$C$204,A5,'架電リスト'!$J$5:$J$204,"未架電")-COUNTIFS('架電リスト'!$C$5:$C$204,A5,'架電リスト'!$J$5:$J$204,"")</f>
        <v/>
      </c>
      <c r="E5" s="16">
        <f>COUNTIFS('架電リスト'!$C$5:$C$204,$A5,'架電リスト'!$J$5:$J$204,"不在・折返し待ち")</f>
        <v/>
      </c>
      <c r="F5" s="16">
        <f>COUNTIFS('架電リスト'!$C$5:$C$204,$A5,'架電リスト'!$J$5:$J$204,"担当者不在")</f>
        <v/>
      </c>
      <c r="G5" s="16">
        <f>COUNTIFS('架電リスト'!$C$5:$C$204,$A5,'架電リスト'!$J$5:$J$204,"資料送付")</f>
        <v/>
      </c>
      <c r="H5" s="16">
        <f>COUNTIFS('架電リスト'!$C$5:$C$204,$A5,'架電リスト'!$J$5:$J$204,"アポ獲得")</f>
        <v/>
      </c>
      <c r="I5" s="16">
        <f>COUNTIFS('架電リスト'!$C$5:$C$204,$A5,'架電リスト'!$J$5:$J$204,"検討中")</f>
        <v/>
      </c>
      <c r="J5" s="16">
        <f>COUNTIFS('架電リスト'!$C$5:$C$204,$A5,'架電リスト'!$J$5:$J$204,"NG")</f>
        <v/>
      </c>
      <c r="K5" s="16">
        <f>COUNTIFS('架電リスト'!$C$5:$C$204,$A5,'架電リスト'!$J$5:$J$204,"番号不明")</f>
        <v/>
      </c>
    </row>
    <row r="6">
      <c r="A6" s="16" t="inlineStr">
        <is>
          <t>千代田区</t>
        </is>
      </c>
      <c r="B6" s="16">
        <f>COUNTIF('架電リスト'!$C$5:$C$204,A6)</f>
        <v/>
      </c>
      <c r="C6" s="16">
        <f>COUNTIFS('架電リスト'!$C$5:$C$204,A6,'架電リスト'!$E$5:$E$204,"&lt;&gt;")</f>
        <v/>
      </c>
      <c r="D6" s="16">
        <f>B6-COUNTIFS('架電リスト'!$C$5:$C$204,A6,'架電リスト'!$J$5:$J$204,"未架電")-COUNTIFS('架電リスト'!$C$5:$C$204,A6,'架電リスト'!$J$5:$J$204,"")</f>
        <v/>
      </c>
      <c r="E6" s="16">
        <f>COUNTIFS('架電リスト'!$C$5:$C$204,$A6,'架電リスト'!$J$5:$J$204,"不在・折返し待ち")</f>
        <v/>
      </c>
      <c r="F6" s="16">
        <f>COUNTIFS('架電リスト'!$C$5:$C$204,$A6,'架電リスト'!$J$5:$J$204,"担当者不在")</f>
        <v/>
      </c>
      <c r="G6" s="16">
        <f>COUNTIFS('架電リスト'!$C$5:$C$204,$A6,'架電リスト'!$J$5:$J$204,"資料送付")</f>
        <v/>
      </c>
      <c r="H6" s="16">
        <f>COUNTIFS('架電リスト'!$C$5:$C$204,$A6,'架電リスト'!$J$5:$J$204,"アポ獲得")</f>
        <v/>
      </c>
      <c r="I6" s="16">
        <f>COUNTIFS('架電リスト'!$C$5:$C$204,$A6,'架電リスト'!$J$5:$J$204,"検討中")</f>
        <v/>
      </c>
      <c r="J6" s="16">
        <f>COUNTIFS('架電リスト'!$C$5:$C$204,$A6,'架電リスト'!$J$5:$J$204,"NG")</f>
        <v/>
      </c>
      <c r="K6" s="16">
        <f>COUNTIFS('架電リスト'!$C$5:$C$204,$A6,'架電リスト'!$J$5:$J$204,"番号不明")</f>
        <v/>
      </c>
    </row>
    <row r="7">
      <c r="A7" s="16" t="inlineStr">
        <is>
          <t>港区</t>
        </is>
      </c>
      <c r="B7" s="16">
        <f>COUNTIF('架電リスト'!$C$5:$C$204,A7)</f>
        <v/>
      </c>
      <c r="C7" s="16">
        <f>COUNTIFS('架電リスト'!$C$5:$C$204,A7,'架電リスト'!$E$5:$E$204,"&lt;&gt;")</f>
        <v/>
      </c>
      <c r="D7" s="16">
        <f>B7-COUNTIFS('架電リスト'!$C$5:$C$204,A7,'架電リスト'!$J$5:$J$204,"未架電")-COUNTIFS('架電リスト'!$C$5:$C$204,A7,'架電リスト'!$J$5:$J$204,"")</f>
        <v/>
      </c>
      <c r="E7" s="16">
        <f>COUNTIFS('架電リスト'!$C$5:$C$204,$A7,'架電リスト'!$J$5:$J$204,"不在・折返し待ち")</f>
        <v/>
      </c>
      <c r="F7" s="16">
        <f>COUNTIFS('架電リスト'!$C$5:$C$204,$A7,'架電リスト'!$J$5:$J$204,"担当者不在")</f>
        <v/>
      </c>
      <c r="G7" s="16">
        <f>COUNTIFS('架電リスト'!$C$5:$C$204,$A7,'架電リスト'!$J$5:$J$204,"資料送付")</f>
        <v/>
      </c>
      <c r="H7" s="16">
        <f>COUNTIFS('架電リスト'!$C$5:$C$204,$A7,'架電リスト'!$J$5:$J$204,"アポ獲得")</f>
        <v/>
      </c>
      <c r="I7" s="16">
        <f>COUNTIFS('架電リスト'!$C$5:$C$204,$A7,'架電リスト'!$J$5:$J$204,"検討中")</f>
        <v/>
      </c>
      <c r="J7" s="16">
        <f>COUNTIFS('架電リスト'!$C$5:$C$204,$A7,'架電リスト'!$J$5:$J$204,"NG")</f>
        <v/>
      </c>
      <c r="K7" s="16">
        <f>COUNTIFS('架電リスト'!$C$5:$C$204,$A7,'架電リスト'!$J$5:$J$204,"番号不明")</f>
        <v/>
      </c>
    </row>
    <row r="8">
      <c r="A8" s="16" t="inlineStr">
        <is>
          <t>杉並区</t>
        </is>
      </c>
      <c r="B8" s="16">
        <f>COUNTIF('架電リスト'!$C$5:$C$204,A8)</f>
        <v/>
      </c>
      <c r="C8" s="16">
        <f>COUNTIFS('架電リスト'!$C$5:$C$204,A8,'架電リスト'!$E$5:$E$204,"&lt;&gt;")</f>
        <v/>
      </c>
      <c r="D8" s="16">
        <f>B8-COUNTIFS('架電リスト'!$C$5:$C$204,A8,'架電リスト'!$J$5:$J$204,"未架電")-COUNTIFS('架電リスト'!$C$5:$C$204,A8,'架電リスト'!$J$5:$J$204,"")</f>
        <v/>
      </c>
      <c r="E8" s="16">
        <f>COUNTIFS('架電リスト'!$C$5:$C$204,$A8,'架電リスト'!$J$5:$J$204,"不在・折返し待ち")</f>
        <v/>
      </c>
      <c r="F8" s="16">
        <f>COUNTIFS('架電リスト'!$C$5:$C$204,$A8,'架電リスト'!$J$5:$J$204,"担当者不在")</f>
        <v/>
      </c>
      <c r="G8" s="16">
        <f>COUNTIFS('架電リスト'!$C$5:$C$204,$A8,'架電リスト'!$J$5:$J$204,"資料送付")</f>
        <v/>
      </c>
      <c r="H8" s="16">
        <f>COUNTIFS('架電リスト'!$C$5:$C$204,$A8,'架電リスト'!$J$5:$J$204,"アポ獲得")</f>
        <v/>
      </c>
      <c r="I8" s="16">
        <f>COUNTIFS('架電リスト'!$C$5:$C$204,$A8,'架電リスト'!$J$5:$J$204,"検討中")</f>
        <v/>
      </c>
      <c r="J8" s="16">
        <f>COUNTIFS('架電リスト'!$C$5:$C$204,$A8,'架電リスト'!$J$5:$J$204,"NG")</f>
        <v/>
      </c>
      <c r="K8" s="16">
        <f>COUNTIFS('架電リスト'!$C$5:$C$204,$A8,'架電リスト'!$J$5:$J$204,"番号不明")</f>
        <v/>
      </c>
    </row>
    <row r="9">
      <c r="A9" s="16" t="inlineStr">
        <is>
          <t>北区</t>
        </is>
      </c>
      <c r="B9" s="16">
        <f>COUNTIF('架電リスト'!$C$5:$C$204,A9)</f>
        <v/>
      </c>
      <c r="C9" s="16">
        <f>COUNTIFS('架電リスト'!$C$5:$C$204,A9,'架電リスト'!$E$5:$E$204,"&lt;&gt;")</f>
        <v/>
      </c>
      <c r="D9" s="16">
        <f>B9-COUNTIFS('架電リスト'!$C$5:$C$204,A9,'架電リスト'!$J$5:$J$204,"未架電")-COUNTIFS('架電リスト'!$C$5:$C$204,A9,'架電リスト'!$J$5:$J$204,"")</f>
        <v/>
      </c>
      <c r="E9" s="16">
        <f>COUNTIFS('架電リスト'!$C$5:$C$204,$A9,'架電リスト'!$J$5:$J$204,"不在・折返し待ち")</f>
        <v/>
      </c>
      <c r="F9" s="16">
        <f>COUNTIFS('架電リスト'!$C$5:$C$204,$A9,'架電リスト'!$J$5:$J$204,"担当者不在")</f>
        <v/>
      </c>
      <c r="G9" s="16">
        <f>COUNTIFS('架電リスト'!$C$5:$C$204,$A9,'架電リスト'!$J$5:$J$204,"資料送付")</f>
        <v/>
      </c>
      <c r="H9" s="16">
        <f>COUNTIFS('架電リスト'!$C$5:$C$204,$A9,'架電リスト'!$J$5:$J$204,"アポ獲得")</f>
        <v/>
      </c>
      <c r="I9" s="16">
        <f>COUNTIFS('架電リスト'!$C$5:$C$204,$A9,'架電リスト'!$J$5:$J$204,"検討中")</f>
        <v/>
      </c>
      <c r="J9" s="16">
        <f>COUNTIFS('架電リスト'!$C$5:$C$204,$A9,'架電リスト'!$J$5:$J$204,"NG")</f>
        <v/>
      </c>
      <c r="K9" s="16">
        <f>COUNTIFS('架電リスト'!$C$5:$C$204,$A9,'架電リスト'!$J$5:$J$204,"番号不明")</f>
        <v/>
      </c>
    </row>
    <row r="10">
      <c r="A10" s="16" t="inlineStr">
        <is>
          <t>八王子市</t>
        </is>
      </c>
      <c r="B10" s="16">
        <f>COUNTIF('架電リスト'!$C$5:$C$204,A10)</f>
        <v/>
      </c>
      <c r="C10" s="16">
        <f>COUNTIFS('架電リスト'!$C$5:$C$204,A10,'架電リスト'!$E$5:$E$204,"&lt;&gt;")</f>
        <v/>
      </c>
      <c r="D10" s="16">
        <f>B10-COUNTIFS('架電リスト'!$C$5:$C$204,A10,'架電リスト'!$J$5:$J$204,"未架電")-COUNTIFS('架電リスト'!$C$5:$C$204,A10,'架電リスト'!$J$5:$J$204,"")</f>
        <v/>
      </c>
      <c r="E10" s="16">
        <f>COUNTIFS('架電リスト'!$C$5:$C$204,$A10,'架電リスト'!$J$5:$J$204,"不在・折返し待ち")</f>
        <v/>
      </c>
      <c r="F10" s="16">
        <f>COUNTIFS('架電リスト'!$C$5:$C$204,$A10,'架電リスト'!$J$5:$J$204,"担当者不在")</f>
        <v/>
      </c>
      <c r="G10" s="16">
        <f>COUNTIFS('架電リスト'!$C$5:$C$204,$A10,'架電リスト'!$J$5:$J$204,"資料送付")</f>
        <v/>
      </c>
      <c r="H10" s="16">
        <f>COUNTIFS('架電リスト'!$C$5:$C$204,$A10,'架電リスト'!$J$5:$J$204,"アポ獲得")</f>
        <v/>
      </c>
      <c r="I10" s="16">
        <f>COUNTIFS('架電リスト'!$C$5:$C$204,$A10,'架電リスト'!$J$5:$J$204,"検討中")</f>
        <v/>
      </c>
      <c r="J10" s="16">
        <f>COUNTIFS('架電リスト'!$C$5:$C$204,$A10,'架電リスト'!$J$5:$J$204,"NG")</f>
        <v/>
      </c>
      <c r="K10" s="16">
        <f>COUNTIFS('架電リスト'!$C$5:$C$204,$A10,'架電リスト'!$J$5:$J$204,"番号不明")</f>
        <v/>
      </c>
    </row>
    <row r="11">
      <c r="A11" s="16" t="inlineStr">
        <is>
          <t>豊島区</t>
        </is>
      </c>
      <c r="B11" s="16">
        <f>COUNTIF('架電リスト'!$C$5:$C$204,A11)</f>
        <v/>
      </c>
      <c r="C11" s="16">
        <f>COUNTIFS('架電リスト'!$C$5:$C$204,A11,'架電リスト'!$E$5:$E$204,"&lt;&gt;")</f>
        <v/>
      </c>
      <c r="D11" s="16">
        <f>B11-COUNTIFS('架電リスト'!$C$5:$C$204,A11,'架電リスト'!$J$5:$J$204,"未架電")-COUNTIFS('架電リスト'!$C$5:$C$204,A11,'架電リスト'!$J$5:$J$204,"")</f>
        <v/>
      </c>
      <c r="E11" s="16">
        <f>COUNTIFS('架電リスト'!$C$5:$C$204,$A11,'架電リスト'!$J$5:$J$204,"不在・折返し待ち")</f>
        <v/>
      </c>
      <c r="F11" s="16">
        <f>COUNTIFS('架電リスト'!$C$5:$C$204,$A11,'架電リスト'!$J$5:$J$204,"担当者不在")</f>
        <v/>
      </c>
      <c r="G11" s="16">
        <f>COUNTIFS('架電リスト'!$C$5:$C$204,$A11,'架電リスト'!$J$5:$J$204,"資料送付")</f>
        <v/>
      </c>
      <c r="H11" s="16">
        <f>COUNTIFS('架電リスト'!$C$5:$C$204,$A11,'架電リスト'!$J$5:$J$204,"アポ獲得")</f>
        <v/>
      </c>
      <c r="I11" s="16">
        <f>COUNTIFS('架電リスト'!$C$5:$C$204,$A11,'架電リスト'!$J$5:$J$204,"検討中")</f>
        <v/>
      </c>
      <c r="J11" s="16">
        <f>COUNTIFS('架電リスト'!$C$5:$C$204,$A11,'架電リスト'!$J$5:$J$204,"NG")</f>
        <v/>
      </c>
      <c r="K11" s="16">
        <f>COUNTIFS('架電リスト'!$C$5:$C$204,$A11,'架電リスト'!$J$5:$J$204,"番号不明")</f>
        <v/>
      </c>
    </row>
    <row r="12">
      <c r="A12" s="16" t="inlineStr">
        <is>
          <t>渋谷区</t>
        </is>
      </c>
      <c r="B12" s="16">
        <f>COUNTIF('架電リスト'!$C$5:$C$204,A12)</f>
        <v/>
      </c>
      <c r="C12" s="16">
        <f>COUNTIFS('架電リスト'!$C$5:$C$204,A12,'架電リスト'!$E$5:$E$204,"&lt;&gt;")</f>
        <v/>
      </c>
      <c r="D12" s="16">
        <f>B12-COUNTIFS('架電リスト'!$C$5:$C$204,A12,'架電リスト'!$J$5:$J$204,"未架電")-COUNTIFS('架電リスト'!$C$5:$C$204,A12,'架電リスト'!$J$5:$J$204,"")</f>
        <v/>
      </c>
      <c r="E12" s="16">
        <f>COUNTIFS('架電リスト'!$C$5:$C$204,$A12,'架電リスト'!$J$5:$J$204,"不在・折返し待ち")</f>
        <v/>
      </c>
      <c r="F12" s="16">
        <f>COUNTIFS('架電リスト'!$C$5:$C$204,$A12,'架電リスト'!$J$5:$J$204,"担当者不在")</f>
        <v/>
      </c>
      <c r="G12" s="16">
        <f>COUNTIFS('架電リスト'!$C$5:$C$204,$A12,'架電リスト'!$J$5:$J$204,"資料送付")</f>
        <v/>
      </c>
      <c r="H12" s="16">
        <f>COUNTIFS('架電リスト'!$C$5:$C$204,$A12,'架電リスト'!$J$5:$J$204,"アポ獲得")</f>
        <v/>
      </c>
      <c r="I12" s="16">
        <f>COUNTIFS('架電リスト'!$C$5:$C$204,$A12,'架電リスト'!$J$5:$J$204,"検討中")</f>
        <v/>
      </c>
      <c r="J12" s="16">
        <f>COUNTIFS('架電リスト'!$C$5:$C$204,$A12,'架電リスト'!$J$5:$J$204,"NG")</f>
        <v/>
      </c>
      <c r="K12" s="16">
        <f>COUNTIFS('架電リスト'!$C$5:$C$204,$A12,'架電リスト'!$J$5:$J$204,"番号不明")</f>
        <v/>
      </c>
    </row>
    <row r="13">
      <c r="A13" s="16" t="inlineStr">
        <is>
          <t>品川区</t>
        </is>
      </c>
      <c r="B13" s="16">
        <f>COUNTIF('架電リスト'!$C$5:$C$204,A13)</f>
        <v/>
      </c>
      <c r="C13" s="16">
        <f>COUNTIFS('架電リスト'!$C$5:$C$204,A13,'架電リスト'!$E$5:$E$204,"&lt;&gt;")</f>
        <v/>
      </c>
      <c r="D13" s="16">
        <f>B13-COUNTIFS('架電リスト'!$C$5:$C$204,A13,'架電リスト'!$J$5:$J$204,"未架電")-COUNTIFS('架電リスト'!$C$5:$C$204,A13,'架電リスト'!$J$5:$J$204,"")</f>
        <v/>
      </c>
      <c r="E13" s="16">
        <f>COUNTIFS('架電リスト'!$C$5:$C$204,$A13,'架電リスト'!$J$5:$J$204,"不在・折返し待ち")</f>
        <v/>
      </c>
      <c r="F13" s="16">
        <f>COUNTIFS('架電リスト'!$C$5:$C$204,$A13,'架電リスト'!$J$5:$J$204,"担当者不在")</f>
        <v/>
      </c>
      <c r="G13" s="16">
        <f>COUNTIFS('架電リスト'!$C$5:$C$204,$A13,'架電リスト'!$J$5:$J$204,"資料送付")</f>
        <v/>
      </c>
      <c r="H13" s="16">
        <f>COUNTIFS('架電リスト'!$C$5:$C$204,$A13,'架電リスト'!$J$5:$J$204,"アポ獲得")</f>
        <v/>
      </c>
      <c r="I13" s="16">
        <f>COUNTIFS('架電リスト'!$C$5:$C$204,$A13,'架電リスト'!$J$5:$J$204,"検討中")</f>
        <v/>
      </c>
      <c r="J13" s="16">
        <f>COUNTIFS('架電リスト'!$C$5:$C$204,$A13,'架電リスト'!$J$5:$J$204,"NG")</f>
        <v/>
      </c>
      <c r="K13" s="16">
        <f>COUNTIFS('架電リスト'!$C$5:$C$204,$A13,'架電リスト'!$J$5:$J$204,"番号不明")</f>
        <v/>
      </c>
    </row>
    <row r="14">
      <c r="A14" s="16" t="inlineStr">
        <is>
          <t>板橋区</t>
        </is>
      </c>
      <c r="B14" s="16">
        <f>COUNTIF('架電リスト'!$C$5:$C$204,A14)</f>
        <v/>
      </c>
      <c r="C14" s="16">
        <f>COUNTIFS('架電リスト'!$C$5:$C$204,A14,'架電リスト'!$E$5:$E$204,"&lt;&gt;")</f>
        <v/>
      </c>
      <c r="D14" s="16">
        <f>B14-COUNTIFS('架電リスト'!$C$5:$C$204,A14,'架電リスト'!$J$5:$J$204,"未架電")-COUNTIFS('架電リスト'!$C$5:$C$204,A14,'架電リスト'!$J$5:$J$204,"")</f>
        <v/>
      </c>
      <c r="E14" s="16">
        <f>COUNTIFS('架電リスト'!$C$5:$C$204,$A14,'架電リスト'!$J$5:$J$204,"不在・折返し待ち")</f>
        <v/>
      </c>
      <c r="F14" s="16">
        <f>COUNTIFS('架電リスト'!$C$5:$C$204,$A14,'架電リスト'!$J$5:$J$204,"担当者不在")</f>
        <v/>
      </c>
      <c r="G14" s="16">
        <f>COUNTIFS('架電リスト'!$C$5:$C$204,$A14,'架電リスト'!$J$5:$J$204,"資料送付")</f>
        <v/>
      </c>
      <c r="H14" s="16">
        <f>COUNTIFS('架電リスト'!$C$5:$C$204,$A14,'架電リスト'!$J$5:$J$204,"アポ獲得")</f>
        <v/>
      </c>
      <c r="I14" s="16">
        <f>COUNTIFS('架電リスト'!$C$5:$C$204,$A14,'架電リスト'!$J$5:$J$204,"検討中")</f>
        <v/>
      </c>
      <c r="J14" s="16">
        <f>COUNTIFS('架電リスト'!$C$5:$C$204,$A14,'架電リスト'!$J$5:$J$204,"NG")</f>
        <v/>
      </c>
      <c r="K14" s="16">
        <f>COUNTIFS('架電リスト'!$C$5:$C$204,$A14,'架電リスト'!$J$5:$J$204,"番号不明")</f>
        <v/>
      </c>
    </row>
    <row r="15">
      <c r="A15" s="16" t="inlineStr">
        <is>
          <t>大田区</t>
        </is>
      </c>
      <c r="B15" s="16">
        <f>COUNTIF('架電リスト'!$C$5:$C$204,A15)</f>
        <v/>
      </c>
      <c r="C15" s="16">
        <f>COUNTIFS('架電リスト'!$C$5:$C$204,A15,'架電リスト'!$E$5:$E$204,"&lt;&gt;")</f>
        <v/>
      </c>
      <c r="D15" s="16">
        <f>B15-COUNTIFS('架電リスト'!$C$5:$C$204,A15,'架電リスト'!$J$5:$J$204,"未架電")-COUNTIFS('架電リスト'!$C$5:$C$204,A15,'架電リスト'!$J$5:$J$204,"")</f>
        <v/>
      </c>
      <c r="E15" s="16">
        <f>COUNTIFS('架電リスト'!$C$5:$C$204,$A15,'架電リスト'!$J$5:$J$204,"不在・折返し待ち")</f>
        <v/>
      </c>
      <c r="F15" s="16">
        <f>COUNTIFS('架電リスト'!$C$5:$C$204,$A15,'架電リスト'!$J$5:$J$204,"担当者不在")</f>
        <v/>
      </c>
      <c r="G15" s="16">
        <f>COUNTIFS('架電リスト'!$C$5:$C$204,$A15,'架電リスト'!$J$5:$J$204,"資料送付")</f>
        <v/>
      </c>
      <c r="H15" s="16">
        <f>COUNTIFS('架電リスト'!$C$5:$C$204,$A15,'架電リスト'!$J$5:$J$204,"アポ獲得")</f>
        <v/>
      </c>
      <c r="I15" s="16">
        <f>COUNTIFS('架電リスト'!$C$5:$C$204,$A15,'架電リスト'!$J$5:$J$204,"検討中")</f>
        <v/>
      </c>
      <c r="J15" s="16">
        <f>COUNTIFS('架電リスト'!$C$5:$C$204,$A15,'架電リスト'!$J$5:$J$204,"NG")</f>
        <v/>
      </c>
      <c r="K15" s="16">
        <f>COUNTIFS('架電リスト'!$C$5:$C$204,$A15,'架電リスト'!$J$5:$J$204,"番号不明")</f>
        <v/>
      </c>
    </row>
    <row r="16">
      <c r="A16" s="16" t="inlineStr">
        <is>
          <t>新宿区</t>
        </is>
      </c>
      <c r="B16" s="16">
        <f>COUNTIF('架電リスト'!$C$5:$C$204,A16)</f>
        <v/>
      </c>
      <c r="C16" s="16">
        <f>COUNTIFS('架電リスト'!$C$5:$C$204,A16,'架電リスト'!$E$5:$E$204,"&lt;&gt;")</f>
        <v/>
      </c>
      <c r="D16" s="16">
        <f>B16-COUNTIFS('架電リスト'!$C$5:$C$204,A16,'架電リスト'!$J$5:$J$204,"未架電")-COUNTIFS('架電リスト'!$C$5:$C$204,A16,'架電リスト'!$J$5:$J$204,"")</f>
        <v/>
      </c>
      <c r="E16" s="16">
        <f>COUNTIFS('架電リスト'!$C$5:$C$204,$A16,'架電リスト'!$J$5:$J$204,"不在・折返し待ち")</f>
        <v/>
      </c>
      <c r="F16" s="16">
        <f>COUNTIFS('架電リスト'!$C$5:$C$204,$A16,'架電リスト'!$J$5:$J$204,"担当者不在")</f>
        <v/>
      </c>
      <c r="G16" s="16">
        <f>COUNTIFS('架電リスト'!$C$5:$C$204,$A16,'架電リスト'!$J$5:$J$204,"資料送付")</f>
        <v/>
      </c>
      <c r="H16" s="16">
        <f>COUNTIFS('架電リスト'!$C$5:$C$204,$A16,'架電リスト'!$J$5:$J$204,"アポ獲得")</f>
        <v/>
      </c>
      <c r="I16" s="16">
        <f>COUNTIFS('架電リスト'!$C$5:$C$204,$A16,'架電リスト'!$J$5:$J$204,"検討中")</f>
        <v/>
      </c>
      <c r="J16" s="16">
        <f>COUNTIFS('架電リスト'!$C$5:$C$204,$A16,'架電リスト'!$J$5:$J$204,"NG")</f>
        <v/>
      </c>
      <c r="K16" s="16">
        <f>COUNTIFS('架電リスト'!$C$5:$C$204,$A16,'架電リスト'!$J$5:$J$204,"番号不明")</f>
        <v/>
      </c>
    </row>
    <row r="17">
      <c r="A17" s="16" t="inlineStr">
        <is>
          <t>町田市</t>
        </is>
      </c>
      <c r="B17" s="16">
        <f>COUNTIF('架電リスト'!$C$5:$C$204,A17)</f>
        <v/>
      </c>
      <c r="C17" s="16">
        <f>COUNTIFS('架電リスト'!$C$5:$C$204,A17,'架電リスト'!$E$5:$E$204,"&lt;&gt;")</f>
        <v/>
      </c>
      <c r="D17" s="16">
        <f>B17-COUNTIFS('架電リスト'!$C$5:$C$204,A17,'架電リスト'!$J$5:$J$204,"未架電")-COUNTIFS('架電リスト'!$C$5:$C$204,A17,'架電リスト'!$J$5:$J$204,"")</f>
        <v/>
      </c>
      <c r="E17" s="16">
        <f>COUNTIFS('架電リスト'!$C$5:$C$204,$A17,'架電リスト'!$J$5:$J$204,"不在・折返し待ち")</f>
        <v/>
      </c>
      <c r="F17" s="16">
        <f>COUNTIFS('架電リスト'!$C$5:$C$204,$A17,'架電リスト'!$J$5:$J$204,"担当者不在")</f>
        <v/>
      </c>
      <c r="G17" s="16">
        <f>COUNTIFS('架電リスト'!$C$5:$C$204,$A17,'架電リスト'!$J$5:$J$204,"資料送付")</f>
        <v/>
      </c>
      <c r="H17" s="16">
        <f>COUNTIFS('架電リスト'!$C$5:$C$204,$A17,'架電リスト'!$J$5:$J$204,"アポ獲得")</f>
        <v/>
      </c>
      <c r="I17" s="16">
        <f>COUNTIFS('架電リスト'!$C$5:$C$204,$A17,'架電リスト'!$J$5:$J$204,"検討中")</f>
        <v/>
      </c>
      <c r="J17" s="16">
        <f>COUNTIFS('架電リスト'!$C$5:$C$204,$A17,'架電リスト'!$J$5:$J$204,"NG")</f>
        <v/>
      </c>
      <c r="K17" s="16">
        <f>COUNTIFS('架電リスト'!$C$5:$C$204,$A17,'架電リスト'!$J$5:$J$204,"番号不明")</f>
        <v/>
      </c>
    </row>
    <row r="18">
      <c r="A18" s="16" t="inlineStr">
        <is>
          <t>中野区</t>
        </is>
      </c>
      <c r="B18" s="16">
        <f>COUNTIF('架電リスト'!$C$5:$C$204,A18)</f>
        <v/>
      </c>
      <c r="C18" s="16">
        <f>COUNTIFS('架電リスト'!$C$5:$C$204,A18,'架電リスト'!$E$5:$E$204,"&lt;&gt;")</f>
        <v/>
      </c>
      <c r="D18" s="16">
        <f>B18-COUNTIFS('架電リスト'!$C$5:$C$204,A18,'架電リスト'!$J$5:$J$204,"未架電")-COUNTIFS('架電リスト'!$C$5:$C$204,A18,'架電リスト'!$J$5:$J$204,"")</f>
        <v/>
      </c>
      <c r="E18" s="16">
        <f>COUNTIFS('架電リスト'!$C$5:$C$204,$A18,'架電リスト'!$J$5:$J$204,"不在・折返し待ち")</f>
        <v/>
      </c>
      <c r="F18" s="16">
        <f>COUNTIFS('架電リスト'!$C$5:$C$204,$A18,'架電リスト'!$J$5:$J$204,"担当者不在")</f>
        <v/>
      </c>
      <c r="G18" s="16">
        <f>COUNTIFS('架電リスト'!$C$5:$C$204,$A18,'架電リスト'!$J$5:$J$204,"資料送付")</f>
        <v/>
      </c>
      <c r="H18" s="16">
        <f>COUNTIFS('架電リスト'!$C$5:$C$204,$A18,'架電リスト'!$J$5:$J$204,"アポ獲得")</f>
        <v/>
      </c>
      <c r="I18" s="16">
        <f>COUNTIFS('架電リスト'!$C$5:$C$204,$A18,'架電リスト'!$J$5:$J$204,"検討中")</f>
        <v/>
      </c>
      <c r="J18" s="16">
        <f>COUNTIFS('架電リスト'!$C$5:$C$204,$A18,'架電リスト'!$J$5:$J$204,"NG")</f>
        <v/>
      </c>
      <c r="K18" s="16">
        <f>COUNTIFS('架電リスト'!$C$5:$C$204,$A18,'架電リスト'!$J$5:$J$204,"番号不明")</f>
        <v/>
      </c>
    </row>
    <row r="19">
      <c r="A19" s="16" t="inlineStr">
        <is>
          <t>江東区</t>
        </is>
      </c>
      <c r="B19" s="16">
        <f>COUNTIF('架電リスト'!$C$5:$C$204,A19)</f>
        <v/>
      </c>
      <c r="C19" s="16">
        <f>COUNTIFS('架電リスト'!$C$5:$C$204,A19,'架電リスト'!$E$5:$E$204,"&lt;&gt;")</f>
        <v/>
      </c>
      <c r="D19" s="16">
        <f>B19-COUNTIFS('架電リスト'!$C$5:$C$204,A19,'架電リスト'!$J$5:$J$204,"未架電")-COUNTIFS('架電リスト'!$C$5:$C$204,A19,'架電リスト'!$J$5:$J$204,"")</f>
        <v/>
      </c>
      <c r="E19" s="16">
        <f>COUNTIFS('架電リスト'!$C$5:$C$204,$A19,'架電リスト'!$J$5:$J$204,"不在・折返し待ち")</f>
        <v/>
      </c>
      <c r="F19" s="16">
        <f>COUNTIFS('架電リスト'!$C$5:$C$204,$A19,'架電リスト'!$J$5:$J$204,"担当者不在")</f>
        <v/>
      </c>
      <c r="G19" s="16">
        <f>COUNTIFS('架電リスト'!$C$5:$C$204,$A19,'架電リスト'!$J$5:$J$204,"資料送付")</f>
        <v/>
      </c>
      <c r="H19" s="16">
        <f>COUNTIFS('架電リスト'!$C$5:$C$204,$A19,'架電リスト'!$J$5:$J$204,"アポ獲得")</f>
        <v/>
      </c>
      <c r="I19" s="16">
        <f>COUNTIFS('架電リスト'!$C$5:$C$204,$A19,'架電リスト'!$J$5:$J$204,"検討中")</f>
        <v/>
      </c>
      <c r="J19" s="16">
        <f>COUNTIFS('架電リスト'!$C$5:$C$204,$A19,'架電リスト'!$J$5:$J$204,"NG")</f>
        <v/>
      </c>
      <c r="K19" s="16">
        <f>COUNTIFS('架電リスト'!$C$5:$C$204,$A19,'架電リスト'!$J$5:$J$204,"番号不明")</f>
        <v/>
      </c>
    </row>
    <row r="20">
      <c r="A20" s="16" t="inlineStr">
        <is>
          <t>武蔵野市</t>
        </is>
      </c>
      <c r="B20" s="16">
        <f>COUNTIF('架電リスト'!$C$5:$C$204,A20)</f>
        <v/>
      </c>
      <c r="C20" s="16">
        <f>COUNTIFS('架電リスト'!$C$5:$C$204,A20,'架電リスト'!$E$5:$E$204,"&lt;&gt;")</f>
        <v/>
      </c>
      <c r="D20" s="16">
        <f>B20-COUNTIFS('架電リスト'!$C$5:$C$204,A20,'架電リスト'!$J$5:$J$204,"未架電")-COUNTIFS('架電リスト'!$C$5:$C$204,A20,'架電リスト'!$J$5:$J$204,"")</f>
        <v/>
      </c>
      <c r="E20" s="16">
        <f>COUNTIFS('架電リスト'!$C$5:$C$204,$A20,'架電リスト'!$J$5:$J$204,"不在・折返し待ち")</f>
        <v/>
      </c>
      <c r="F20" s="16">
        <f>COUNTIFS('架電リスト'!$C$5:$C$204,$A20,'架電リスト'!$J$5:$J$204,"担当者不在")</f>
        <v/>
      </c>
      <c r="G20" s="16">
        <f>COUNTIFS('架電リスト'!$C$5:$C$204,$A20,'架電リスト'!$J$5:$J$204,"資料送付")</f>
        <v/>
      </c>
      <c r="H20" s="16">
        <f>COUNTIFS('架電リスト'!$C$5:$C$204,$A20,'架電リスト'!$J$5:$J$204,"アポ獲得")</f>
        <v/>
      </c>
      <c r="I20" s="16">
        <f>COUNTIFS('架電リスト'!$C$5:$C$204,$A20,'架電リスト'!$J$5:$J$204,"検討中")</f>
        <v/>
      </c>
      <c r="J20" s="16">
        <f>COUNTIFS('架電リスト'!$C$5:$C$204,$A20,'架電リスト'!$J$5:$J$204,"NG")</f>
        <v/>
      </c>
      <c r="K20" s="16">
        <f>COUNTIFS('架電リスト'!$C$5:$C$204,$A20,'架電リスト'!$J$5:$J$204,"番号不明")</f>
        <v/>
      </c>
    </row>
    <row r="21">
      <c r="A21" s="16" t="inlineStr">
        <is>
          <t>目黒区</t>
        </is>
      </c>
      <c r="B21" s="16">
        <f>COUNTIF('架電リスト'!$C$5:$C$204,A21)</f>
        <v/>
      </c>
      <c r="C21" s="16">
        <f>COUNTIFS('架電リスト'!$C$5:$C$204,A21,'架電リスト'!$E$5:$E$204,"&lt;&gt;")</f>
        <v/>
      </c>
      <c r="D21" s="16">
        <f>B21-COUNTIFS('架電リスト'!$C$5:$C$204,A21,'架電リスト'!$J$5:$J$204,"未架電")-COUNTIFS('架電リスト'!$C$5:$C$204,A21,'架電リスト'!$J$5:$J$204,"")</f>
        <v/>
      </c>
      <c r="E21" s="16">
        <f>COUNTIFS('架電リスト'!$C$5:$C$204,$A21,'架電リスト'!$J$5:$J$204,"不在・折返し待ち")</f>
        <v/>
      </c>
      <c r="F21" s="16">
        <f>COUNTIFS('架電リスト'!$C$5:$C$204,$A21,'架電リスト'!$J$5:$J$204,"担当者不在")</f>
        <v/>
      </c>
      <c r="G21" s="16">
        <f>COUNTIFS('架電リスト'!$C$5:$C$204,$A21,'架電リスト'!$J$5:$J$204,"資料送付")</f>
        <v/>
      </c>
      <c r="H21" s="16">
        <f>COUNTIFS('架電リスト'!$C$5:$C$204,$A21,'架電リスト'!$J$5:$J$204,"アポ獲得")</f>
        <v/>
      </c>
      <c r="I21" s="16">
        <f>COUNTIFS('架電リスト'!$C$5:$C$204,$A21,'架電リスト'!$J$5:$J$204,"検討中")</f>
        <v/>
      </c>
      <c r="J21" s="16">
        <f>COUNTIFS('架電リスト'!$C$5:$C$204,$A21,'架電リスト'!$J$5:$J$204,"NG")</f>
        <v/>
      </c>
      <c r="K21" s="16">
        <f>COUNTIFS('架電リスト'!$C$5:$C$204,$A21,'架電リスト'!$J$5:$J$204,"番号不明")</f>
        <v/>
      </c>
    </row>
    <row r="22">
      <c r="A22" s="16" t="inlineStr">
        <is>
          <t>江戸川区</t>
        </is>
      </c>
      <c r="B22" s="16">
        <f>COUNTIF('架電リスト'!$C$5:$C$204,A22)</f>
        <v/>
      </c>
      <c r="C22" s="16">
        <f>COUNTIFS('架電リスト'!$C$5:$C$204,A22,'架電リスト'!$E$5:$E$204,"&lt;&gt;")</f>
        <v/>
      </c>
      <c r="D22" s="16">
        <f>B22-COUNTIFS('架電リスト'!$C$5:$C$204,A22,'架電リスト'!$J$5:$J$204,"未架電")-COUNTIFS('架電リスト'!$C$5:$C$204,A22,'架電リスト'!$J$5:$J$204,"")</f>
        <v/>
      </c>
      <c r="E22" s="16">
        <f>COUNTIFS('架電リスト'!$C$5:$C$204,$A22,'架電リスト'!$J$5:$J$204,"不在・折返し待ち")</f>
        <v/>
      </c>
      <c r="F22" s="16">
        <f>COUNTIFS('架電リスト'!$C$5:$C$204,$A22,'架電リスト'!$J$5:$J$204,"担当者不在")</f>
        <v/>
      </c>
      <c r="G22" s="16">
        <f>COUNTIFS('架電リスト'!$C$5:$C$204,$A22,'架電リスト'!$J$5:$J$204,"資料送付")</f>
        <v/>
      </c>
      <c r="H22" s="16">
        <f>COUNTIFS('架電リスト'!$C$5:$C$204,$A22,'架電リスト'!$J$5:$J$204,"アポ獲得")</f>
        <v/>
      </c>
      <c r="I22" s="16">
        <f>COUNTIFS('架電リスト'!$C$5:$C$204,$A22,'架電リスト'!$J$5:$J$204,"検討中")</f>
        <v/>
      </c>
      <c r="J22" s="16">
        <f>COUNTIFS('架電リスト'!$C$5:$C$204,$A22,'架電リスト'!$J$5:$J$204,"NG")</f>
        <v/>
      </c>
      <c r="K22" s="16">
        <f>COUNTIFS('架電リスト'!$C$5:$C$204,$A22,'架電リスト'!$J$5:$J$204,"番号不明")</f>
        <v/>
      </c>
    </row>
    <row r="23">
      <c r="A23" s="16" t="inlineStr">
        <is>
          <t>国立市</t>
        </is>
      </c>
      <c r="B23" s="16">
        <f>COUNTIF('架電リスト'!$C$5:$C$204,A23)</f>
        <v/>
      </c>
      <c r="C23" s="16">
        <f>COUNTIFS('架電リスト'!$C$5:$C$204,A23,'架電リスト'!$E$5:$E$204,"&lt;&gt;")</f>
        <v/>
      </c>
      <c r="D23" s="16">
        <f>B23-COUNTIFS('架電リスト'!$C$5:$C$204,A23,'架電リスト'!$J$5:$J$204,"未架電")-COUNTIFS('架電リスト'!$C$5:$C$204,A23,'架電リスト'!$J$5:$J$204,"")</f>
        <v/>
      </c>
      <c r="E23" s="16">
        <f>COUNTIFS('架電リスト'!$C$5:$C$204,$A23,'架電リスト'!$J$5:$J$204,"不在・折返し待ち")</f>
        <v/>
      </c>
      <c r="F23" s="16">
        <f>COUNTIFS('架電リスト'!$C$5:$C$204,$A23,'架電リスト'!$J$5:$J$204,"担当者不在")</f>
        <v/>
      </c>
      <c r="G23" s="16">
        <f>COUNTIFS('架電リスト'!$C$5:$C$204,$A23,'架電リスト'!$J$5:$J$204,"資料送付")</f>
        <v/>
      </c>
      <c r="H23" s="16">
        <f>COUNTIFS('架電リスト'!$C$5:$C$204,$A23,'架電リスト'!$J$5:$J$204,"アポ獲得")</f>
        <v/>
      </c>
      <c r="I23" s="16">
        <f>COUNTIFS('架電リスト'!$C$5:$C$204,$A23,'架電リスト'!$J$5:$J$204,"検討中")</f>
        <v/>
      </c>
      <c r="J23" s="16">
        <f>COUNTIFS('架電リスト'!$C$5:$C$204,$A23,'架電リスト'!$J$5:$J$204,"NG")</f>
        <v/>
      </c>
      <c r="K23" s="16">
        <f>COUNTIFS('架電リスト'!$C$5:$C$204,$A23,'架電リスト'!$J$5:$J$204,"番号不明")</f>
        <v/>
      </c>
    </row>
    <row r="24">
      <c r="A24" s="16" t="inlineStr">
        <is>
          <t>小平市</t>
        </is>
      </c>
      <c r="B24" s="16">
        <f>COUNTIF('架電リスト'!$C$5:$C$204,A24)</f>
        <v/>
      </c>
      <c r="C24" s="16">
        <f>COUNTIFS('架電リスト'!$C$5:$C$204,A24,'架電リスト'!$E$5:$E$204,"&lt;&gt;")</f>
        <v/>
      </c>
      <c r="D24" s="16">
        <f>B24-COUNTIFS('架電リスト'!$C$5:$C$204,A24,'架電リスト'!$J$5:$J$204,"未架電")-COUNTIFS('架電リスト'!$C$5:$C$204,A24,'架電リスト'!$J$5:$J$204,"")</f>
        <v/>
      </c>
      <c r="E24" s="16">
        <f>COUNTIFS('架電リスト'!$C$5:$C$204,$A24,'架電リスト'!$J$5:$J$204,"不在・折返し待ち")</f>
        <v/>
      </c>
      <c r="F24" s="16">
        <f>COUNTIFS('架電リスト'!$C$5:$C$204,$A24,'架電リスト'!$J$5:$J$204,"担当者不在")</f>
        <v/>
      </c>
      <c r="G24" s="16">
        <f>COUNTIFS('架電リスト'!$C$5:$C$204,$A24,'架電リスト'!$J$5:$J$204,"資料送付")</f>
        <v/>
      </c>
      <c r="H24" s="16">
        <f>COUNTIFS('架電リスト'!$C$5:$C$204,$A24,'架電リスト'!$J$5:$J$204,"アポ獲得")</f>
        <v/>
      </c>
      <c r="I24" s="16">
        <f>COUNTIFS('架電リスト'!$C$5:$C$204,$A24,'架電リスト'!$J$5:$J$204,"検討中")</f>
        <v/>
      </c>
      <c r="J24" s="16">
        <f>COUNTIFS('架電リスト'!$C$5:$C$204,$A24,'架電リスト'!$J$5:$J$204,"NG")</f>
        <v/>
      </c>
      <c r="K24" s="16">
        <f>COUNTIFS('架電リスト'!$C$5:$C$204,$A24,'架電リスト'!$J$5:$J$204,"番号不明")</f>
        <v/>
      </c>
    </row>
    <row r="25">
      <c r="A25" s="16" t="inlineStr">
        <is>
          <t>調布市</t>
        </is>
      </c>
      <c r="B25" s="16">
        <f>COUNTIF('架電リスト'!$C$5:$C$204,A25)</f>
        <v/>
      </c>
      <c r="C25" s="16">
        <f>COUNTIFS('架電リスト'!$C$5:$C$204,A25,'架電リスト'!$E$5:$E$204,"&lt;&gt;")</f>
        <v/>
      </c>
      <c r="D25" s="16">
        <f>B25-COUNTIFS('架電リスト'!$C$5:$C$204,A25,'架電リスト'!$J$5:$J$204,"未架電")-COUNTIFS('架電リスト'!$C$5:$C$204,A25,'架電リスト'!$J$5:$J$204,"")</f>
        <v/>
      </c>
      <c r="E25" s="16">
        <f>COUNTIFS('架電リスト'!$C$5:$C$204,$A25,'架電リスト'!$J$5:$J$204,"不在・折返し待ち")</f>
        <v/>
      </c>
      <c r="F25" s="16">
        <f>COUNTIFS('架電リスト'!$C$5:$C$204,$A25,'架電リスト'!$J$5:$J$204,"担当者不在")</f>
        <v/>
      </c>
      <c r="G25" s="16">
        <f>COUNTIFS('架電リスト'!$C$5:$C$204,$A25,'架電リスト'!$J$5:$J$204,"資料送付")</f>
        <v/>
      </c>
      <c r="H25" s="16">
        <f>COUNTIFS('架電リスト'!$C$5:$C$204,$A25,'架電リスト'!$J$5:$J$204,"アポ獲得")</f>
        <v/>
      </c>
      <c r="I25" s="16">
        <f>COUNTIFS('架電リスト'!$C$5:$C$204,$A25,'架電リスト'!$J$5:$J$204,"検討中")</f>
        <v/>
      </c>
      <c r="J25" s="16">
        <f>COUNTIFS('架電リスト'!$C$5:$C$204,$A25,'架電リスト'!$J$5:$J$204,"NG")</f>
        <v/>
      </c>
      <c r="K25" s="16">
        <f>COUNTIFS('架電リスト'!$C$5:$C$204,$A25,'架電リスト'!$J$5:$J$204,"番号不明")</f>
        <v/>
      </c>
    </row>
    <row r="26">
      <c r="A26" s="16" t="inlineStr">
        <is>
          <t>小金井市</t>
        </is>
      </c>
      <c r="B26" s="16">
        <f>COUNTIF('架電リスト'!$C$5:$C$204,A26)</f>
        <v/>
      </c>
      <c r="C26" s="16">
        <f>COUNTIFS('架電リスト'!$C$5:$C$204,A26,'架電リスト'!$E$5:$E$204,"&lt;&gt;")</f>
        <v/>
      </c>
      <c r="D26" s="16">
        <f>B26-COUNTIFS('架電リスト'!$C$5:$C$204,A26,'架電リスト'!$J$5:$J$204,"未架電")-COUNTIFS('架電リスト'!$C$5:$C$204,A26,'架電リスト'!$J$5:$J$204,"")</f>
        <v/>
      </c>
      <c r="E26" s="16">
        <f>COUNTIFS('架電リスト'!$C$5:$C$204,$A26,'架電リスト'!$J$5:$J$204,"不在・折返し待ち")</f>
        <v/>
      </c>
      <c r="F26" s="16">
        <f>COUNTIFS('架電リスト'!$C$5:$C$204,$A26,'架電リスト'!$J$5:$J$204,"担当者不在")</f>
        <v/>
      </c>
      <c r="G26" s="16">
        <f>COUNTIFS('架電リスト'!$C$5:$C$204,$A26,'架電リスト'!$J$5:$J$204,"資料送付")</f>
        <v/>
      </c>
      <c r="H26" s="16">
        <f>COUNTIFS('架電リスト'!$C$5:$C$204,$A26,'架電リスト'!$J$5:$J$204,"アポ獲得")</f>
        <v/>
      </c>
      <c r="I26" s="16">
        <f>COUNTIFS('架電リスト'!$C$5:$C$204,$A26,'架電リスト'!$J$5:$J$204,"検討中")</f>
        <v/>
      </c>
      <c r="J26" s="16">
        <f>COUNTIFS('架電リスト'!$C$5:$C$204,$A26,'架電リスト'!$J$5:$J$204,"NG")</f>
        <v/>
      </c>
      <c r="K26" s="16">
        <f>COUNTIFS('架電リスト'!$C$5:$C$204,$A26,'架電リスト'!$J$5:$J$204,"番号不明")</f>
        <v/>
      </c>
    </row>
    <row r="27">
      <c r="A27" s="16" t="inlineStr">
        <is>
          <t>足立区</t>
        </is>
      </c>
      <c r="B27" s="16">
        <f>COUNTIF('架電リスト'!$C$5:$C$204,A27)</f>
        <v/>
      </c>
      <c r="C27" s="16">
        <f>COUNTIFS('架電リスト'!$C$5:$C$204,A27,'架電リスト'!$E$5:$E$204,"&lt;&gt;")</f>
        <v/>
      </c>
      <c r="D27" s="16">
        <f>B27-COUNTIFS('架電リスト'!$C$5:$C$204,A27,'架電リスト'!$J$5:$J$204,"未架電")-COUNTIFS('架電リスト'!$C$5:$C$204,A27,'架電リスト'!$J$5:$J$204,"")</f>
        <v/>
      </c>
      <c r="E27" s="16">
        <f>COUNTIFS('架電リスト'!$C$5:$C$204,$A27,'架電リスト'!$J$5:$J$204,"不在・折返し待ち")</f>
        <v/>
      </c>
      <c r="F27" s="16">
        <f>COUNTIFS('架電リスト'!$C$5:$C$204,$A27,'架電リスト'!$J$5:$J$204,"担当者不在")</f>
        <v/>
      </c>
      <c r="G27" s="16">
        <f>COUNTIFS('架電リスト'!$C$5:$C$204,$A27,'架電リスト'!$J$5:$J$204,"資料送付")</f>
        <v/>
      </c>
      <c r="H27" s="16">
        <f>COUNTIFS('架電リスト'!$C$5:$C$204,$A27,'架電リスト'!$J$5:$J$204,"アポ獲得")</f>
        <v/>
      </c>
      <c r="I27" s="16">
        <f>COUNTIFS('架電リスト'!$C$5:$C$204,$A27,'架電リスト'!$J$5:$J$204,"検討中")</f>
        <v/>
      </c>
      <c r="J27" s="16">
        <f>COUNTIFS('架電リスト'!$C$5:$C$204,$A27,'架電リスト'!$J$5:$J$204,"NG")</f>
        <v/>
      </c>
      <c r="K27" s="16">
        <f>COUNTIFS('架電リスト'!$C$5:$C$204,$A27,'架電リスト'!$J$5:$J$204,"番号不明")</f>
        <v/>
      </c>
    </row>
    <row r="28">
      <c r="A28" s="16" t="inlineStr">
        <is>
          <t>台東区</t>
        </is>
      </c>
      <c r="B28" s="16">
        <f>COUNTIF('架電リスト'!$C$5:$C$204,A28)</f>
        <v/>
      </c>
      <c r="C28" s="16">
        <f>COUNTIFS('架電リスト'!$C$5:$C$204,A28,'架電リスト'!$E$5:$E$204,"&lt;&gt;")</f>
        <v/>
      </c>
      <c r="D28" s="16">
        <f>B28-COUNTIFS('架電リスト'!$C$5:$C$204,A28,'架電リスト'!$J$5:$J$204,"未架電")-COUNTIFS('架電リスト'!$C$5:$C$204,A28,'架電リスト'!$J$5:$J$204,"")</f>
        <v/>
      </c>
      <c r="E28" s="16">
        <f>COUNTIFS('架電リスト'!$C$5:$C$204,$A28,'架電リスト'!$J$5:$J$204,"不在・折返し待ち")</f>
        <v/>
      </c>
      <c r="F28" s="16">
        <f>COUNTIFS('架電リスト'!$C$5:$C$204,$A28,'架電リスト'!$J$5:$J$204,"担当者不在")</f>
        <v/>
      </c>
      <c r="G28" s="16">
        <f>COUNTIFS('架電リスト'!$C$5:$C$204,$A28,'架電リスト'!$J$5:$J$204,"資料送付")</f>
        <v/>
      </c>
      <c r="H28" s="16">
        <f>COUNTIFS('架電リスト'!$C$5:$C$204,$A28,'架電リスト'!$J$5:$J$204,"アポ獲得")</f>
        <v/>
      </c>
      <c r="I28" s="16">
        <f>COUNTIFS('架電リスト'!$C$5:$C$204,$A28,'架電リスト'!$J$5:$J$204,"検討中")</f>
        <v/>
      </c>
      <c r="J28" s="16">
        <f>COUNTIFS('架電リスト'!$C$5:$C$204,$A28,'架電リスト'!$J$5:$J$204,"NG")</f>
        <v/>
      </c>
      <c r="K28" s="16">
        <f>COUNTIFS('架電リスト'!$C$5:$C$204,$A28,'架電リスト'!$J$5:$J$204,"番号不明")</f>
        <v/>
      </c>
    </row>
    <row r="29">
      <c r="A29" s="16" t="inlineStr">
        <is>
          <t>練馬区</t>
        </is>
      </c>
      <c r="B29" s="16">
        <f>COUNTIF('架電リスト'!$C$5:$C$204,A29)</f>
        <v/>
      </c>
      <c r="C29" s="16">
        <f>COUNTIFS('架電リスト'!$C$5:$C$204,A29,'架電リスト'!$E$5:$E$204,"&lt;&gt;")</f>
        <v/>
      </c>
      <c r="D29" s="16">
        <f>B29-COUNTIFS('架電リスト'!$C$5:$C$204,A29,'架電リスト'!$J$5:$J$204,"未架電")-COUNTIFS('架電リスト'!$C$5:$C$204,A29,'架電リスト'!$J$5:$J$204,"")</f>
        <v/>
      </c>
      <c r="E29" s="16">
        <f>COUNTIFS('架電リスト'!$C$5:$C$204,$A29,'架電リスト'!$J$5:$J$204,"不在・折返し待ち")</f>
        <v/>
      </c>
      <c r="F29" s="16">
        <f>COUNTIFS('架電リスト'!$C$5:$C$204,$A29,'架電リスト'!$J$5:$J$204,"担当者不在")</f>
        <v/>
      </c>
      <c r="G29" s="16">
        <f>COUNTIFS('架電リスト'!$C$5:$C$204,$A29,'架電リスト'!$J$5:$J$204,"資料送付")</f>
        <v/>
      </c>
      <c r="H29" s="16">
        <f>COUNTIFS('架電リスト'!$C$5:$C$204,$A29,'架電リスト'!$J$5:$J$204,"アポ獲得")</f>
        <v/>
      </c>
      <c r="I29" s="16">
        <f>COUNTIFS('架電リスト'!$C$5:$C$204,$A29,'架電リスト'!$J$5:$J$204,"検討中")</f>
        <v/>
      </c>
      <c r="J29" s="16">
        <f>COUNTIFS('架電リスト'!$C$5:$C$204,$A29,'架電リスト'!$J$5:$J$204,"NG")</f>
        <v/>
      </c>
      <c r="K29" s="16">
        <f>COUNTIFS('架電リスト'!$C$5:$C$204,$A29,'架電リスト'!$J$5:$J$204,"番号不明")</f>
        <v/>
      </c>
    </row>
    <row r="30">
      <c r="A30" s="16" t="inlineStr">
        <is>
          <t>多摩市</t>
        </is>
      </c>
      <c r="B30" s="16">
        <f>COUNTIF('架電リスト'!$C$5:$C$204,A30)</f>
        <v/>
      </c>
      <c r="C30" s="16">
        <f>COUNTIFS('架電リスト'!$C$5:$C$204,A30,'架電リスト'!$E$5:$E$204,"&lt;&gt;")</f>
        <v/>
      </c>
      <c r="D30" s="16">
        <f>B30-COUNTIFS('架電リスト'!$C$5:$C$204,A30,'架電リスト'!$J$5:$J$204,"未架電")-COUNTIFS('架電リスト'!$C$5:$C$204,A30,'架電リスト'!$J$5:$J$204,"")</f>
        <v/>
      </c>
      <c r="E30" s="16">
        <f>COUNTIFS('架電リスト'!$C$5:$C$204,$A30,'架電リスト'!$J$5:$J$204,"不在・折返し待ち")</f>
        <v/>
      </c>
      <c r="F30" s="16">
        <f>COUNTIFS('架電リスト'!$C$5:$C$204,$A30,'架電リスト'!$J$5:$J$204,"担当者不在")</f>
        <v/>
      </c>
      <c r="G30" s="16">
        <f>COUNTIFS('架電リスト'!$C$5:$C$204,$A30,'架電リスト'!$J$5:$J$204,"資料送付")</f>
        <v/>
      </c>
      <c r="H30" s="16">
        <f>COUNTIFS('架電リスト'!$C$5:$C$204,$A30,'架電リスト'!$J$5:$J$204,"アポ獲得")</f>
        <v/>
      </c>
      <c r="I30" s="16">
        <f>COUNTIFS('架電リスト'!$C$5:$C$204,$A30,'架電リスト'!$J$5:$J$204,"検討中")</f>
        <v/>
      </c>
      <c r="J30" s="16">
        <f>COUNTIFS('架電リスト'!$C$5:$C$204,$A30,'架電リスト'!$J$5:$J$204,"NG")</f>
        <v/>
      </c>
      <c r="K30" s="16">
        <f>COUNTIFS('架電リスト'!$C$5:$C$204,$A30,'架電リスト'!$J$5:$J$204,"番号不明")</f>
        <v/>
      </c>
    </row>
    <row r="31">
      <c r="A31" s="16" t="inlineStr">
        <is>
          <t>荒川区</t>
        </is>
      </c>
      <c r="B31" s="16">
        <f>COUNTIF('架電リスト'!$C$5:$C$204,A31)</f>
        <v/>
      </c>
      <c r="C31" s="16">
        <f>COUNTIFS('架電リスト'!$C$5:$C$204,A31,'架電リスト'!$E$5:$E$204,"&lt;&gt;")</f>
        <v/>
      </c>
      <c r="D31" s="16">
        <f>B31-COUNTIFS('架電リスト'!$C$5:$C$204,A31,'架電リスト'!$J$5:$J$204,"未架電")-COUNTIFS('架電リスト'!$C$5:$C$204,A31,'架電リスト'!$J$5:$J$204,"")</f>
        <v/>
      </c>
      <c r="E31" s="16">
        <f>COUNTIFS('架電リスト'!$C$5:$C$204,$A31,'架電リスト'!$J$5:$J$204,"不在・折返し待ち")</f>
        <v/>
      </c>
      <c r="F31" s="16">
        <f>COUNTIFS('架電リスト'!$C$5:$C$204,$A31,'架電リスト'!$J$5:$J$204,"担当者不在")</f>
        <v/>
      </c>
      <c r="G31" s="16">
        <f>COUNTIFS('架電リスト'!$C$5:$C$204,$A31,'架電リスト'!$J$5:$J$204,"資料送付")</f>
        <v/>
      </c>
      <c r="H31" s="16">
        <f>COUNTIFS('架電リスト'!$C$5:$C$204,$A31,'架電リスト'!$J$5:$J$204,"アポ獲得")</f>
        <v/>
      </c>
      <c r="I31" s="16">
        <f>COUNTIFS('架電リスト'!$C$5:$C$204,$A31,'架電リスト'!$J$5:$J$204,"検討中")</f>
        <v/>
      </c>
      <c r="J31" s="16">
        <f>COUNTIFS('架電リスト'!$C$5:$C$204,$A31,'架電リスト'!$J$5:$J$204,"NG")</f>
        <v/>
      </c>
      <c r="K31" s="16">
        <f>COUNTIFS('架電リスト'!$C$5:$C$204,$A31,'架電リスト'!$J$5:$J$204,"番号不明")</f>
        <v/>
      </c>
    </row>
    <row r="32">
      <c r="A32" s="16" t="inlineStr">
        <is>
          <t>葛飾区</t>
        </is>
      </c>
      <c r="B32" s="16">
        <f>COUNTIF('架電リスト'!$C$5:$C$204,A32)</f>
        <v/>
      </c>
      <c r="C32" s="16">
        <f>COUNTIFS('架電リスト'!$C$5:$C$204,A32,'架電リスト'!$E$5:$E$204,"&lt;&gt;")</f>
        <v/>
      </c>
      <c r="D32" s="16">
        <f>B32-COUNTIFS('架電リスト'!$C$5:$C$204,A32,'架電リスト'!$J$5:$J$204,"未架電")-COUNTIFS('架電リスト'!$C$5:$C$204,A32,'架電リスト'!$J$5:$J$204,"")</f>
        <v/>
      </c>
      <c r="E32" s="16">
        <f>COUNTIFS('架電リスト'!$C$5:$C$204,$A32,'架電リスト'!$J$5:$J$204,"不在・折返し待ち")</f>
        <v/>
      </c>
      <c r="F32" s="16">
        <f>COUNTIFS('架電リスト'!$C$5:$C$204,$A32,'架電リスト'!$J$5:$J$204,"担当者不在")</f>
        <v/>
      </c>
      <c r="G32" s="16">
        <f>COUNTIFS('架電リスト'!$C$5:$C$204,$A32,'架電リスト'!$J$5:$J$204,"資料送付")</f>
        <v/>
      </c>
      <c r="H32" s="16">
        <f>COUNTIFS('架電リスト'!$C$5:$C$204,$A32,'架電リスト'!$J$5:$J$204,"アポ獲得")</f>
        <v/>
      </c>
      <c r="I32" s="16">
        <f>COUNTIFS('架電リスト'!$C$5:$C$204,$A32,'架電リスト'!$J$5:$J$204,"検討中")</f>
        <v/>
      </c>
      <c r="J32" s="16">
        <f>COUNTIFS('架電リスト'!$C$5:$C$204,$A32,'架電リスト'!$J$5:$J$204,"NG")</f>
        <v/>
      </c>
      <c r="K32" s="16">
        <f>COUNTIFS('架電リスト'!$C$5:$C$204,$A32,'架電リスト'!$J$5:$J$204,"番号不明")</f>
        <v/>
      </c>
    </row>
    <row r="33">
      <c r="A33" s="16" t="inlineStr">
        <is>
          <t>立川市</t>
        </is>
      </c>
      <c r="B33" s="16">
        <f>COUNTIF('架電リスト'!$C$5:$C$204,A33)</f>
        <v/>
      </c>
      <c r="C33" s="16">
        <f>COUNTIFS('架電リスト'!$C$5:$C$204,A33,'架電リスト'!$E$5:$E$204,"&lt;&gt;")</f>
        <v/>
      </c>
      <c r="D33" s="16">
        <f>B33-COUNTIFS('架電リスト'!$C$5:$C$204,A33,'架電リスト'!$J$5:$J$204,"未架電")-COUNTIFS('架電リスト'!$C$5:$C$204,A33,'架電リスト'!$J$5:$J$204,"")</f>
        <v/>
      </c>
      <c r="E33" s="16">
        <f>COUNTIFS('架電リスト'!$C$5:$C$204,$A33,'架電リスト'!$J$5:$J$204,"不在・折返し待ち")</f>
        <v/>
      </c>
      <c r="F33" s="16">
        <f>COUNTIFS('架電リスト'!$C$5:$C$204,$A33,'架電リスト'!$J$5:$J$204,"担当者不在")</f>
        <v/>
      </c>
      <c r="G33" s="16">
        <f>COUNTIFS('架電リスト'!$C$5:$C$204,$A33,'架電リスト'!$J$5:$J$204,"資料送付")</f>
        <v/>
      </c>
      <c r="H33" s="16">
        <f>COUNTIFS('架電リスト'!$C$5:$C$204,$A33,'架電リスト'!$J$5:$J$204,"アポ獲得")</f>
        <v/>
      </c>
      <c r="I33" s="16">
        <f>COUNTIFS('架電リスト'!$C$5:$C$204,$A33,'架電リスト'!$J$5:$J$204,"検討中")</f>
        <v/>
      </c>
      <c r="J33" s="16">
        <f>COUNTIFS('架電リスト'!$C$5:$C$204,$A33,'架電リスト'!$J$5:$J$204,"NG")</f>
        <v/>
      </c>
      <c r="K33" s="16">
        <f>COUNTIFS('架電リスト'!$C$5:$C$204,$A33,'架電リスト'!$J$5:$J$204,"番号不明")</f>
        <v/>
      </c>
    </row>
    <row r="34">
      <c r="A34" s="16" t="inlineStr">
        <is>
          <t>中央区</t>
        </is>
      </c>
      <c r="B34" s="16">
        <f>COUNTIF('架電リスト'!$C$5:$C$204,A34)</f>
        <v/>
      </c>
      <c r="C34" s="16">
        <f>COUNTIFS('架電リスト'!$C$5:$C$204,A34,'架電リスト'!$E$5:$E$204,"&lt;&gt;")</f>
        <v/>
      </c>
      <c r="D34" s="16">
        <f>B34-COUNTIFS('架電リスト'!$C$5:$C$204,A34,'架電リスト'!$J$5:$J$204,"未架電")-COUNTIFS('架電リスト'!$C$5:$C$204,A34,'架電リスト'!$J$5:$J$204,"")</f>
        <v/>
      </c>
      <c r="E34" s="16">
        <f>COUNTIFS('架電リスト'!$C$5:$C$204,$A34,'架電リスト'!$J$5:$J$204,"不在・折返し待ち")</f>
        <v/>
      </c>
      <c r="F34" s="16">
        <f>COUNTIFS('架電リスト'!$C$5:$C$204,$A34,'架電リスト'!$J$5:$J$204,"担当者不在")</f>
        <v/>
      </c>
      <c r="G34" s="16">
        <f>COUNTIFS('架電リスト'!$C$5:$C$204,$A34,'架電リスト'!$J$5:$J$204,"資料送付")</f>
        <v/>
      </c>
      <c r="H34" s="16">
        <f>COUNTIFS('架電リスト'!$C$5:$C$204,$A34,'架電リスト'!$J$5:$J$204,"アポ獲得")</f>
        <v/>
      </c>
      <c r="I34" s="16">
        <f>COUNTIFS('架電リスト'!$C$5:$C$204,$A34,'架電リスト'!$J$5:$J$204,"検討中")</f>
        <v/>
      </c>
      <c r="J34" s="16">
        <f>COUNTIFS('架電リスト'!$C$5:$C$204,$A34,'架電リスト'!$J$5:$J$204,"NG")</f>
        <v/>
      </c>
      <c r="K34" s="16">
        <f>COUNTIFS('架電リスト'!$C$5:$C$204,$A34,'架電リスト'!$J$5:$J$204,"番号不明")</f>
        <v/>
      </c>
    </row>
    <row r="35">
      <c r="A35" s="16" t="inlineStr">
        <is>
          <t>昭島市</t>
        </is>
      </c>
      <c r="B35" s="16">
        <f>COUNTIF('架電リスト'!$C$5:$C$204,A35)</f>
        <v/>
      </c>
      <c r="C35" s="16">
        <f>COUNTIFS('架電リスト'!$C$5:$C$204,A35,'架電リスト'!$E$5:$E$204,"&lt;&gt;")</f>
        <v/>
      </c>
      <c r="D35" s="16">
        <f>B35-COUNTIFS('架電リスト'!$C$5:$C$204,A35,'架電リスト'!$J$5:$J$204,"未架電")-COUNTIFS('架電リスト'!$C$5:$C$204,A35,'架電リスト'!$J$5:$J$204,"")</f>
        <v/>
      </c>
      <c r="E35" s="16">
        <f>COUNTIFS('架電リスト'!$C$5:$C$204,$A35,'架電リスト'!$J$5:$J$204,"不在・折返し待ち")</f>
        <v/>
      </c>
      <c r="F35" s="16">
        <f>COUNTIFS('架電リスト'!$C$5:$C$204,$A35,'架電リスト'!$J$5:$J$204,"担当者不在")</f>
        <v/>
      </c>
      <c r="G35" s="16">
        <f>COUNTIFS('架電リスト'!$C$5:$C$204,$A35,'架電リスト'!$J$5:$J$204,"資料送付")</f>
        <v/>
      </c>
      <c r="H35" s="16">
        <f>COUNTIFS('架電リスト'!$C$5:$C$204,$A35,'架電リスト'!$J$5:$J$204,"アポ獲得")</f>
        <v/>
      </c>
      <c r="I35" s="16">
        <f>COUNTIFS('架電リスト'!$C$5:$C$204,$A35,'架電リスト'!$J$5:$J$204,"検討中")</f>
        <v/>
      </c>
      <c r="J35" s="16">
        <f>COUNTIFS('架電リスト'!$C$5:$C$204,$A35,'架電リスト'!$J$5:$J$204,"NG")</f>
        <v/>
      </c>
      <c r="K35" s="16">
        <f>COUNTIFS('架電リスト'!$C$5:$C$204,$A35,'架電リスト'!$J$5:$J$204,"番号不明")</f>
        <v/>
      </c>
    </row>
    <row r="36">
      <c r="A36" s="16" t="inlineStr">
        <is>
          <t>稲城市</t>
        </is>
      </c>
      <c r="B36" s="16">
        <f>COUNTIF('架電リスト'!$C$5:$C$204,A36)</f>
        <v/>
      </c>
      <c r="C36" s="16">
        <f>COUNTIFS('架電リスト'!$C$5:$C$204,A36,'架電リスト'!$E$5:$E$204,"&lt;&gt;")</f>
        <v/>
      </c>
      <c r="D36" s="16">
        <f>B36-COUNTIFS('架電リスト'!$C$5:$C$204,A36,'架電リスト'!$J$5:$J$204,"未架電")-COUNTIFS('架電リスト'!$C$5:$C$204,A36,'架電リスト'!$J$5:$J$204,"")</f>
        <v/>
      </c>
      <c r="E36" s="16">
        <f>COUNTIFS('架電リスト'!$C$5:$C$204,$A36,'架電リスト'!$J$5:$J$204,"不在・折返し待ち")</f>
        <v/>
      </c>
      <c r="F36" s="16">
        <f>COUNTIFS('架電リスト'!$C$5:$C$204,$A36,'架電リスト'!$J$5:$J$204,"担当者不在")</f>
        <v/>
      </c>
      <c r="G36" s="16">
        <f>COUNTIFS('架電リスト'!$C$5:$C$204,$A36,'架電リスト'!$J$5:$J$204,"資料送付")</f>
        <v/>
      </c>
      <c r="H36" s="16">
        <f>COUNTIFS('架電リスト'!$C$5:$C$204,$A36,'架電リスト'!$J$5:$J$204,"アポ獲得")</f>
        <v/>
      </c>
      <c r="I36" s="16">
        <f>COUNTIFS('架電リスト'!$C$5:$C$204,$A36,'架電リスト'!$J$5:$J$204,"検討中")</f>
        <v/>
      </c>
      <c r="J36" s="16">
        <f>COUNTIFS('架電リスト'!$C$5:$C$204,$A36,'架電リスト'!$J$5:$J$204,"NG")</f>
        <v/>
      </c>
      <c r="K36" s="16">
        <f>COUNTIFS('架電リスト'!$C$5:$C$204,$A36,'架電リスト'!$J$5:$J$204,"番号不明")</f>
        <v/>
      </c>
    </row>
    <row r="37">
      <c r="A37" s="16" t="inlineStr">
        <is>
          <t>東久留米市</t>
        </is>
      </c>
      <c r="B37" s="16">
        <f>COUNTIF('架電リスト'!$C$5:$C$204,A37)</f>
        <v/>
      </c>
      <c r="C37" s="16">
        <f>COUNTIFS('架電リスト'!$C$5:$C$204,A37,'架電リスト'!$E$5:$E$204,"&lt;&gt;")</f>
        <v/>
      </c>
      <c r="D37" s="16">
        <f>B37-COUNTIFS('架電リスト'!$C$5:$C$204,A37,'架電リスト'!$J$5:$J$204,"未架電")-COUNTIFS('架電リスト'!$C$5:$C$204,A37,'架電リスト'!$J$5:$J$204,"")</f>
        <v/>
      </c>
      <c r="E37" s="16">
        <f>COUNTIFS('架電リスト'!$C$5:$C$204,$A37,'架電リスト'!$J$5:$J$204,"不在・折返し待ち")</f>
        <v/>
      </c>
      <c r="F37" s="16">
        <f>COUNTIFS('架電リスト'!$C$5:$C$204,$A37,'架電リスト'!$J$5:$J$204,"担当者不在")</f>
        <v/>
      </c>
      <c r="G37" s="16">
        <f>COUNTIFS('架電リスト'!$C$5:$C$204,$A37,'架電リスト'!$J$5:$J$204,"資料送付")</f>
        <v/>
      </c>
      <c r="H37" s="16">
        <f>COUNTIFS('架電リスト'!$C$5:$C$204,$A37,'架電リスト'!$J$5:$J$204,"アポ獲得")</f>
        <v/>
      </c>
      <c r="I37" s="16">
        <f>COUNTIFS('架電リスト'!$C$5:$C$204,$A37,'架電リスト'!$J$5:$J$204,"検討中")</f>
        <v/>
      </c>
      <c r="J37" s="16">
        <f>COUNTIFS('架電リスト'!$C$5:$C$204,$A37,'架電リスト'!$J$5:$J$204,"NG")</f>
        <v/>
      </c>
      <c r="K37" s="16">
        <f>COUNTIFS('架電リスト'!$C$5:$C$204,$A37,'架電リスト'!$J$5:$J$204,"番号不明")</f>
        <v/>
      </c>
    </row>
    <row r="38">
      <c r="A38" s="16" t="inlineStr">
        <is>
          <t>三鷹市</t>
        </is>
      </c>
      <c r="B38" s="16">
        <f>COUNTIF('架電リスト'!$C$5:$C$204,A38)</f>
        <v/>
      </c>
      <c r="C38" s="16">
        <f>COUNTIFS('架電リスト'!$C$5:$C$204,A38,'架電リスト'!$E$5:$E$204,"&lt;&gt;")</f>
        <v/>
      </c>
      <c r="D38" s="16">
        <f>B38-COUNTIFS('架電リスト'!$C$5:$C$204,A38,'架電リスト'!$J$5:$J$204,"未架電")-COUNTIFS('架電リスト'!$C$5:$C$204,A38,'架電リスト'!$J$5:$J$204,"")</f>
        <v/>
      </c>
      <c r="E38" s="16">
        <f>COUNTIFS('架電リスト'!$C$5:$C$204,$A38,'架電リスト'!$J$5:$J$204,"不在・折返し待ち")</f>
        <v/>
      </c>
      <c r="F38" s="16">
        <f>COUNTIFS('架電リスト'!$C$5:$C$204,$A38,'架電リスト'!$J$5:$J$204,"担当者不在")</f>
        <v/>
      </c>
      <c r="G38" s="16">
        <f>COUNTIFS('架電リスト'!$C$5:$C$204,$A38,'架電リスト'!$J$5:$J$204,"資料送付")</f>
        <v/>
      </c>
      <c r="H38" s="16">
        <f>COUNTIFS('架電リスト'!$C$5:$C$204,$A38,'架電リスト'!$J$5:$J$204,"アポ獲得")</f>
        <v/>
      </c>
      <c r="I38" s="16">
        <f>COUNTIFS('架電リスト'!$C$5:$C$204,$A38,'架電リスト'!$J$5:$J$204,"検討中")</f>
        <v/>
      </c>
      <c r="J38" s="16">
        <f>COUNTIFS('架電リスト'!$C$5:$C$204,$A38,'架電リスト'!$J$5:$J$204,"NG")</f>
        <v/>
      </c>
      <c r="K38" s="16">
        <f>COUNTIFS('架電リスト'!$C$5:$C$204,$A38,'架電リスト'!$J$5:$J$204,"番号不明")</f>
        <v/>
      </c>
    </row>
    <row r="39">
      <c r="A39" s="16" t="inlineStr">
        <is>
          <t>武蔵村山市</t>
        </is>
      </c>
      <c r="B39" s="16">
        <f>COUNTIF('架電リスト'!$C$5:$C$204,A39)</f>
        <v/>
      </c>
      <c r="C39" s="16">
        <f>COUNTIFS('架電リスト'!$C$5:$C$204,A39,'架電リスト'!$E$5:$E$204,"&lt;&gt;")</f>
        <v/>
      </c>
      <c r="D39" s="16">
        <f>B39-COUNTIFS('架電リスト'!$C$5:$C$204,A39,'架電リスト'!$J$5:$J$204,"未架電")-COUNTIFS('架電リスト'!$C$5:$C$204,A39,'架電リスト'!$J$5:$J$204,"")</f>
        <v/>
      </c>
      <c r="E39" s="16">
        <f>COUNTIFS('架電リスト'!$C$5:$C$204,$A39,'架電リスト'!$J$5:$J$204,"不在・折返し待ち")</f>
        <v/>
      </c>
      <c r="F39" s="16">
        <f>COUNTIFS('架電リスト'!$C$5:$C$204,$A39,'架電リスト'!$J$5:$J$204,"担当者不在")</f>
        <v/>
      </c>
      <c r="G39" s="16">
        <f>COUNTIFS('架電リスト'!$C$5:$C$204,$A39,'架電リスト'!$J$5:$J$204,"資料送付")</f>
        <v/>
      </c>
      <c r="H39" s="16">
        <f>COUNTIFS('架電リスト'!$C$5:$C$204,$A39,'架電リスト'!$J$5:$J$204,"アポ獲得")</f>
        <v/>
      </c>
      <c r="I39" s="16">
        <f>COUNTIFS('架電リスト'!$C$5:$C$204,$A39,'架電リスト'!$J$5:$J$204,"検討中")</f>
        <v/>
      </c>
      <c r="J39" s="16">
        <f>COUNTIFS('架電リスト'!$C$5:$C$204,$A39,'架電リスト'!$J$5:$J$204,"NG")</f>
        <v/>
      </c>
      <c r="K39" s="16">
        <f>COUNTIFS('架電リスト'!$C$5:$C$204,$A39,'架電リスト'!$J$5:$J$204,"番号不明")</f>
        <v/>
      </c>
    </row>
    <row r="40">
      <c r="A40" s="16" t="inlineStr">
        <is>
          <t>あきる野市</t>
        </is>
      </c>
      <c r="B40" s="16">
        <f>COUNTIF('架電リスト'!$C$5:$C$204,A40)</f>
        <v/>
      </c>
      <c r="C40" s="16">
        <f>COUNTIFS('架電リスト'!$C$5:$C$204,A40,'架電リスト'!$E$5:$E$204,"&lt;&gt;")</f>
        <v/>
      </c>
      <c r="D40" s="16">
        <f>B40-COUNTIFS('架電リスト'!$C$5:$C$204,A40,'架電リスト'!$J$5:$J$204,"未架電")-COUNTIFS('架電リスト'!$C$5:$C$204,A40,'架電リスト'!$J$5:$J$204,"")</f>
        <v/>
      </c>
      <c r="E40" s="16">
        <f>COUNTIFS('架電リスト'!$C$5:$C$204,$A40,'架電リスト'!$J$5:$J$204,"不在・折返し待ち")</f>
        <v/>
      </c>
      <c r="F40" s="16">
        <f>COUNTIFS('架電リスト'!$C$5:$C$204,$A40,'架電リスト'!$J$5:$J$204,"担当者不在")</f>
        <v/>
      </c>
      <c r="G40" s="16">
        <f>COUNTIFS('架電リスト'!$C$5:$C$204,$A40,'架電リスト'!$J$5:$J$204,"資料送付")</f>
        <v/>
      </c>
      <c r="H40" s="16">
        <f>COUNTIFS('架電リスト'!$C$5:$C$204,$A40,'架電リスト'!$J$5:$J$204,"アポ獲得")</f>
        <v/>
      </c>
      <c r="I40" s="16">
        <f>COUNTIFS('架電リスト'!$C$5:$C$204,$A40,'架電リスト'!$J$5:$J$204,"検討中")</f>
        <v/>
      </c>
      <c r="J40" s="16">
        <f>COUNTIFS('架電リスト'!$C$5:$C$204,$A40,'架電リスト'!$J$5:$J$204,"NG")</f>
        <v/>
      </c>
      <c r="K40" s="16">
        <f>COUNTIFS('架電リスト'!$C$5:$C$204,$A40,'架電リスト'!$J$5:$J$204,"番号不明")</f>
        <v/>
      </c>
    </row>
    <row r="41">
      <c r="A41" s="16" t="inlineStr">
        <is>
          <t>西東京市</t>
        </is>
      </c>
      <c r="B41" s="16">
        <f>COUNTIF('架電リスト'!$C$5:$C$204,A41)</f>
        <v/>
      </c>
      <c r="C41" s="16">
        <f>COUNTIFS('架電リスト'!$C$5:$C$204,A41,'架電リスト'!$E$5:$E$204,"&lt;&gt;")</f>
        <v/>
      </c>
      <c r="D41" s="16">
        <f>B41-COUNTIFS('架電リスト'!$C$5:$C$204,A41,'架電リスト'!$J$5:$J$204,"未架電")-COUNTIFS('架電リスト'!$C$5:$C$204,A41,'架電リスト'!$J$5:$J$204,"")</f>
        <v/>
      </c>
      <c r="E41" s="16">
        <f>COUNTIFS('架電リスト'!$C$5:$C$204,$A41,'架電リスト'!$J$5:$J$204,"不在・折返し待ち")</f>
        <v/>
      </c>
      <c r="F41" s="16">
        <f>COUNTIFS('架電リスト'!$C$5:$C$204,$A41,'架電リスト'!$J$5:$J$204,"担当者不在")</f>
        <v/>
      </c>
      <c r="G41" s="16">
        <f>COUNTIFS('架電リスト'!$C$5:$C$204,$A41,'架電リスト'!$J$5:$J$204,"資料送付")</f>
        <v/>
      </c>
      <c r="H41" s="16">
        <f>COUNTIFS('架電リスト'!$C$5:$C$204,$A41,'架電リスト'!$J$5:$J$204,"アポ獲得")</f>
        <v/>
      </c>
      <c r="I41" s="16">
        <f>COUNTIFS('架電リスト'!$C$5:$C$204,$A41,'架電リスト'!$J$5:$J$204,"検討中")</f>
        <v/>
      </c>
      <c r="J41" s="16">
        <f>COUNTIFS('架電リスト'!$C$5:$C$204,$A41,'架電リスト'!$J$5:$J$204,"NG")</f>
        <v/>
      </c>
      <c r="K41" s="16">
        <f>COUNTIFS('架電リスト'!$C$5:$C$204,$A41,'架電リスト'!$J$5:$J$204,"番号不明")</f>
        <v/>
      </c>
    </row>
    <row r="42">
      <c r="A42" s="16" t="inlineStr">
        <is>
          <t>清瀬市</t>
        </is>
      </c>
      <c r="B42" s="16">
        <f>COUNTIF('架電リスト'!$C$5:$C$204,A42)</f>
        <v/>
      </c>
      <c r="C42" s="16">
        <f>COUNTIFS('架電リスト'!$C$5:$C$204,A42,'架電リスト'!$E$5:$E$204,"&lt;&gt;")</f>
        <v/>
      </c>
      <c r="D42" s="16">
        <f>B42-COUNTIFS('架電リスト'!$C$5:$C$204,A42,'架電リスト'!$J$5:$J$204,"未架電")-COUNTIFS('架電リスト'!$C$5:$C$204,A42,'架電リスト'!$J$5:$J$204,"")</f>
        <v/>
      </c>
      <c r="E42" s="16">
        <f>COUNTIFS('架電リスト'!$C$5:$C$204,$A42,'架電リスト'!$J$5:$J$204,"不在・折返し待ち")</f>
        <v/>
      </c>
      <c r="F42" s="16">
        <f>COUNTIFS('架電リスト'!$C$5:$C$204,$A42,'架電リスト'!$J$5:$J$204,"担当者不在")</f>
        <v/>
      </c>
      <c r="G42" s="16">
        <f>COUNTIFS('架電リスト'!$C$5:$C$204,$A42,'架電リスト'!$J$5:$J$204,"資料送付")</f>
        <v/>
      </c>
      <c r="H42" s="16">
        <f>COUNTIFS('架電リスト'!$C$5:$C$204,$A42,'架電リスト'!$J$5:$J$204,"アポ獲得")</f>
        <v/>
      </c>
      <c r="I42" s="16">
        <f>COUNTIFS('架電リスト'!$C$5:$C$204,$A42,'架電リスト'!$J$5:$J$204,"検討中")</f>
        <v/>
      </c>
      <c r="J42" s="16">
        <f>COUNTIFS('架電リスト'!$C$5:$C$204,$A42,'架電リスト'!$J$5:$J$204,"NG")</f>
        <v/>
      </c>
      <c r="K42" s="16">
        <f>COUNTIFS('架電リスト'!$C$5:$C$204,$A42,'架電リスト'!$J$5:$J$204,"番号不明")</f>
        <v/>
      </c>
    </row>
    <row r="43">
      <c r="A43" s="16" t="inlineStr">
        <is>
          <t>東村山市</t>
        </is>
      </c>
      <c r="B43" s="16">
        <f>COUNTIF('架電リスト'!$C$5:$C$204,A43)</f>
        <v/>
      </c>
      <c r="C43" s="16">
        <f>COUNTIFS('架電リスト'!$C$5:$C$204,A43,'架電リスト'!$E$5:$E$204,"&lt;&gt;")</f>
        <v/>
      </c>
      <c r="D43" s="16">
        <f>B43-COUNTIFS('架電リスト'!$C$5:$C$204,A43,'架電リスト'!$J$5:$J$204,"未架電")-COUNTIFS('架電リスト'!$C$5:$C$204,A43,'架電リスト'!$J$5:$J$204,"")</f>
        <v/>
      </c>
      <c r="E43" s="16">
        <f>COUNTIFS('架電リスト'!$C$5:$C$204,$A43,'架電リスト'!$J$5:$J$204,"不在・折返し待ち")</f>
        <v/>
      </c>
      <c r="F43" s="16">
        <f>COUNTIFS('架電リスト'!$C$5:$C$204,$A43,'架電リスト'!$J$5:$J$204,"担当者不在")</f>
        <v/>
      </c>
      <c r="G43" s="16">
        <f>COUNTIFS('架電リスト'!$C$5:$C$204,$A43,'架電リスト'!$J$5:$J$204,"資料送付")</f>
        <v/>
      </c>
      <c r="H43" s="16">
        <f>COUNTIFS('架電リスト'!$C$5:$C$204,$A43,'架電リスト'!$J$5:$J$204,"アポ獲得")</f>
        <v/>
      </c>
      <c r="I43" s="16">
        <f>COUNTIFS('架電リスト'!$C$5:$C$204,$A43,'架電リスト'!$J$5:$J$204,"検討中")</f>
        <v/>
      </c>
      <c r="J43" s="16">
        <f>COUNTIFS('架電リスト'!$C$5:$C$204,$A43,'架電リスト'!$J$5:$J$204,"NG")</f>
        <v/>
      </c>
      <c r="K43" s="16">
        <f>COUNTIFS('架電リスト'!$C$5:$C$204,$A43,'架電リスト'!$J$5:$J$204,"番号不明")</f>
        <v/>
      </c>
    </row>
    <row r="44">
      <c r="A44" s="16" t="inlineStr">
        <is>
          <t>墨田区</t>
        </is>
      </c>
      <c r="B44" s="16">
        <f>COUNTIF('架電リスト'!$C$5:$C$204,A44)</f>
        <v/>
      </c>
      <c r="C44" s="16">
        <f>COUNTIFS('架電リスト'!$C$5:$C$204,A44,'架電リスト'!$E$5:$E$204,"&lt;&gt;")</f>
        <v/>
      </c>
      <c r="D44" s="16">
        <f>B44-COUNTIFS('架電リスト'!$C$5:$C$204,A44,'架電リスト'!$J$5:$J$204,"未架電")-COUNTIFS('架電リスト'!$C$5:$C$204,A44,'架電リスト'!$J$5:$J$204,"")</f>
        <v/>
      </c>
      <c r="E44" s="16">
        <f>COUNTIFS('架電リスト'!$C$5:$C$204,$A44,'架電リスト'!$J$5:$J$204,"不在・折返し待ち")</f>
        <v/>
      </c>
      <c r="F44" s="16">
        <f>COUNTIFS('架電リスト'!$C$5:$C$204,$A44,'架電リスト'!$J$5:$J$204,"担当者不在")</f>
        <v/>
      </c>
      <c r="G44" s="16">
        <f>COUNTIFS('架電リスト'!$C$5:$C$204,$A44,'架電リスト'!$J$5:$J$204,"資料送付")</f>
        <v/>
      </c>
      <c r="H44" s="16">
        <f>COUNTIFS('架電リスト'!$C$5:$C$204,$A44,'架電リスト'!$J$5:$J$204,"アポ獲得")</f>
        <v/>
      </c>
      <c r="I44" s="16">
        <f>COUNTIFS('架電リスト'!$C$5:$C$204,$A44,'架電リスト'!$J$5:$J$204,"検討中")</f>
        <v/>
      </c>
      <c r="J44" s="16">
        <f>COUNTIFS('架電リスト'!$C$5:$C$204,$A44,'架電リスト'!$J$5:$J$204,"NG")</f>
        <v/>
      </c>
      <c r="K44" s="16">
        <f>COUNTIFS('架電リスト'!$C$5:$C$204,$A44,'架電リスト'!$J$5:$J$204,"番号不明")</f>
        <v/>
      </c>
    </row>
    <row r="45">
      <c r="A45" s="17" t="inlineStr">
        <is>
          <t>合計</t>
        </is>
      </c>
      <c r="B45" s="17">
        <f>SUM(B4:B44)</f>
        <v/>
      </c>
      <c r="C45" s="17">
        <f>SUM(C4:C44)</f>
        <v/>
      </c>
      <c r="D45" s="17">
        <f>SUM(D4:D44)</f>
        <v/>
      </c>
      <c r="E45" s="17">
        <f>SUM(E4:E44)</f>
        <v/>
      </c>
      <c r="F45" s="17">
        <f>SUM(F4:F44)</f>
        <v/>
      </c>
      <c r="G45" s="17">
        <f>SUM(G4:G44)</f>
        <v/>
      </c>
      <c r="H45" s="17">
        <f>SUM(H4:H44)</f>
        <v/>
      </c>
      <c r="I45" s="17">
        <f>SUM(I4:I44)</f>
        <v/>
      </c>
      <c r="J45" s="17">
        <f>SUM(J4:J44)</f>
        <v/>
      </c>
      <c r="K45" s="17">
        <f>SUM(K4:K44)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・出典：ご提供いただいた学校ネットの検索結果（私立高校・東京都、200校）の貼り付けデータ。並び順は都道府県ごとに元データの掲載順です。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2026-10-09T03:13:12Z</dcterms:created>
  <dcterms:modified xsi:type="dcterms:W3CDTF">2026-10-09T03:13:13Z</dcterms:modified>
</cp:coreProperties>
</file>