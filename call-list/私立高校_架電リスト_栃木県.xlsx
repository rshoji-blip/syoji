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'架電リスト'!$A$4:$O$19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1211.html" TargetMode="External" Id="rId1" /><Relationship Type="http://schemas.openxmlformats.org/officeDocument/2006/relationships/hyperlink" Target="https://www.gakkou.net/kou/view/index_301206.html" TargetMode="External" Id="rId2" /><Relationship Type="http://schemas.openxmlformats.org/officeDocument/2006/relationships/hyperlink" Target="https://www.gakkou.net/kou/view/index_301163.html" TargetMode="External" Id="rId3" /><Relationship Type="http://schemas.openxmlformats.org/officeDocument/2006/relationships/hyperlink" Target="https://www.gakkou.net/kou/view/index_301155.html" TargetMode="External" Id="rId4" /><Relationship Type="http://schemas.openxmlformats.org/officeDocument/2006/relationships/hyperlink" Target="https://www.gakkou.net/kou/view/index_301228.html" TargetMode="External" Id="rId5" /><Relationship Type="http://schemas.openxmlformats.org/officeDocument/2006/relationships/hyperlink" Target="https://www.gakkou.net/kou/view/index_306748.html" TargetMode="External" Id="rId6" /><Relationship Type="http://schemas.openxmlformats.org/officeDocument/2006/relationships/hyperlink" Target="https://www.gakkou.net/kou/view/index_301154.html" TargetMode="External" Id="rId7" /><Relationship Type="http://schemas.openxmlformats.org/officeDocument/2006/relationships/hyperlink" Target="https://www.gakkou.net/kou/view/index_301221.html" TargetMode="External" Id="rId8" /><Relationship Type="http://schemas.openxmlformats.org/officeDocument/2006/relationships/hyperlink" Target="https://www.gakkou.net/kou/view/index_301218.html" TargetMode="External" Id="rId9" /><Relationship Type="http://schemas.openxmlformats.org/officeDocument/2006/relationships/hyperlink" Target="https://www.gakkou.net/kou/view/index_301220.html" TargetMode="External" Id="rId10" /><Relationship Type="http://schemas.openxmlformats.org/officeDocument/2006/relationships/hyperlink" Target="https://www.gakkou.net/kou/view/index_301205.html" TargetMode="External" Id="rId11" /><Relationship Type="http://schemas.openxmlformats.org/officeDocument/2006/relationships/hyperlink" Target="https://www.gakkou.net/kou/view/index_306547.html" TargetMode="External" Id="rId12" /><Relationship Type="http://schemas.openxmlformats.org/officeDocument/2006/relationships/hyperlink" Target="https://www.gakkou.net/kou/view/index_301161.html" TargetMode="External" Id="rId13" /><Relationship Type="http://schemas.openxmlformats.org/officeDocument/2006/relationships/hyperlink" Target="https://www.gakkou.net/kou/view/index_301176.html" TargetMode="External" Id="rId14" /><Relationship Type="http://schemas.openxmlformats.org/officeDocument/2006/relationships/hyperlink" Target="https://www.gakkou.net/kou/view/index_301241.html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架電リスト（栃木県／15校）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栃木県</t>
        </is>
      </c>
      <c r="C5" s="5" t="inlineStr">
        <is>
          <t>足利市</t>
        </is>
      </c>
      <c r="D5" s="5" t="inlineStr">
        <is>
          <t>足利短期大学附属高等学校</t>
        </is>
      </c>
      <c r="E5" s="6" t="inlineStr">
        <is>
          <t>0284-21-7344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【校名変更】2025年4月から「足利大学附属女子高等学校」。番号は変更なし。足利大学附属高校（0284-71-1285）とは別の学校</t>
        </is>
      </c>
      <c r="N5" s="11" t="inlineStr">
        <is>
          <t>https://www.minkou.jp/hischool/school/302/ ; https://www.mapion.co.jp/phonebook/M11004/09202/ILSP0000040888_ipclm/</t>
        </is>
      </c>
      <c r="O5" s="12" t="inlineStr">
        <is>
          <t>開く</t>
        </is>
      </c>
    </row>
    <row r="6">
      <c r="A6" s="4" t="n">
        <v>2</v>
      </c>
      <c r="B6" s="5" t="inlineStr">
        <is>
          <t>栃木県</t>
        </is>
      </c>
      <c r="C6" s="5" t="inlineStr">
        <is>
          <t>足利市</t>
        </is>
      </c>
      <c r="D6" s="5" t="inlineStr">
        <is>
          <t>足利大学附属高等学校</t>
        </is>
      </c>
      <c r="E6" s="6" t="inlineStr">
        <is>
          <t>0284-71-1285</t>
        </is>
      </c>
      <c r="F6" s="7" t="inlineStr">
        <is>
          <t>高</t>
        </is>
      </c>
      <c r="G6" s="5" t="inlineStr">
        <is>
          <t>普通科・専門学科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学校情報サイト複数で一致、公式サイトの「代表」表記は未確認</t>
        </is>
      </c>
      <c r="N6" s="11" t="inlineStr">
        <is>
          <t>https://www.minkou.jp/hischool/school/301/ ; https://school.js88.com/scl_h/22002100</t>
        </is>
      </c>
      <c r="O6" s="12" t="inlineStr">
        <is>
          <t>開く</t>
        </is>
      </c>
    </row>
    <row r="7">
      <c r="A7" s="4" t="n">
        <v>3</v>
      </c>
      <c r="B7" s="5" t="inlineStr">
        <is>
          <t>栃木県</t>
        </is>
      </c>
      <c r="C7" s="5" t="inlineStr">
        <is>
          <t>宇都宮市</t>
        </is>
      </c>
      <c r="D7" s="5" t="inlineStr">
        <is>
          <t>宇都宮短期大学附属高等学校</t>
        </is>
      </c>
      <c r="E7" s="6" t="inlineStr">
        <is>
          <t>028-634-4161</t>
        </is>
      </c>
      <c r="F7" s="7" t="inlineStr">
        <is>
          <t>高</t>
        </is>
      </c>
      <c r="G7" s="5" t="inlineStr">
        <is>
          <t>普通科・専門学科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複数の情報源で一致。附属中学校と共通</t>
        </is>
      </c>
      <c r="N7" s="11" t="inlineStr">
        <is>
          <t>https://school.js88.com/scl_h/22002040/ ; https://jsite.mhlw.go.jp/tochigi-roudoukyoku/gakusotsu__teisei.html</t>
        </is>
      </c>
      <c r="O7" s="12" t="inlineStr">
        <is>
          <t>開く</t>
        </is>
      </c>
    </row>
    <row r="8">
      <c r="A8" s="4" t="n">
        <v>4</v>
      </c>
      <c r="B8" s="5" t="inlineStr">
        <is>
          <t>栃木県</t>
        </is>
      </c>
      <c r="C8" s="5" t="inlineStr">
        <is>
          <t>宇都宮市</t>
        </is>
      </c>
      <c r="D8" s="5" t="inlineStr">
        <is>
          <t>宇都宮文星女子高等学校</t>
        </is>
      </c>
      <c r="E8" s="6" t="inlineStr">
        <is>
          <t>028-621-8156</t>
        </is>
      </c>
      <c r="F8" s="7" t="inlineStr">
        <is>
          <t>高</t>
        </is>
      </c>
      <c r="G8" s="5" t="inlineStr">
        <is>
          <t>普通科・専門学科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Yahoo!マップと学校情報サイトで一致</t>
        </is>
      </c>
      <c r="N8" s="11" t="inlineStr">
        <is>
          <t>https://map.yahoo.co.jp/v3/place/9Q5SymdS8No ; https://school.js88.com/scl_h/22002030</t>
        </is>
      </c>
      <c r="O8" s="12" t="inlineStr">
        <is>
          <t>開く</t>
        </is>
      </c>
    </row>
    <row r="9">
      <c r="A9" s="4" t="n">
        <v>5</v>
      </c>
      <c r="B9" s="5" t="inlineStr">
        <is>
          <t>栃木県</t>
        </is>
      </c>
      <c r="C9" s="5" t="inlineStr">
        <is>
          <t>栃木市</t>
        </is>
      </c>
      <c r="D9" s="5" t="inlineStr">
        <is>
          <t>國學院大學栃木高等学校</t>
        </is>
      </c>
      <c r="E9" s="6" t="inlineStr">
        <is>
          <t>0282-22-5511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公式パンフレットに「代表」と記載。入試広報室直通は0282-25-5020</t>
        </is>
      </c>
      <c r="N9" s="11" t="inlineStr">
        <is>
          <t>https://kokugakuintochigi.jp/wp/wp-content/uploads/2026/06/2027KOKUTOCHI_H.pdf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栃木県</t>
        </is>
      </c>
      <c r="C10" s="5" t="inlineStr">
        <is>
          <t>那須町</t>
        </is>
      </c>
      <c r="D10" s="5" t="inlineStr">
        <is>
          <t>幸福の科学学園高等学校</t>
        </is>
      </c>
      <c r="E10" s="6" t="inlineStr">
        <is>
          <t>0287-75-7777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那須本校。学校情報サイト複数で一致、公式サイトでは未確認</t>
        </is>
      </c>
      <c r="N10" s="11" t="inlineStr">
        <is>
          <t>https://www.inter-edu.com/schools/school/2541 ; https://school.js88.com/scl_h/34025366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栃木県</t>
        </is>
      </c>
      <c r="C11" s="5" t="inlineStr">
        <is>
          <t>宇都宮市</t>
        </is>
      </c>
      <c r="D11" s="5" t="inlineStr">
        <is>
          <t>作新学院高等学校</t>
        </is>
      </c>
      <c r="E11" s="6" t="inlineStr">
        <is>
          <t>028-648-1811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学院共通の代表番号（公式資料で確認）。高校に取り次ぎを依頼</t>
        </is>
      </c>
      <c r="N11" s="11" t="inlineStr">
        <is>
          <t>https://school.js88.com/scl_h/22002010 ; https://www.sakushin.ac.jp/wp/wp-content/uploads/suadmin/2019/10/a2a92c2162621f8c78cf9e06ac2f5a7c.pdf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栃木県</t>
        </is>
      </c>
      <c r="C12" s="5" t="inlineStr">
        <is>
          <t>佐野市</t>
        </is>
      </c>
      <c r="D12" s="5" t="inlineStr">
        <is>
          <t>佐野清澄高等学校</t>
        </is>
      </c>
      <c r="E12" s="6" t="inlineStr">
        <is>
          <t>0283-23-0841</t>
        </is>
      </c>
      <c r="F12" s="7" t="inlineStr">
        <is>
          <t>高</t>
        </is>
      </c>
      <c r="G12" s="5" t="inlineStr">
        <is>
          <t>普通科・専門学科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「代表」として掲載。県立佐野高校（0283-23-0161）とは別の学校</t>
        </is>
      </c>
      <c r="N12" s="11" t="inlineStr">
        <is>
          <t>https://school.js88.com/scl_h/22002070 ; https://www.inter-edu.com/schools/school/1513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栃木県</t>
        </is>
      </c>
      <c r="C13" s="5" t="inlineStr">
        <is>
          <t>佐野市</t>
        </is>
      </c>
      <c r="D13" s="5" t="inlineStr">
        <is>
          <t>佐野日本大学高等学校</t>
        </is>
      </c>
      <c r="E13" s="6" t="inlineStr">
        <is>
          <t>0283-25-0111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公式サイトで確認。0283-25-0373は学園の法人事務局の番号</t>
        </is>
      </c>
      <c r="N13" s="11" t="inlineStr">
        <is>
          <t>https://high.sano-nichidai.jp/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栃木県</t>
        </is>
      </c>
      <c r="C14" s="5" t="inlineStr">
        <is>
          <t>佐野市</t>
        </is>
      </c>
      <c r="D14" s="5" t="inlineStr">
        <is>
          <t>青藍泰斗高等学校</t>
        </is>
      </c>
      <c r="E14" s="6" t="inlineStr">
        <is>
          <t>0283-86-2511</t>
        </is>
      </c>
      <c r="F14" s="7" t="inlineStr">
        <is>
          <t>高</t>
        </is>
      </c>
      <c r="G14" s="5" t="inlineStr">
        <is>
          <t>普通科・専門学科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公式サイトとiタウンページで一致</t>
        </is>
      </c>
      <c r="N14" s="11" t="inlineStr">
        <is>
          <t>http://www.seirantaito.ed.jp/access.html ; https://itp.ne.jp/info/098605730100000899/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栃木県</t>
        </is>
      </c>
      <c r="C15" s="5" t="inlineStr">
        <is>
          <t>足利市</t>
        </is>
      </c>
      <c r="D15" s="5" t="inlineStr">
        <is>
          <t>白鷗大学足利高等学校</t>
        </is>
      </c>
      <c r="E15" s="6" t="inlineStr">
        <is>
          <t>0284-41-0890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本校舎の番号（公式サイト）。新校舎は0284-41-0801。富田キャンパスは2024年4月に本校舎へ統合済み</t>
        </is>
      </c>
      <c r="N15" s="11" t="inlineStr">
        <is>
          <t>https://hakuoh-h.jp/contact/ ; https://itp.ne.jp/info/097866830100000899/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栃木県</t>
        </is>
      </c>
      <c r="C16" s="5" t="inlineStr">
        <is>
          <t>塩谷町</t>
        </is>
      </c>
      <c r="D16" s="5" t="inlineStr">
        <is>
          <t>日々輝学園高等学校</t>
        </is>
      </c>
      <c r="E16" s="6" t="inlineStr">
        <is>
          <t>0287-41-3851</t>
        </is>
      </c>
      <c r="F16" s="7" t="inlineStr">
        <is>
          <t>高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塩谷町の本校（通信制・公式サイト）。各校舎は別番号</t>
        </is>
      </c>
      <c r="N16" s="11" t="inlineStr">
        <is>
          <t>https://www.hibiki-gakuen.ed.jp/access/ ; https://school.js88.com/scl_h/34028539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栃木県</t>
        </is>
      </c>
      <c r="C17" s="5" t="inlineStr">
        <is>
          <t>宇都宮市</t>
        </is>
      </c>
      <c r="D17" s="5" t="inlineStr">
        <is>
          <t>文星芸術大学附属高等学校</t>
        </is>
      </c>
      <c r="E17" s="6" t="inlineStr">
        <is>
          <t>028-636-8585</t>
        </is>
      </c>
      <c r="F17" s="7" t="inlineStr">
        <is>
          <t>高</t>
        </is>
      </c>
      <c r="G17" s="5" t="inlineStr">
        <is>
          <t>普通科・専門学科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公式サイトで確認。附属中学校は028-636-8000</t>
        </is>
      </c>
      <c r="N17" s="11" t="inlineStr">
        <is>
          <t>https://www.bunsei.ed.jp/access.html ; https://www.mapion.co.jp/phonebook/M11004/09201/ILSP0000041983_ipclm/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栃木県</t>
        </is>
      </c>
      <c r="C18" s="5" t="inlineStr">
        <is>
          <t>宇都宮市</t>
        </is>
      </c>
      <c r="D18" s="5" t="inlineStr">
        <is>
          <t>星の杜高等学校</t>
        </is>
      </c>
      <c r="E18" s="6" t="inlineStr">
        <is>
          <t>028-667-0700</t>
        </is>
      </c>
      <c r="F18" s="13" t="inlineStr">
        <is>
          <t>中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公式の新入生ページの問い合わせ先（平日9〜17時）。公式サイトのフッターには学校の番号として028-667-0701の記載もあり。どちらが代表か要確認</t>
        </is>
      </c>
      <c r="N18" s="11" t="inlineStr">
        <is>
          <t>https://hoshinomori.ed.jp/newstudent ; https://www.mapion.co.jp/phonebook/M11004/09201/ILSP0000041355_ipclm/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栃木県</t>
        </is>
      </c>
      <c r="C19" s="5" t="inlineStr">
        <is>
          <t>矢板市</t>
        </is>
      </c>
      <c r="D19" s="5" t="inlineStr">
        <is>
          <t>矢板中央高等学校</t>
        </is>
      </c>
      <c r="E19" s="6" t="inlineStr">
        <is>
          <t>0287-43-0447</t>
        </is>
      </c>
      <c r="F19" s="7" t="inlineStr">
        <is>
          <t>高</t>
        </is>
      </c>
      <c r="G19" s="5" t="inlineStr">
        <is>
          <t>普通科・専門学科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複数の情報源で一致</t>
        </is>
      </c>
      <c r="N19" s="11" t="inlineStr">
        <is>
          <t>https://www.mapion.co.jp/phonebook/M11004/09211/ILSP0000041686_ipclm/ ; https://school.js88.com/scl_h/22002120</t>
        </is>
      </c>
      <c r="O19" s="12" t="inlineStr">
        <is>
          <t>開く</t>
        </is>
      </c>
    </row>
  </sheetData>
  <autoFilter ref="A4:O19"/>
  <conditionalFormatting sqref="A5:O19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9" showDropDown="0" showInputMessage="0" showErrorMessage="0" allowBlank="1" type="list">
      <formula1>"未架電,不在・折返し待ち,担当者不在,資料送付,アポ獲得,検討中,NG,番号不明"</formula1>
    </dataValidation>
    <dataValidation sqref="H5:H19 K5:K19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宇都宮市</t>
        </is>
      </c>
      <c r="B4" s="14">
        <f>COUNTIF('架電リスト'!$C$5:$C$19,A4)</f>
        <v/>
      </c>
      <c r="C4" s="14">
        <f>COUNTIFS('架電リスト'!$C$5:$C$19,A4,'架電リスト'!$E$5:$E$19,"&lt;&gt;")</f>
        <v/>
      </c>
      <c r="D4" s="14">
        <f>B4-COUNTIFS('架電リスト'!$C$5:$C$19,A4,'架電リスト'!$J$5:$J$19,"未架電")-COUNTIFS('架電リスト'!$C$5:$C$19,A4,'架電リスト'!$J$5:$J$19,"")</f>
        <v/>
      </c>
      <c r="E4" s="14">
        <f>COUNTIFS('架電リスト'!$C$5:$C$19,$A4,'架電リスト'!$J$5:$J$19,"不在・折返し待ち")</f>
        <v/>
      </c>
      <c r="F4" s="14">
        <f>COUNTIFS('架電リスト'!$C$5:$C$19,$A4,'架電リスト'!$J$5:$J$19,"担当者不在")</f>
        <v/>
      </c>
      <c r="G4" s="14">
        <f>COUNTIFS('架電リスト'!$C$5:$C$19,$A4,'架電リスト'!$J$5:$J$19,"資料送付")</f>
        <v/>
      </c>
      <c r="H4" s="14">
        <f>COUNTIFS('架電リスト'!$C$5:$C$19,$A4,'架電リスト'!$J$5:$J$19,"アポ獲得")</f>
        <v/>
      </c>
      <c r="I4" s="14">
        <f>COUNTIFS('架電リスト'!$C$5:$C$19,$A4,'架電リスト'!$J$5:$J$19,"検討中")</f>
        <v/>
      </c>
      <c r="J4" s="14">
        <f>COUNTIFS('架電リスト'!$C$5:$C$19,$A4,'架電リスト'!$J$5:$J$19,"NG")</f>
        <v/>
      </c>
      <c r="K4" s="14">
        <f>COUNTIFS('架電リスト'!$C$5:$C$19,$A4,'架電リスト'!$J$5:$J$19,"番号不明")</f>
        <v/>
      </c>
    </row>
    <row r="5">
      <c r="A5" s="14" t="inlineStr">
        <is>
          <t>足利市</t>
        </is>
      </c>
      <c r="B5" s="14">
        <f>COUNTIF('架電リスト'!$C$5:$C$19,A5)</f>
        <v/>
      </c>
      <c r="C5" s="14">
        <f>COUNTIFS('架電リスト'!$C$5:$C$19,A5,'架電リスト'!$E$5:$E$19,"&lt;&gt;")</f>
        <v/>
      </c>
      <c r="D5" s="14">
        <f>B5-COUNTIFS('架電リスト'!$C$5:$C$19,A5,'架電リスト'!$J$5:$J$19,"未架電")-COUNTIFS('架電リスト'!$C$5:$C$19,A5,'架電リスト'!$J$5:$J$19,"")</f>
        <v/>
      </c>
      <c r="E5" s="14">
        <f>COUNTIFS('架電リスト'!$C$5:$C$19,$A5,'架電リスト'!$J$5:$J$19,"不在・折返し待ち")</f>
        <v/>
      </c>
      <c r="F5" s="14">
        <f>COUNTIFS('架電リスト'!$C$5:$C$19,$A5,'架電リスト'!$J$5:$J$19,"担当者不在")</f>
        <v/>
      </c>
      <c r="G5" s="14">
        <f>COUNTIFS('架電リスト'!$C$5:$C$19,$A5,'架電リスト'!$J$5:$J$19,"資料送付")</f>
        <v/>
      </c>
      <c r="H5" s="14">
        <f>COUNTIFS('架電リスト'!$C$5:$C$19,$A5,'架電リスト'!$J$5:$J$19,"アポ獲得")</f>
        <v/>
      </c>
      <c r="I5" s="14">
        <f>COUNTIFS('架電リスト'!$C$5:$C$19,$A5,'架電リスト'!$J$5:$J$19,"検討中")</f>
        <v/>
      </c>
      <c r="J5" s="14">
        <f>COUNTIFS('架電リスト'!$C$5:$C$19,$A5,'架電リスト'!$J$5:$J$19,"NG")</f>
        <v/>
      </c>
      <c r="K5" s="14">
        <f>COUNTIFS('架電リスト'!$C$5:$C$19,$A5,'架電リスト'!$J$5:$J$19,"番号不明")</f>
        <v/>
      </c>
    </row>
    <row r="6">
      <c r="A6" s="14" t="inlineStr">
        <is>
          <t>佐野市</t>
        </is>
      </c>
      <c r="B6" s="14">
        <f>COUNTIF('架電リスト'!$C$5:$C$19,A6)</f>
        <v/>
      </c>
      <c r="C6" s="14">
        <f>COUNTIFS('架電リスト'!$C$5:$C$19,A6,'架電リスト'!$E$5:$E$19,"&lt;&gt;")</f>
        <v/>
      </c>
      <c r="D6" s="14">
        <f>B6-COUNTIFS('架電リスト'!$C$5:$C$19,A6,'架電リスト'!$J$5:$J$19,"未架電")-COUNTIFS('架電リスト'!$C$5:$C$19,A6,'架電リスト'!$J$5:$J$19,"")</f>
        <v/>
      </c>
      <c r="E6" s="14">
        <f>COUNTIFS('架電リスト'!$C$5:$C$19,$A6,'架電リスト'!$J$5:$J$19,"不在・折返し待ち")</f>
        <v/>
      </c>
      <c r="F6" s="14">
        <f>COUNTIFS('架電リスト'!$C$5:$C$19,$A6,'架電リスト'!$J$5:$J$19,"担当者不在")</f>
        <v/>
      </c>
      <c r="G6" s="14">
        <f>COUNTIFS('架電リスト'!$C$5:$C$19,$A6,'架電リスト'!$J$5:$J$19,"資料送付")</f>
        <v/>
      </c>
      <c r="H6" s="14">
        <f>COUNTIFS('架電リスト'!$C$5:$C$19,$A6,'架電リスト'!$J$5:$J$19,"アポ獲得")</f>
        <v/>
      </c>
      <c r="I6" s="14">
        <f>COUNTIFS('架電リスト'!$C$5:$C$19,$A6,'架電リスト'!$J$5:$J$19,"検討中")</f>
        <v/>
      </c>
      <c r="J6" s="14">
        <f>COUNTIFS('架電リスト'!$C$5:$C$19,$A6,'架電リスト'!$J$5:$J$19,"NG")</f>
        <v/>
      </c>
      <c r="K6" s="14">
        <f>COUNTIFS('架電リスト'!$C$5:$C$19,$A6,'架電リスト'!$J$5:$J$19,"番号不明")</f>
        <v/>
      </c>
    </row>
    <row r="7">
      <c r="A7" s="14" t="inlineStr">
        <is>
          <t>栃木市</t>
        </is>
      </c>
      <c r="B7" s="14">
        <f>COUNTIF('架電リスト'!$C$5:$C$19,A7)</f>
        <v/>
      </c>
      <c r="C7" s="14">
        <f>COUNTIFS('架電リスト'!$C$5:$C$19,A7,'架電リスト'!$E$5:$E$19,"&lt;&gt;")</f>
        <v/>
      </c>
      <c r="D7" s="14">
        <f>B7-COUNTIFS('架電リスト'!$C$5:$C$19,A7,'架電リスト'!$J$5:$J$19,"未架電")-COUNTIFS('架電リスト'!$C$5:$C$19,A7,'架電リスト'!$J$5:$J$19,"")</f>
        <v/>
      </c>
      <c r="E7" s="14">
        <f>COUNTIFS('架電リスト'!$C$5:$C$19,$A7,'架電リスト'!$J$5:$J$19,"不在・折返し待ち")</f>
        <v/>
      </c>
      <c r="F7" s="14">
        <f>COUNTIFS('架電リスト'!$C$5:$C$19,$A7,'架電リスト'!$J$5:$J$19,"担当者不在")</f>
        <v/>
      </c>
      <c r="G7" s="14">
        <f>COUNTIFS('架電リスト'!$C$5:$C$19,$A7,'架電リスト'!$J$5:$J$19,"資料送付")</f>
        <v/>
      </c>
      <c r="H7" s="14">
        <f>COUNTIFS('架電リスト'!$C$5:$C$19,$A7,'架電リスト'!$J$5:$J$19,"アポ獲得")</f>
        <v/>
      </c>
      <c r="I7" s="14">
        <f>COUNTIFS('架電リスト'!$C$5:$C$19,$A7,'架電リスト'!$J$5:$J$19,"検討中")</f>
        <v/>
      </c>
      <c r="J7" s="14">
        <f>COUNTIFS('架電リスト'!$C$5:$C$19,$A7,'架電リスト'!$J$5:$J$19,"NG")</f>
        <v/>
      </c>
      <c r="K7" s="14">
        <f>COUNTIFS('架電リスト'!$C$5:$C$19,$A7,'架電リスト'!$J$5:$J$19,"番号不明")</f>
        <v/>
      </c>
    </row>
    <row r="8">
      <c r="A8" s="14" t="inlineStr">
        <is>
          <t>那須町</t>
        </is>
      </c>
      <c r="B8" s="14">
        <f>COUNTIF('架電リスト'!$C$5:$C$19,A8)</f>
        <v/>
      </c>
      <c r="C8" s="14">
        <f>COUNTIFS('架電リスト'!$C$5:$C$19,A8,'架電リスト'!$E$5:$E$19,"&lt;&gt;")</f>
        <v/>
      </c>
      <c r="D8" s="14">
        <f>B8-COUNTIFS('架電リスト'!$C$5:$C$19,A8,'架電リスト'!$J$5:$J$19,"未架電")-COUNTIFS('架電リスト'!$C$5:$C$19,A8,'架電リスト'!$J$5:$J$19,"")</f>
        <v/>
      </c>
      <c r="E8" s="14">
        <f>COUNTIFS('架電リスト'!$C$5:$C$19,$A8,'架電リスト'!$J$5:$J$19,"不在・折返し待ち")</f>
        <v/>
      </c>
      <c r="F8" s="14">
        <f>COUNTIFS('架電リスト'!$C$5:$C$19,$A8,'架電リスト'!$J$5:$J$19,"担当者不在")</f>
        <v/>
      </c>
      <c r="G8" s="14">
        <f>COUNTIFS('架電リスト'!$C$5:$C$19,$A8,'架電リスト'!$J$5:$J$19,"資料送付")</f>
        <v/>
      </c>
      <c r="H8" s="14">
        <f>COUNTIFS('架電リスト'!$C$5:$C$19,$A8,'架電リスト'!$J$5:$J$19,"アポ獲得")</f>
        <v/>
      </c>
      <c r="I8" s="14">
        <f>COUNTIFS('架電リスト'!$C$5:$C$19,$A8,'架電リスト'!$J$5:$J$19,"検討中")</f>
        <v/>
      </c>
      <c r="J8" s="14">
        <f>COUNTIFS('架電リスト'!$C$5:$C$19,$A8,'架電リスト'!$J$5:$J$19,"NG")</f>
        <v/>
      </c>
      <c r="K8" s="14">
        <f>COUNTIFS('架電リスト'!$C$5:$C$19,$A8,'架電リスト'!$J$5:$J$19,"番号不明")</f>
        <v/>
      </c>
    </row>
    <row r="9">
      <c r="A9" s="14" t="inlineStr">
        <is>
          <t>塩谷町</t>
        </is>
      </c>
      <c r="B9" s="14">
        <f>COUNTIF('架電リスト'!$C$5:$C$19,A9)</f>
        <v/>
      </c>
      <c r="C9" s="14">
        <f>COUNTIFS('架電リスト'!$C$5:$C$19,A9,'架電リスト'!$E$5:$E$19,"&lt;&gt;")</f>
        <v/>
      </c>
      <c r="D9" s="14">
        <f>B9-COUNTIFS('架電リスト'!$C$5:$C$19,A9,'架電リスト'!$J$5:$J$19,"未架電")-COUNTIFS('架電リスト'!$C$5:$C$19,A9,'架電リスト'!$J$5:$J$19,"")</f>
        <v/>
      </c>
      <c r="E9" s="14">
        <f>COUNTIFS('架電リスト'!$C$5:$C$19,$A9,'架電リスト'!$J$5:$J$19,"不在・折返し待ち")</f>
        <v/>
      </c>
      <c r="F9" s="14">
        <f>COUNTIFS('架電リスト'!$C$5:$C$19,$A9,'架電リスト'!$J$5:$J$19,"担当者不在")</f>
        <v/>
      </c>
      <c r="G9" s="14">
        <f>COUNTIFS('架電リスト'!$C$5:$C$19,$A9,'架電リスト'!$J$5:$J$19,"資料送付")</f>
        <v/>
      </c>
      <c r="H9" s="14">
        <f>COUNTIFS('架電リスト'!$C$5:$C$19,$A9,'架電リスト'!$J$5:$J$19,"アポ獲得")</f>
        <v/>
      </c>
      <c r="I9" s="14">
        <f>COUNTIFS('架電リスト'!$C$5:$C$19,$A9,'架電リスト'!$J$5:$J$19,"検討中")</f>
        <v/>
      </c>
      <c r="J9" s="14">
        <f>COUNTIFS('架電リスト'!$C$5:$C$19,$A9,'架電リスト'!$J$5:$J$19,"NG")</f>
        <v/>
      </c>
      <c r="K9" s="14">
        <f>COUNTIFS('架電リスト'!$C$5:$C$19,$A9,'架電リスト'!$J$5:$J$19,"番号不明")</f>
        <v/>
      </c>
    </row>
    <row r="10">
      <c r="A10" s="14" t="inlineStr">
        <is>
          <t>矢板市</t>
        </is>
      </c>
      <c r="B10" s="14">
        <f>COUNTIF('架電リスト'!$C$5:$C$19,A10)</f>
        <v/>
      </c>
      <c r="C10" s="14">
        <f>COUNTIFS('架電リスト'!$C$5:$C$19,A10,'架電リスト'!$E$5:$E$19,"&lt;&gt;")</f>
        <v/>
      </c>
      <c r="D10" s="14">
        <f>B10-COUNTIFS('架電リスト'!$C$5:$C$19,A10,'架電リスト'!$J$5:$J$19,"未架電")-COUNTIFS('架電リスト'!$C$5:$C$19,A10,'架電リスト'!$J$5:$J$19,"")</f>
        <v/>
      </c>
      <c r="E10" s="14">
        <f>COUNTIFS('架電リスト'!$C$5:$C$19,$A10,'架電リスト'!$J$5:$J$19,"不在・折返し待ち")</f>
        <v/>
      </c>
      <c r="F10" s="14">
        <f>COUNTIFS('架電リスト'!$C$5:$C$19,$A10,'架電リスト'!$J$5:$J$19,"担当者不在")</f>
        <v/>
      </c>
      <c r="G10" s="14">
        <f>COUNTIFS('架電リスト'!$C$5:$C$19,$A10,'架電リスト'!$J$5:$J$19,"資料送付")</f>
        <v/>
      </c>
      <c r="H10" s="14">
        <f>COUNTIFS('架電リスト'!$C$5:$C$19,$A10,'架電リスト'!$J$5:$J$19,"アポ獲得")</f>
        <v/>
      </c>
      <c r="I10" s="14">
        <f>COUNTIFS('架電リスト'!$C$5:$C$19,$A10,'架電リスト'!$J$5:$J$19,"検討中")</f>
        <v/>
      </c>
      <c r="J10" s="14">
        <f>COUNTIFS('架電リスト'!$C$5:$C$19,$A10,'架電リスト'!$J$5:$J$19,"NG")</f>
        <v/>
      </c>
      <c r="K10" s="14">
        <f>COUNTIFS('架電リスト'!$C$5:$C$19,$A10,'架電リスト'!$J$5:$J$19,"番号不明")</f>
        <v/>
      </c>
    </row>
    <row r="11">
      <c r="A11" s="15" t="inlineStr">
        <is>
          <t>合計</t>
        </is>
      </c>
      <c r="B11" s="15">
        <f>SUM(B4:B10)</f>
        <v/>
      </c>
      <c r="C11" s="15">
        <f>SUM(C4:C10)</f>
        <v/>
      </c>
      <c r="D11" s="15">
        <f>SUM(D4:D10)</f>
        <v/>
      </c>
      <c r="E11" s="15">
        <f>SUM(E4:E10)</f>
        <v/>
      </c>
      <c r="F11" s="15">
        <f>SUM(F4:F10)</f>
        <v/>
      </c>
      <c r="G11" s="15">
        <f>SUM(G4:G10)</f>
        <v/>
      </c>
      <c r="H11" s="15">
        <f>SUM(H4:H10)</f>
        <v/>
      </c>
      <c r="I11" s="15">
        <f>SUM(I4:I10)</f>
        <v/>
      </c>
      <c r="J11" s="15">
        <f>SUM(J4:J10)</f>
        <v/>
      </c>
      <c r="K11" s="15">
        <f>SUM(K4:K10)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・出典：ご提供いただいた学校ネットの検索結果（私立高校・栃木県、15校）の貼り付けデータ。並び順は都道府県ごとに元データの掲載順です。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2026-10-09T01:48:23Z</dcterms:created>
  <dcterms:modified xsi:type="dcterms:W3CDTF">2026-10-09T01:48:23Z</dcterms:modified>
</cp:coreProperties>
</file>