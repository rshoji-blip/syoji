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'架電リスト'!$A$4:$O$25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5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5196.html" TargetMode="External" Id="rId1" /><Relationship Type="http://schemas.openxmlformats.org/officeDocument/2006/relationships/hyperlink" Target="https://www.gakkou.net/kou/view/index_305180.html" TargetMode="External" Id="rId2" /><Relationship Type="http://schemas.openxmlformats.org/officeDocument/2006/relationships/hyperlink" Target="https://www.gakkou.net/kou/view/index_305175.html" TargetMode="External" Id="rId3" /><Relationship Type="http://schemas.openxmlformats.org/officeDocument/2006/relationships/hyperlink" Target="https://www.gakkou.net/kou/view/index_305182.html" TargetMode="External" Id="rId4" /><Relationship Type="http://schemas.openxmlformats.org/officeDocument/2006/relationships/hyperlink" Target="https://www.gakkou.net/kou/view/index_305162.html" TargetMode="External" Id="rId5" /><Relationship Type="http://schemas.openxmlformats.org/officeDocument/2006/relationships/hyperlink" Target="https://www.gakkou.net/kou/view/index_305152.html" TargetMode="External" Id="rId6" /><Relationship Type="http://schemas.openxmlformats.org/officeDocument/2006/relationships/hyperlink" Target="https://www.gakkou.net/kou/view/index_305148.html" TargetMode="External" Id="rId7" /><Relationship Type="http://schemas.openxmlformats.org/officeDocument/2006/relationships/hyperlink" Target="https://www.gakkou.net/kou/view/index_306695.html" TargetMode="External" Id="rId8" /><Relationship Type="http://schemas.openxmlformats.org/officeDocument/2006/relationships/hyperlink" Target="https://www.gakkou.net/kou/view/index_305127.html" TargetMode="External" Id="rId9" /><Relationship Type="http://schemas.openxmlformats.org/officeDocument/2006/relationships/hyperlink" Target="https://www.gakkou.net/kou/view/index_305199.html" TargetMode="External" Id="rId10" /><Relationship Type="http://schemas.openxmlformats.org/officeDocument/2006/relationships/hyperlink" Target="https://www.gakkou.net/kou/view/index_305143.html" TargetMode="External" Id="rId11" /><Relationship Type="http://schemas.openxmlformats.org/officeDocument/2006/relationships/hyperlink" Target="https://www.gakkou.net/kou/view/index_305106.html" TargetMode="External" Id="rId12" /><Relationship Type="http://schemas.openxmlformats.org/officeDocument/2006/relationships/hyperlink" Target="https://www.gakkou.net/kou/view/index_305165.html" TargetMode="External" Id="rId13" /><Relationship Type="http://schemas.openxmlformats.org/officeDocument/2006/relationships/hyperlink" Target="https://www.gakkou.net/kou/view/index_305204.html" TargetMode="External" Id="rId14" /><Relationship Type="http://schemas.openxmlformats.org/officeDocument/2006/relationships/hyperlink" Target="https://www.gakkou.net/kou/view/index_305170.html" TargetMode="External" Id="rId15" /><Relationship Type="http://schemas.openxmlformats.org/officeDocument/2006/relationships/hyperlink" Target="https://www.gakkou.net/kou/view/index_305190.html" TargetMode="External" Id="rId16" /><Relationship Type="http://schemas.openxmlformats.org/officeDocument/2006/relationships/hyperlink" Target="https://www.gakkou.net/kou/view/index_305150.html" TargetMode="External" Id="rId17" /><Relationship Type="http://schemas.openxmlformats.org/officeDocument/2006/relationships/hyperlink" Target="https://www.gakkou.net/kou/view/index_305151.html" TargetMode="External" Id="rId18" /><Relationship Type="http://schemas.openxmlformats.org/officeDocument/2006/relationships/hyperlink" Target="https://www.gakkou.net/kou/view/index_305115.html" TargetMode="External" Id="rId19" /><Relationship Type="http://schemas.openxmlformats.org/officeDocument/2006/relationships/hyperlink" Target="https://www.gakkou.net/kou/view/index_305173.html" TargetMode="External" Id="rId20" /><Relationship Type="http://schemas.openxmlformats.org/officeDocument/2006/relationships/hyperlink" Target="https://www.gakkou.net/kou/view/index_306500.html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架電リスト（山口県／21校）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山口県</t>
        </is>
      </c>
      <c r="C5" s="5" t="inlineStr">
        <is>
          <t>宇部市</t>
        </is>
      </c>
      <c r="D5" s="5" t="inlineStr">
        <is>
          <t>宇部鴻城高等学校</t>
        </is>
      </c>
      <c r="E5" s="6" t="inlineStr">
        <is>
          <t>0836-41-8109</t>
        </is>
      </c>
      <c r="F5" s="7" t="inlineStr">
        <is>
          <t>高</t>
        </is>
      </c>
      <c r="G5" s="5" t="inlineStr">
        <is>
          <t>普通科・専門学科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n"/>
      <c r="N5" s="11" t="inlineStr">
        <is>
          <t>https://www.ubekojo-h.ed.jp/contact/</t>
        </is>
      </c>
      <c r="O5" s="12" t="inlineStr">
        <is>
          <t>開く</t>
        </is>
      </c>
    </row>
    <row r="6">
      <c r="A6" s="4" t="n">
        <v>2</v>
      </c>
      <c r="B6" s="5" t="inlineStr">
        <is>
          <t>山口県</t>
        </is>
      </c>
      <c r="C6" s="5" t="inlineStr">
        <is>
          <t>宇部市</t>
        </is>
      </c>
      <c r="D6" s="5" t="inlineStr">
        <is>
          <t>宇部フロンティア大学付属香川高等学校</t>
        </is>
      </c>
      <c r="E6" s="6" t="inlineStr">
        <is>
          <t>0836-35-9574</t>
        </is>
      </c>
      <c r="F6" s="7" t="inlineStr">
        <is>
          <t>高</t>
        </is>
      </c>
      <c r="G6" s="5" t="inlineStr">
        <is>
          <t>普通科・専門学科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普通科職員室0836-35-9578、専門部職員室0836-35-9583</t>
        </is>
      </c>
      <c r="N6" s="11" t="inlineStr">
        <is>
          <t>https://www.kagawa-h.ed.jp/</t>
        </is>
      </c>
      <c r="O6" s="12" t="inlineStr">
        <is>
          <t>開く</t>
        </is>
      </c>
    </row>
    <row r="7">
      <c r="A7" s="4" t="n">
        <v>3</v>
      </c>
      <c r="B7" s="5" t="inlineStr">
        <is>
          <t>山口県</t>
        </is>
      </c>
      <c r="C7" s="5" t="inlineStr">
        <is>
          <t>宇部市</t>
        </is>
      </c>
      <c r="D7" s="5" t="inlineStr">
        <is>
          <t>慶進高等学校</t>
        </is>
      </c>
      <c r="E7" s="6" t="inlineStr">
        <is>
          <t>0836-34-1111</t>
        </is>
      </c>
      <c r="F7" s="7" t="inlineStr">
        <is>
          <t>高</t>
        </is>
      </c>
      <c r="G7" s="5" t="inlineStr">
        <is>
          <t>普通科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n"/>
      <c r="N7" s="11" t="inlineStr">
        <is>
          <t>https://www.keishin-ug.ed.jp/</t>
        </is>
      </c>
      <c r="O7" s="12" t="inlineStr">
        <is>
          <t>開く</t>
        </is>
      </c>
    </row>
    <row r="8">
      <c r="A8" s="4" t="n">
        <v>4</v>
      </c>
      <c r="B8" s="5" t="inlineStr">
        <is>
          <t>山口県</t>
        </is>
      </c>
      <c r="C8" s="5" t="inlineStr">
        <is>
          <t>山陽小野田市</t>
        </is>
      </c>
      <c r="D8" s="5" t="inlineStr">
        <is>
          <t>ザビエル高等学校</t>
        </is>
      </c>
      <c r="E8" s="6" t="inlineStr">
        <is>
          <t>0836-83-3587</t>
        </is>
      </c>
      <c r="F8" s="7" t="inlineStr">
        <is>
          <t>高</t>
        </is>
      </c>
      <c r="G8" s="5" t="inlineStr">
        <is>
          <t>普通科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正式表記は「サビエル高等学校」</t>
        </is>
      </c>
      <c r="N8" s="11" t="inlineStr">
        <is>
          <t>https://xavier.ed.jp/</t>
        </is>
      </c>
      <c r="O8" s="12" t="inlineStr">
        <is>
          <t>開く</t>
        </is>
      </c>
    </row>
    <row r="9">
      <c r="A9" s="4" t="n">
        <v>5</v>
      </c>
      <c r="B9" s="5" t="inlineStr">
        <is>
          <t>山口県</t>
        </is>
      </c>
      <c r="C9" s="5" t="inlineStr">
        <is>
          <t>下関市</t>
        </is>
      </c>
      <c r="D9" s="5" t="inlineStr">
        <is>
          <t>下関国際高等学校</t>
        </is>
      </c>
      <c r="E9" s="6" t="inlineStr">
        <is>
          <t>083-256-2321</t>
        </is>
      </c>
      <c r="F9" s="7" t="inlineStr">
        <is>
          <t>高</t>
        </is>
      </c>
      <c r="G9" s="5" t="inlineStr">
        <is>
          <t>普通科・専門学科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n"/>
      <c r="N9" s="11" t="inlineStr">
        <is>
          <t>https://www.shiboyama.ac.jp/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山口県</t>
        </is>
      </c>
      <c r="C10" s="5" t="inlineStr">
        <is>
          <t>下関市</t>
        </is>
      </c>
      <c r="D10" s="5" t="inlineStr">
        <is>
          <t>下関短期大学付属高等学校</t>
        </is>
      </c>
      <c r="E10" s="6" t="inlineStr">
        <is>
          <t>083-232-3785</t>
        </is>
      </c>
      <c r="F10" s="7" t="inlineStr">
        <is>
          <t>高</t>
        </is>
      </c>
      <c r="G10" s="5" t="inlineStr">
        <is>
          <t>普通科・専門学科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短大の番号（083-223-0339）とは別</t>
        </is>
      </c>
      <c r="N10" s="11" t="inlineStr">
        <is>
          <t>https://www.shimotan-hs.jp/pages/13/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山口県</t>
        </is>
      </c>
      <c r="C11" s="5" t="inlineStr">
        <is>
          <t>防府市</t>
        </is>
      </c>
      <c r="D11" s="5" t="inlineStr">
        <is>
          <t>誠英高等学校</t>
        </is>
      </c>
      <c r="E11" s="6" t="inlineStr">
        <is>
          <t>0835-38-5252</t>
        </is>
      </c>
      <c r="F11" s="7" t="inlineStr">
        <is>
          <t>高</t>
        </is>
      </c>
      <c r="G11" s="5" t="inlineStr">
        <is>
          <t>普通科・専門学科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通信制課程は0835-38-6161（第三者サイト）</t>
        </is>
      </c>
      <c r="N11" s="11" t="inlineStr">
        <is>
          <t>https://seiei.ac.jp/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山口県</t>
        </is>
      </c>
      <c r="C12" s="5" t="inlineStr">
        <is>
          <t>山口市</t>
        </is>
      </c>
      <c r="D12" s="5" t="inlineStr">
        <is>
          <t>精華学園高等学校</t>
        </is>
      </c>
      <c r="E12" s="6" t="inlineStr">
        <is>
          <t>083-976-8833</t>
        </is>
      </c>
      <c r="F12" s="7" t="inlineStr">
        <is>
          <t>高</t>
        </is>
      </c>
      <c r="G12" s="5" t="inlineStr">
        <is>
          <t>普通科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広域通信制・山口本校</t>
        </is>
      </c>
      <c r="N12" s="11" t="inlineStr">
        <is>
          <t>https://www.seikagakuen.ac.jp/archives/691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山口県</t>
        </is>
      </c>
      <c r="C13" s="5" t="inlineStr">
        <is>
          <t>光市</t>
        </is>
      </c>
      <c r="D13" s="5" t="inlineStr">
        <is>
          <t>聖光高等学校</t>
        </is>
      </c>
      <c r="E13" s="6" t="inlineStr">
        <is>
          <t>0833-72-1187</t>
        </is>
      </c>
      <c r="F13" s="7" t="inlineStr">
        <is>
          <t>高</t>
        </is>
      </c>
      <c r="G13" s="5" t="inlineStr">
        <is>
          <t>普通科・専門学科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通信制は0833-72-7070（第三者サイト）</t>
        </is>
      </c>
      <c r="N13" s="11" t="inlineStr">
        <is>
          <t>https://www.seiko-h.ed.jp/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山口県</t>
        </is>
      </c>
      <c r="C14" s="5" t="inlineStr">
        <is>
          <t>美祢市</t>
        </is>
      </c>
      <c r="D14" s="5" t="inlineStr">
        <is>
          <t>成進高等学校</t>
        </is>
      </c>
      <c r="E14" s="6" t="inlineStr">
        <is>
          <t>0837-52-1350</t>
        </is>
      </c>
      <c r="F14" s="7" t="inlineStr">
        <is>
          <t>高</t>
        </is>
      </c>
      <c r="G14" s="5" t="inlineStr">
        <is>
          <t>普通科・専門学科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n"/>
      <c r="N14" s="11" t="inlineStr">
        <is>
          <t>https://www.mine-c.ed.jp/profile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山口県</t>
        </is>
      </c>
      <c r="C15" s="5" t="inlineStr">
        <is>
          <t>防府市</t>
        </is>
      </c>
      <c r="D15" s="5" t="inlineStr">
        <is>
          <t>高川学園高等学校</t>
        </is>
      </c>
      <c r="E15" s="6" t="inlineStr">
        <is>
          <t>0835-33-0101</t>
        </is>
      </c>
      <c r="F15" s="7" t="inlineStr">
        <is>
          <t>高</t>
        </is>
      </c>
      <c r="G15" s="5" t="inlineStr">
        <is>
          <t>普通科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n"/>
      <c r="N15" s="11" t="inlineStr">
        <is>
          <t>https://takagawagakuen.com/high/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山口県</t>
        </is>
      </c>
      <c r="C16" s="5" t="inlineStr">
        <is>
          <t>岩国市</t>
        </is>
      </c>
      <c r="D16" s="5" t="inlineStr">
        <is>
          <t>高水高等学校</t>
        </is>
      </c>
      <c r="E16" s="6" t="inlineStr">
        <is>
          <t>0827-31-7191</t>
        </is>
      </c>
      <c r="F16" s="7" t="inlineStr">
        <is>
          <t>高</t>
        </is>
      </c>
      <c r="G16" s="5" t="inlineStr">
        <is>
          <t>普通科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inlineStr">
        <is>
          <t>中高共通番号</t>
        </is>
      </c>
      <c r="N16" s="11" t="inlineStr">
        <is>
          <t>https://www.takamizu.ed.jp/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山口県</t>
        </is>
      </c>
      <c r="C17" s="5" t="inlineStr">
        <is>
          <t>山口市</t>
        </is>
      </c>
      <c r="D17" s="5" t="inlineStr">
        <is>
          <t>中村女子高等学校</t>
        </is>
      </c>
      <c r="E17" s="6" t="inlineStr">
        <is>
          <t>083-922-0418</t>
        </is>
      </c>
      <c r="F17" s="7" t="inlineStr">
        <is>
          <t>高</t>
        </is>
      </c>
      <c r="G17" s="5" t="inlineStr">
        <is>
          <t>普通科・専門学科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現校名は山口中村学園高等学校（2025年度から共学化）。専攻科は083-928-1331</t>
        </is>
      </c>
      <c r="N17" s="11" t="inlineStr">
        <is>
          <t>https://www.y-nakamura.jp/</t>
        </is>
      </c>
      <c r="O17" s="12" t="inlineStr">
        <is>
          <t>開く</t>
        </is>
      </c>
    </row>
    <row r="18">
      <c r="A18" s="4" t="n">
        <v>14</v>
      </c>
      <c r="B18" s="5" t="inlineStr">
        <is>
          <t>山口県</t>
        </is>
      </c>
      <c r="C18" s="5" t="inlineStr">
        <is>
          <t>長門市</t>
        </is>
      </c>
      <c r="D18" s="5" t="inlineStr">
        <is>
          <t>長門高等学校</t>
        </is>
      </c>
      <c r="E18" s="6" t="inlineStr">
        <is>
          <t>0837-22-2944</t>
        </is>
      </c>
      <c r="F18" s="7" t="inlineStr">
        <is>
          <t>高</t>
        </is>
      </c>
      <c r="G18" s="5" t="inlineStr">
        <is>
          <t>普通科・専門学科</t>
        </is>
      </c>
      <c r="H18" s="8" t="n"/>
      <c r="I18" s="9" t="n"/>
      <c r="J18" s="9" t="inlineStr">
        <is>
          <t>未架電</t>
        </is>
      </c>
      <c r="K18" s="8" t="n"/>
      <c r="L18" s="9" t="n"/>
      <c r="M18" s="10" t="n"/>
      <c r="N18" s="11" t="inlineStr">
        <is>
          <t>https://nagato.ac.jp/</t>
        </is>
      </c>
      <c r="O18" s="12" t="inlineStr">
        <is>
          <t>開く</t>
        </is>
      </c>
    </row>
    <row r="19">
      <c r="A19" s="4" t="n">
        <v>15</v>
      </c>
      <c r="B19" s="5" t="inlineStr">
        <is>
          <t>山口県</t>
        </is>
      </c>
      <c r="C19" s="5" t="inlineStr">
        <is>
          <t>山口市</t>
        </is>
      </c>
      <c r="D19" s="5" t="inlineStr">
        <is>
          <t>野田学園高等学校</t>
        </is>
      </c>
      <c r="E19" s="6" t="inlineStr">
        <is>
          <t>083-922-5000</t>
        </is>
      </c>
      <c r="F19" s="7" t="inlineStr">
        <is>
          <t>高</t>
        </is>
      </c>
      <c r="G19" s="5" t="inlineStr">
        <is>
          <t>普通科</t>
        </is>
      </c>
      <c r="H19" s="8" t="n"/>
      <c r="I19" s="9" t="n"/>
      <c r="J19" s="9" t="inlineStr">
        <is>
          <t>未架電</t>
        </is>
      </c>
      <c r="K19" s="8" t="n"/>
      <c r="L19" s="9" t="n"/>
      <c r="M19" s="10" t="n"/>
      <c r="N19" s="11" t="inlineStr">
        <is>
          <t>https://www.nodagakuen.ed.jp/</t>
        </is>
      </c>
      <c r="O19" s="12" t="inlineStr">
        <is>
          <t>開く</t>
        </is>
      </c>
    </row>
    <row r="20">
      <c r="A20" s="4" t="n">
        <v>16</v>
      </c>
      <c r="B20" s="5" t="inlineStr">
        <is>
          <t>山口県</t>
        </is>
      </c>
      <c r="C20" s="5" t="inlineStr">
        <is>
          <t>萩市</t>
        </is>
      </c>
      <c r="D20" s="5" t="inlineStr">
        <is>
          <t>萩光塩学院高等学校</t>
        </is>
      </c>
      <c r="E20" s="6" t="inlineStr">
        <is>
          <t>0838-22-0782</t>
        </is>
      </c>
      <c r="F20" s="7" t="inlineStr">
        <is>
          <t>高</t>
        </is>
      </c>
      <c r="G20" s="5" t="inlineStr">
        <is>
          <t>普通科</t>
        </is>
      </c>
      <c r="H20" s="8" t="n"/>
      <c r="I20" s="9" t="n"/>
      <c r="J20" s="9" t="inlineStr">
        <is>
          <t>未架電</t>
        </is>
      </c>
      <c r="K20" s="8" t="n"/>
      <c r="L20" s="9" t="n"/>
      <c r="M20" s="10" t="inlineStr">
        <is>
          <t>小中高共通の代表番号（法人サイトでも一致）</t>
        </is>
      </c>
      <c r="N20" s="11" t="inlineStr">
        <is>
          <t>https://www.yamaguchi-shigaku.or.jp/tyukou/pdf/2025/20_hagikouen2025.pdf</t>
        </is>
      </c>
      <c r="O20" s="12" t="inlineStr">
        <is>
          <t>開く</t>
        </is>
      </c>
    </row>
    <row r="21">
      <c r="A21" s="4" t="n">
        <v>17</v>
      </c>
      <c r="B21" s="5" t="inlineStr">
        <is>
          <t>山口県</t>
        </is>
      </c>
      <c r="C21" s="5" t="inlineStr">
        <is>
          <t>下関市</t>
        </is>
      </c>
      <c r="D21" s="5" t="inlineStr">
        <is>
          <t>早鞆高等学校</t>
        </is>
      </c>
      <c r="E21" s="6" t="inlineStr">
        <is>
          <t>083-231-0080</t>
        </is>
      </c>
      <c r="F21" s="7" t="inlineStr">
        <is>
          <t>高</t>
        </is>
      </c>
      <c r="G21" s="5" t="inlineStr">
        <is>
          <t>普通科・専門学科</t>
        </is>
      </c>
      <c r="H21" s="8" t="n"/>
      <c r="I21" s="9" t="n"/>
      <c r="J21" s="9" t="inlineStr">
        <is>
          <t>未架電</t>
        </is>
      </c>
      <c r="K21" s="8" t="n"/>
      <c r="L21" s="9" t="n"/>
      <c r="M21" s="10" t="n"/>
      <c r="N21" s="11" t="inlineStr">
        <is>
          <t>https://www.hayatomo.ac.jp/course/</t>
        </is>
      </c>
      <c r="O21" s="12" t="inlineStr">
        <is>
          <t>開く</t>
        </is>
      </c>
    </row>
    <row r="22">
      <c r="A22" s="4" t="n">
        <v>18</v>
      </c>
      <c r="B22" s="5" t="inlineStr">
        <is>
          <t>山口県</t>
        </is>
      </c>
      <c r="C22" s="5" t="inlineStr">
        <is>
          <t>下関市</t>
        </is>
      </c>
      <c r="D22" s="5" t="inlineStr">
        <is>
          <t>梅光学院高等学校</t>
        </is>
      </c>
      <c r="E22" s="6" t="inlineStr">
        <is>
          <t>083-227-1200</t>
        </is>
      </c>
      <c r="F22" s="7" t="inlineStr">
        <is>
          <t>高</t>
        </is>
      </c>
      <c r="G22" s="5" t="inlineStr">
        <is>
          <t>普通科・専門学科</t>
        </is>
      </c>
      <c r="H22" s="8" t="n"/>
      <c r="I22" s="9" t="n"/>
      <c r="J22" s="9" t="inlineStr">
        <is>
          <t>未架電</t>
        </is>
      </c>
      <c r="K22" s="8" t="n"/>
      <c r="L22" s="9" t="n"/>
      <c r="M22" s="10" t="inlineStr">
        <is>
          <t>法人本部は083-227-1000</t>
        </is>
      </c>
      <c r="N22" s="11" t="inlineStr">
        <is>
          <t>https://www.baiko.ac.jp/highschool/</t>
        </is>
      </c>
      <c r="O22" s="12" t="inlineStr">
        <is>
          <t>開く</t>
        </is>
      </c>
    </row>
    <row r="23">
      <c r="A23" s="4" t="n">
        <v>19</v>
      </c>
      <c r="B23" s="5" t="inlineStr">
        <is>
          <t>山口県</t>
        </is>
      </c>
      <c r="C23" s="5" t="inlineStr">
        <is>
          <t>柳井市</t>
        </is>
      </c>
      <c r="D23" s="5" t="inlineStr">
        <is>
          <t>柳井学園高等学校</t>
        </is>
      </c>
      <c r="E23" s="6" t="inlineStr">
        <is>
          <t>0820-22-0214</t>
        </is>
      </c>
      <c r="F23" s="7" t="inlineStr">
        <is>
          <t>高</t>
        </is>
      </c>
      <c r="G23" s="5" t="inlineStr">
        <is>
          <t>普通科・専門学科</t>
        </is>
      </c>
      <c r="H23" s="8" t="n"/>
      <c r="I23" s="9" t="n"/>
      <c r="J23" s="9" t="inlineStr">
        <is>
          <t>未架電</t>
        </is>
      </c>
      <c r="K23" s="8" t="n"/>
      <c r="L23" s="9" t="n"/>
      <c r="M23" s="10" t="n"/>
      <c r="N23" s="11" t="inlineStr">
        <is>
          <t>https://yanai-g.ed.jp/contact/</t>
        </is>
      </c>
      <c r="O23" s="12" t="inlineStr">
        <is>
          <t>開く</t>
        </is>
      </c>
    </row>
    <row r="24">
      <c r="A24" s="4" t="n">
        <v>20</v>
      </c>
      <c r="B24" s="5" t="inlineStr">
        <is>
          <t>山口県</t>
        </is>
      </c>
      <c r="C24" s="5" t="inlineStr">
        <is>
          <t>山口市</t>
        </is>
      </c>
      <c r="D24" s="5" t="inlineStr">
        <is>
          <t>山口県鴻城高等学校</t>
        </is>
      </c>
      <c r="E24" s="6" t="inlineStr">
        <is>
          <t>083-972-0307</t>
        </is>
      </c>
      <c r="F24" s="7" t="inlineStr">
        <is>
          <t>高</t>
        </is>
      </c>
      <c r="G24" s="5" t="inlineStr">
        <is>
          <t>普通科・専門学科</t>
        </is>
      </c>
      <c r="H24" s="8" t="n"/>
      <c r="I24" s="9" t="n"/>
      <c r="J24" s="9" t="inlineStr">
        <is>
          <t>未架電</t>
        </is>
      </c>
      <c r="K24" s="8" t="n"/>
      <c r="L24" s="9" t="n"/>
      <c r="M24" s="10" t="inlineStr">
        <is>
          <t>衛生看護専攻科（宇部市）は別番号</t>
        </is>
      </c>
      <c r="N24" s="11" t="inlineStr">
        <is>
          <t>https://www.y-kojohs.jp/access/</t>
        </is>
      </c>
      <c r="O24" s="12" t="inlineStr">
        <is>
          <t>開く</t>
        </is>
      </c>
    </row>
    <row r="25">
      <c r="A25" s="4" t="n">
        <v>21</v>
      </c>
      <c r="B25" s="5" t="inlineStr">
        <is>
          <t>山口県</t>
        </is>
      </c>
      <c r="C25" s="5" t="inlineStr">
        <is>
          <t>周南市</t>
        </is>
      </c>
      <c r="D25" s="5" t="inlineStr">
        <is>
          <t>山口県桜ケ丘高等学校</t>
        </is>
      </c>
      <c r="E25" s="6" t="inlineStr">
        <is>
          <t>0834-21-0331</t>
        </is>
      </c>
      <c r="F25" s="7" t="inlineStr">
        <is>
          <t>高</t>
        </is>
      </c>
      <c r="G25" s="5" t="inlineStr">
        <is>
          <t>普通科・専門学科</t>
        </is>
      </c>
      <c r="H25" s="8" t="n"/>
      <c r="I25" s="9" t="n"/>
      <c r="J25" s="9" t="inlineStr">
        <is>
          <t>未架電</t>
        </is>
      </c>
      <c r="K25" s="8" t="n"/>
      <c r="L25" s="9" t="n"/>
      <c r="M25" s="10" t="inlineStr">
        <is>
          <t>晃英館コースは0834-33-3131</t>
        </is>
      </c>
      <c r="N25" s="11" t="inlineStr">
        <is>
          <t>https://www.y-sakuragaoka.ed.jp/contact.html</t>
        </is>
      </c>
      <c r="O25" s="12" t="inlineStr">
        <is>
          <t>開く</t>
        </is>
      </c>
    </row>
  </sheetData>
  <autoFilter ref="A4:O25"/>
  <conditionalFormatting sqref="A5:O25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25" showDropDown="0" showInputMessage="0" showErrorMessage="0" allowBlank="1" type="list">
      <formula1>"未架電,不在・折返し待ち,担当者不在,資料送付,アポ獲得,検討中,NG,番号不明"</formula1>
    </dataValidation>
    <dataValidation sqref="H5:H25 K5:K25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  <hyperlink xmlns:r="http://schemas.openxmlformats.org/officeDocument/2006/relationships" ref="O23" r:id="rId19"/>
    <hyperlink xmlns:r="http://schemas.openxmlformats.org/officeDocument/2006/relationships" ref="O24" r:id="rId20"/>
    <hyperlink xmlns:r="http://schemas.openxmlformats.org/officeDocument/2006/relationships" ref="O25" r:id="rId21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3" t="inlineStr">
        <is>
          <t>下関市</t>
        </is>
      </c>
      <c r="B4" s="13">
        <f>COUNTIF('架電リスト'!$C$5:$C$25,A4)</f>
        <v/>
      </c>
      <c r="C4" s="13">
        <f>COUNTIFS('架電リスト'!$C$5:$C$25,A4,'架電リスト'!$E$5:$E$25,"&lt;&gt;")</f>
        <v/>
      </c>
      <c r="D4" s="13">
        <f>B4-COUNTIFS('架電リスト'!$C$5:$C$25,A4,'架電リスト'!$J$5:$J$25,"未架電")-COUNTIFS('架電リスト'!$C$5:$C$25,A4,'架電リスト'!$J$5:$J$25,"")</f>
        <v/>
      </c>
      <c r="E4" s="13">
        <f>COUNTIFS('架電リスト'!$C$5:$C$25,$A4,'架電リスト'!$J$5:$J$25,"不在・折返し待ち")</f>
        <v/>
      </c>
      <c r="F4" s="13">
        <f>COUNTIFS('架電リスト'!$C$5:$C$25,$A4,'架電リスト'!$J$5:$J$25,"担当者不在")</f>
        <v/>
      </c>
      <c r="G4" s="13">
        <f>COUNTIFS('架電リスト'!$C$5:$C$25,$A4,'架電リスト'!$J$5:$J$25,"資料送付")</f>
        <v/>
      </c>
      <c r="H4" s="13">
        <f>COUNTIFS('架電リスト'!$C$5:$C$25,$A4,'架電リスト'!$J$5:$J$25,"アポ獲得")</f>
        <v/>
      </c>
      <c r="I4" s="13">
        <f>COUNTIFS('架電リスト'!$C$5:$C$25,$A4,'架電リスト'!$J$5:$J$25,"検討中")</f>
        <v/>
      </c>
      <c r="J4" s="13">
        <f>COUNTIFS('架電リスト'!$C$5:$C$25,$A4,'架電リスト'!$J$5:$J$25,"NG")</f>
        <v/>
      </c>
      <c r="K4" s="13">
        <f>COUNTIFS('架電リスト'!$C$5:$C$25,$A4,'架電リスト'!$J$5:$J$25,"番号不明")</f>
        <v/>
      </c>
    </row>
    <row r="5">
      <c r="A5" s="13" t="inlineStr">
        <is>
          <t>山口市</t>
        </is>
      </c>
      <c r="B5" s="13">
        <f>COUNTIF('架電リスト'!$C$5:$C$25,A5)</f>
        <v/>
      </c>
      <c r="C5" s="13">
        <f>COUNTIFS('架電リスト'!$C$5:$C$25,A5,'架電リスト'!$E$5:$E$25,"&lt;&gt;")</f>
        <v/>
      </c>
      <c r="D5" s="13">
        <f>B5-COUNTIFS('架電リスト'!$C$5:$C$25,A5,'架電リスト'!$J$5:$J$25,"未架電")-COUNTIFS('架電リスト'!$C$5:$C$25,A5,'架電リスト'!$J$5:$J$25,"")</f>
        <v/>
      </c>
      <c r="E5" s="13">
        <f>COUNTIFS('架電リスト'!$C$5:$C$25,$A5,'架電リスト'!$J$5:$J$25,"不在・折返し待ち")</f>
        <v/>
      </c>
      <c r="F5" s="13">
        <f>COUNTIFS('架電リスト'!$C$5:$C$25,$A5,'架電リスト'!$J$5:$J$25,"担当者不在")</f>
        <v/>
      </c>
      <c r="G5" s="13">
        <f>COUNTIFS('架電リスト'!$C$5:$C$25,$A5,'架電リスト'!$J$5:$J$25,"資料送付")</f>
        <v/>
      </c>
      <c r="H5" s="13">
        <f>COUNTIFS('架電リスト'!$C$5:$C$25,$A5,'架電リスト'!$J$5:$J$25,"アポ獲得")</f>
        <v/>
      </c>
      <c r="I5" s="13">
        <f>COUNTIFS('架電リスト'!$C$5:$C$25,$A5,'架電リスト'!$J$5:$J$25,"検討中")</f>
        <v/>
      </c>
      <c r="J5" s="13">
        <f>COUNTIFS('架電リスト'!$C$5:$C$25,$A5,'架電リスト'!$J$5:$J$25,"NG")</f>
        <v/>
      </c>
      <c r="K5" s="13">
        <f>COUNTIFS('架電リスト'!$C$5:$C$25,$A5,'架電リスト'!$J$5:$J$25,"番号不明")</f>
        <v/>
      </c>
    </row>
    <row r="6">
      <c r="A6" s="13" t="inlineStr">
        <is>
          <t>宇部市</t>
        </is>
      </c>
      <c r="B6" s="13">
        <f>COUNTIF('架電リスト'!$C$5:$C$25,A6)</f>
        <v/>
      </c>
      <c r="C6" s="13">
        <f>COUNTIFS('架電リスト'!$C$5:$C$25,A6,'架電リスト'!$E$5:$E$25,"&lt;&gt;")</f>
        <v/>
      </c>
      <c r="D6" s="13">
        <f>B6-COUNTIFS('架電リスト'!$C$5:$C$25,A6,'架電リスト'!$J$5:$J$25,"未架電")-COUNTIFS('架電リスト'!$C$5:$C$25,A6,'架電リスト'!$J$5:$J$25,"")</f>
        <v/>
      </c>
      <c r="E6" s="13">
        <f>COUNTIFS('架電リスト'!$C$5:$C$25,$A6,'架電リスト'!$J$5:$J$25,"不在・折返し待ち")</f>
        <v/>
      </c>
      <c r="F6" s="13">
        <f>COUNTIFS('架電リスト'!$C$5:$C$25,$A6,'架電リスト'!$J$5:$J$25,"担当者不在")</f>
        <v/>
      </c>
      <c r="G6" s="13">
        <f>COUNTIFS('架電リスト'!$C$5:$C$25,$A6,'架電リスト'!$J$5:$J$25,"資料送付")</f>
        <v/>
      </c>
      <c r="H6" s="13">
        <f>COUNTIFS('架電リスト'!$C$5:$C$25,$A6,'架電リスト'!$J$5:$J$25,"アポ獲得")</f>
        <v/>
      </c>
      <c r="I6" s="13">
        <f>COUNTIFS('架電リスト'!$C$5:$C$25,$A6,'架電リスト'!$J$5:$J$25,"検討中")</f>
        <v/>
      </c>
      <c r="J6" s="13">
        <f>COUNTIFS('架電リスト'!$C$5:$C$25,$A6,'架電リスト'!$J$5:$J$25,"NG")</f>
        <v/>
      </c>
      <c r="K6" s="13">
        <f>COUNTIFS('架電リスト'!$C$5:$C$25,$A6,'架電リスト'!$J$5:$J$25,"番号不明")</f>
        <v/>
      </c>
    </row>
    <row r="7">
      <c r="A7" s="13" t="inlineStr">
        <is>
          <t>防府市</t>
        </is>
      </c>
      <c r="B7" s="13">
        <f>COUNTIF('架電リスト'!$C$5:$C$25,A7)</f>
        <v/>
      </c>
      <c r="C7" s="13">
        <f>COUNTIFS('架電リスト'!$C$5:$C$25,A7,'架電リスト'!$E$5:$E$25,"&lt;&gt;")</f>
        <v/>
      </c>
      <c r="D7" s="13">
        <f>B7-COUNTIFS('架電リスト'!$C$5:$C$25,A7,'架電リスト'!$J$5:$J$25,"未架電")-COUNTIFS('架電リスト'!$C$5:$C$25,A7,'架電リスト'!$J$5:$J$25,"")</f>
        <v/>
      </c>
      <c r="E7" s="13">
        <f>COUNTIFS('架電リスト'!$C$5:$C$25,$A7,'架電リスト'!$J$5:$J$25,"不在・折返し待ち")</f>
        <v/>
      </c>
      <c r="F7" s="13">
        <f>COUNTIFS('架電リスト'!$C$5:$C$25,$A7,'架電リスト'!$J$5:$J$25,"担当者不在")</f>
        <v/>
      </c>
      <c r="G7" s="13">
        <f>COUNTIFS('架電リスト'!$C$5:$C$25,$A7,'架電リスト'!$J$5:$J$25,"資料送付")</f>
        <v/>
      </c>
      <c r="H7" s="13">
        <f>COUNTIFS('架電リスト'!$C$5:$C$25,$A7,'架電リスト'!$J$5:$J$25,"アポ獲得")</f>
        <v/>
      </c>
      <c r="I7" s="13">
        <f>COUNTIFS('架電リスト'!$C$5:$C$25,$A7,'架電リスト'!$J$5:$J$25,"検討中")</f>
        <v/>
      </c>
      <c r="J7" s="13">
        <f>COUNTIFS('架電リスト'!$C$5:$C$25,$A7,'架電リスト'!$J$5:$J$25,"NG")</f>
        <v/>
      </c>
      <c r="K7" s="13">
        <f>COUNTIFS('架電リスト'!$C$5:$C$25,$A7,'架電リスト'!$J$5:$J$25,"番号不明")</f>
        <v/>
      </c>
    </row>
    <row r="8">
      <c r="A8" s="13" t="inlineStr">
        <is>
          <t>山陽小野田市</t>
        </is>
      </c>
      <c r="B8" s="13">
        <f>COUNTIF('架電リスト'!$C$5:$C$25,A8)</f>
        <v/>
      </c>
      <c r="C8" s="13">
        <f>COUNTIFS('架電リスト'!$C$5:$C$25,A8,'架電リスト'!$E$5:$E$25,"&lt;&gt;")</f>
        <v/>
      </c>
      <c r="D8" s="13">
        <f>B8-COUNTIFS('架電リスト'!$C$5:$C$25,A8,'架電リスト'!$J$5:$J$25,"未架電")-COUNTIFS('架電リスト'!$C$5:$C$25,A8,'架電リスト'!$J$5:$J$25,"")</f>
        <v/>
      </c>
      <c r="E8" s="13">
        <f>COUNTIFS('架電リスト'!$C$5:$C$25,$A8,'架電リスト'!$J$5:$J$25,"不在・折返し待ち")</f>
        <v/>
      </c>
      <c r="F8" s="13">
        <f>COUNTIFS('架電リスト'!$C$5:$C$25,$A8,'架電リスト'!$J$5:$J$25,"担当者不在")</f>
        <v/>
      </c>
      <c r="G8" s="13">
        <f>COUNTIFS('架電リスト'!$C$5:$C$25,$A8,'架電リスト'!$J$5:$J$25,"資料送付")</f>
        <v/>
      </c>
      <c r="H8" s="13">
        <f>COUNTIFS('架電リスト'!$C$5:$C$25,$A8,'架電リスト'!$J$5:$J$25,"アポ獲得")</f>
        <v/>
      </c>
      <c r="I8" s="13">
        <f>COUNTIFS('架電リスト'!$C$5:$C$25,$A8,'架電リスト'!$J$5:$J$25,"検討中")</f>
        <v/>
      </c>
      <c r="J8" s="13">
        <f>COUNTIFS('架電リスト'!$C$5:$C$25,$A8,'架電リスト'!$J$5:$J$25,"NG")</f>
        <v/>
      </c>
      <c r="K8" s="13">
        <f>COUNTIFS('架電リスト'!$C$5:$C$25,$A8,'架電リスト'!$J$5:$J$25,"番号不明")</f>
        <v/>
      </c>
    </row>
    <row r="9">
      <c r="A9" s="13" t="inlineStr">
        <is>
          <t>光市</t>
        </is>
      </c>
      <c r="B9" s="13">
        <f>COUNTIF('架電リスト'!$C$5:$C$25,A9)</f>
        <v/>
      </c>
      <c r="C9" s="13">
        <f>COUNTIFS('架電リスト'!$C$5:$C$25,A9,'架電リスト'!$E$5:$E$25,"&lt;&gt;")</f>
        <v/>
      </c>
      <c r="D9" s="13">
        <f>B9-COUNTIFS('架電リスト'!$C$5:$C$25,A9,'架電リスト'!$J$5:$J$25,"未架電")-COUNTIFS('架電リスト'!$C$5:$C$25,A9,'架電リスト'!$J$5:$J$25,"")</f>
        <v/>
      </c>
      <c r="E9" s="13">
        <f>COUNTIFS('架電リスト'!$C$5:$C$25,$A9,'架電リスト'!$J$5:$J$25,"不在・折返し待ち")</f>
        <v/>
      </c>
      <c r="F9" s="13">
        <f>COUNTIFS('架電リスト'!$C$5:$C$25,$A9,'架電リスト'!$J$5:$J$25,"担当者不在")</f>
        <v/>
      </c>
      <c r="G9" s="13">
        <f>COUNTIFS('架電リスト'!$C$5:$C$25,$A9,'架電リスト'!$J$5:$J$25,"資料送付")</f>
        <v/>
      </c>
      <c r="H9" s="13">
        <f>COUNTIFS('架電リスト'!$C$5:$C$25,$A9,'架電リスト'!$J$5:$J$25,"アポ獲得")</f>
        <v/>
      </c>
      <c r="I9" s="13">
        <f>COUNTIFS('架電リスト'!$C$5:$C$25,$A9,'架電リスト'!$J$5:$J$25,"検討中")</f>
        <v/>
      </c>
      <c r="J9" s="13">
        <f>COUNTIFS('架電リスト'!$C$5:$C$25,$A9,'架電リスト'!$J$5:$J$25,"NG")</f>
        <v/>
      </c>
      <c r="K9" s="13">
        <f>COUNTIFS('架電リスト'!$C$5:$C$25,$A9,'架電リスト'!$J$5:$J$25,"番号不明")</f>
        <v/>
      </c>
    </row>
    <row r="10">
      <c r="A10" s="13" t="inlineStr">
        <is>
          <t>美祢市</t>
        </is>
      </c>
      <c r="B10" s="13">
        <f>COUNTIF('架電リスト'!$C$5:$C$25,A10)</f>
        <v/>
      </c>
      <c r="C10" s="13">
        <f>COUNTIFS('架電リスト'!$C$5:$C$25,A10,'架電リスト'!$E$5:$E$25,"&lt;&gt;")</f>
        <v/>
      </c>
      <c r="D10" s="13">
        <f>B10-COUNTIFS('架電リスト'!$C$5:$C$25,A10,'架電リスト'!$J$5:$J$25,"未架電")-COUNTIFS('架電リスト'!$C$5:$C$25,A10,'架電リスト'!$J$5:$J$25,"")</f>
        <v/>
      </c>
      <c r="E10" s="13">
        <f>COUNTIFS('架電リスト'!$C$5:$C$25,$A10,'架電リスト'!$J$5:$J$25,"不在・折返し待ち")</f>
        <v/>
      </c>
      <c r="F10" s="13">
        <f>COUNTIFS('架電リスト'!$C$5:$C$25,$A10,'架電リスト'!$J$5:$J$25,"担当者不在")</f>
        <v/>
      </c>
      <c r="G10" s="13">
        <f>COUNTIFS('架電リスト'!$C$5:$C$25,$A10,'架電リスト'!$J$5:$J$25,"資料送付")</f>
        <v/>
      </c>
      <c r="H10" s="13">
        <f>COUNTIFS('架電リスト'!$C$5:$C$25,$A10,'架電リスト'!$J$5:$J$25,"アポ獲得")</f>
        <v/>
      </c>
      <c r="I10" s="13">
        <f>COUNTIFS('架電リスト'!$C$5:$C$25,$A10,'架電リスト'!$J$5:$J$25,"検討中")</f>
        <v/>
      </c>
      <c r="J10" s="13">
        <f>COUNTIFS('架電リスト'!$C$5:$C$25,$A10,'架電リスト'!$J$5:$J$25,"NG")</f>
        <v/>
      </c>
      <c r="K10" s="13">
        <f>COUNTIFS('架電リスト'!$C$5:$C$25,$A10,'架電リスト'!$J$5:$J$25,"番号不明")</f>
        <v/>
      </c>
    </row>
    <row r="11">
      <c r="A11" s="13" t="inlineStr">
        <is>
          <t>岩国市</t>
        </is>
      </c>
      <c r="B11" s="13">
        <f>COUNTIF('架電リスト'!$C$5:$C$25,A11)</f>
        <v/>
      </c>
      <c r="C11" s="13">
        <f>COUNTIFS('架電リスト'!$C$5:$C$25,A11,'架電リスト'!$E$5:$E$25,"&lt;&gt;")</f>
        <v/>
      </c>
      <c r="D11" s="13">
        <f>B11-COUNTIFS('架電リスト'!$C$5:$C$25,A11,'架電リスト'!$J$5:$J$25,"未架電")-COUNTIFS('架電リスト'!$C$5:$C$25,A11,'架電リスト'!$J$5:$J$25,"")</f>
        <v/>
      </c>
      <c r="E11" s="13">
        <f>COUNTIFS('架電リスト'!$C$5:$C$25,$A11,'架電リスト'!$J$5:$J$25,"不在・折返し待ち")</f>
        <v/>
      </c>
      <c r="F11" s="13">
        <f>COUNTIFS('架電リスト'!$C$5:$C$25,$A11,'架電リスト'!$J$5:$J$25,"担当者不在")</f>
        <v/>
      </c>
      <c r="G11" s="13">
        <f>COUNTIFS('架電リスト'!$C$5:$C$25,$A11,'架電リスト'!$J$5:$J$25,"資料送付")</f>
        <v/>
      </c>
      <c r="H11" s="13">
        <f>COUNTIFS('架電リスト'!$C$5:$C$25,$A11,'架電リスト'!$J$5:$J$25,"アポ獲得")</f>
        <v/>
      </c>
      <c r="I11" s="13">
        <f>COUNTIFS('架電リスト'!$C$5:$C$25,$A11,'架電リスト'!$J$5:$J$25,"検討中")</f>
        <v/>
      </c>
      <c r="J11" s="13">
        <f>COUNTIFS('架電リスト'!$C$5:$C$25,$A11,'架電リスト'!$J$5:$J$25,"NG")</f>
        <v/>
      </c>
      <c r="K11" s="13">
        <f>COUNTIFS('架電リスト'!$C$5:$C$25,$A11,'架電リスト'!$J$5:$J$25,"番号不明")</f>
        <v/>
      </c>
    </row>
    <row r="12">
      <c r="A12" s="13" t="inlineStr">
        <is>
          <t>長門市</t>
        </is>
      </c>
      <c r="B12" s="13">
        <f>COUNTIF('架電リスト'!$C$5:$C$25,A12)</f>
        <v/>
      </c>
      <c r="C12" s="13">
        <f>COUNTIFS('架電リスト'!$C$5:$C$25,A12,'架電リスト'!$E$5:$E$25,"&lt;&gt;")</f>
        <v/>
      </c>
      <c r="D12" s="13">
        <f>B12-COUNTIFS('架電リスト'!$C$5:$C$25,A12,'架電リスト'!$J$5:$J$25,"未架電")-COUNTIFS('架電リスト'!$C$5:$C$25,A12,'架電リスト'!$J$5:$J$25,"")</f>
        <v/>
      </c>
      <c r="E12" s="13">
        <f>COUNTIFS('架電リスト'!$C$5:$C$25,$A12,'架電リスト'!$J$5:$J$25,"不在・折返し待ち")</f>
        <v/>
      </c>
      <c r="F12" s="13">
        <f>COUNTIFS('架電リスト'!$C$5:$C$25,$A12,'架電リスト'!$J$5:$J$25,"担当者不在")</f>
        <v/>
      </c>
      <c r="G12" s="13">
        <f>COUNTIFS('架電リスト'!$C$5:$C$25,$A12,'架電リスト'!$J$5:$J$25,"資料送付")</f>
        <v/>
      </c>
      <c r="H12" s="13">
        <f>COUNTIFS('架電リスト'!$C$5:$C$25,$A12,'架電リスト'!$J$5:$J$25,"アポ獲得")</f>
        <v/>
      </c>
      <c r="I12" s="13">
        <f>COUNTIFS('架電リスト'!$C$5:$C$25,$A12,'架電リスト'!$J$5:$J$25,"検討中")</f>
        <v/>
      </c>
      <c r="J12" s="13">
        <f>COUNTIFS('架電リスト'!$C$5:$C$25,$A12,'架電リスト'!$J$5:$J$25,"NG")</f>
        <v/>
      </c>
      <c r="K12" s="13">
        <f>COUNTIFS('架電リスト'!$C$5:$C$25,$A12,'架電リスト'!$J$5:$J$25,"番号不明")</f>
        <v/>
      </c>
    </row>
    <row r="13">
      <c r="A13" s="13" t="inlineStr">
        <is>
          <t>萩市</t>
        </is>
      </c>
      <c r="B13" s="13">
        <f>COUNTIF('架電リスト'!$C$5:$C$25,A13)</f>
        <v/>
      </c>
      <c r="C13" s="13">
        <f>COUNTIFS('架電リスト'!$C$5:$C$25,A13,'架電リスト'!$E$5:$E$25,"&lt;&gt;")</f>
        <v/>
      </c>
      <c r="D13" s="13">
        <f>B13-COUNTIFS('架電リスト'!$C$5:$C$25,A13,'架電リスト'!$J$5:$J$25,"未架電")-COUNTIFS('架電リスト'!$C$5:$C$25,A13,'架電リスト'!$J$5:$J$25,"")</f>
        <v/>
      </c>
      <c r="E13" s="13">
        <f>COUNTIFS('架電リスト'!$C$5:$C$25,$A13,'架電リスト'!$J$5:$J$25,"不在・折返し待ち")</f>
        <v/>
      </c>
      <c r="F13" s="13">
        <f>COUNTIFS('架電リスト'!$C$5:$C$25,$A13,'架電リスト'!$J$5:$J$25,"担当者不在")</f>
        <v/>
      </c>
      <c r="G13" s="13">
        <f>COUNTIFS('架電リスト'!$C$5:$C$25,$A13,'架電リスト'!$J$5:$J$25,"資料送付")</f>
        <v/>
      </c>
      <c r="H13" s="13">
        <f>COUNTIFS('架電リスト'!$C$5:$C$25,$A13,'架電リスト'!$J$5:$J$25,"アポ獲得")</f>
        <v/>
      </c>
      <c r="I13" s="13">
        <f>COUNTIFS('架電リスト'!$C$5:$C$25,$A13,'架電リスト'!$J$5:$J$25,"検討中")</f>
        <v/>
      </c>
      <c r="J13" s="13">
        <f>COUNTIFS('架電リスト'!$C$5:$C$25,$A13,'架電リスト'!$J$5:$J$25,"NG")</f>
        <v/>
      </c>
      <c r="K13" s="13">
        <f>COUNTIFS('架電リスト'!$C$5:$C$25,$A13,'架電リスト'!$J$5:$J$25,"番号不明")</f>
        <v/>
      </c>
    </row>
    <row r="14">
      <c r="A14" s="13" t="inlineStr">
        <is>
          <t>柳井市</t>
        </is>
      </c>
      <c r="B14" s="13">
        <f>COUNTIF('架電リスト'!$C$5:$C$25,A14)</f>
        <v/>
      </c>
      <c r="C14" s="13">
        <f>COUNTIFS('架電リスト'!$C$5:$C$25,A14,'架電リスト'!$E$5:$E$25,"&lt;&gt;")</f>
        <v/>
      </c>
      <c r="D14" s="13">
        <f>B14-COUNTIFS('架電リスト'!$C$5:$C$25,A14,'架電リスト'!$J$5:$J$25,"未架電")-COUNTIFS('架電リスト'!$C$5:$C$25,A14,'架電リスト'!$J$5:$J$25,"")</f>
        <v/>
      </c>
      <c r="E14" s="13">
        <f>COUNTIFS('架電リスト'!$C$5:$C$25,$A14,'架電リスト'!$J$5:$J$25,"不在・折返し待ち")</f>
        <v/>
      </c>
      <c r="F14" s="13">
        <f>COUNTIFS('架電リスト'!$C$5:$C$25,$A14,'架電リスト'!$J$5:$J$25,"担当者不在")</f>
        <v/>
      </c>
      <c r="G14" s="13">
        <f>COUNTIFS('架電リスト'!$C$5:$C$25,$A14,'架電リスト'!$J$5:$J$25,"資料送付")</f>
        <v/>
      </c>
      <c r="H14" s="13">
        <f>COUNTIFS('架電リスト'!$C$5:$C$25,$A14,'架電リスト'!$J$5:$J$25,"アポ獲得")</f>
        <v/>
      </c>
      <c r="I14" s="13">
        <f>COUNTIFS('架電リスト'!$C$5:$C$25,$A14,'架電リスト'!$J$5:$J$25,"検討中")</f>
        <v/>
      </c>
      <c r="J14" s="13">
        <f>COUNTIFS('架電リスト'!$C$5:$C$25,$A14,'架電リスト'!$J$5:$J$25,"NG")</f>
        <v/>
      </c>
      <c r="K14" s="13">
        <f>COUNTIFS('架電リスト'!$C$5:$C$25,$A14,'架電リスト'!$J$5:$J$25,"番号不明")</f>
        <v/>
      </c>
    </row>
    <row r="15">
      <c r="A15" s="13" t="inlineStr">
        <is>
          <t>周南市</t>
        </is>
      </c>
      <c r="B15" s="13">
        <f>COUNTIF('架電リスト'!$C$5:$C$25,A15)</f>
        <v/>
      </c>
      <c r="C15" s="13">
        <f>COUNTIFS('架電リスト'!$C$5:$C$25,A15,'架電リスト'!$E$5:$E$25,"&lt;&gt;")</f>
        <v/>
      </c>
      <c r="D15" s="13">
        <f>B15-COUNTIFS('架電リスト'!$C$5:$C$25,A15,'架電リスト'!$J$5:$J$25,"未架電")-COUNTIFS('架電リスト'!$C$5:$C$25,A15,'架電リスト'!$J$5:$J$25,"")</f>
        <v/>
      </c>
      <c r="E15" s="13">
        <f>COUNTIFS('架電リスト'!$C$5:$C$25,$A15,'架電リスト'!$J$5:$J$25,"不在・折返し待ち")</f>
        <v/>
      </c>
      <c r="F15" s="13">
        <f>COUNTIFS('架電リスト'!$C$5:$C$25,$A15,'架電リスト'!$J$5:$J$25,"担当者不在")</f>
        <v/>
      </c>
      <c r="G15" s="13">
        <f>COUNTIFS('架電リスト'!$C$5:$C$25,$A15,'架電リスト'!$J$5:$J$25,"資料送付")</f>
        <v/>
      </c>
      <c r="H15" s="13">
        <f>COUNTIFS('架電リスト'!$C$5:$C$25,$A15,'架電リスト'!$J$5:$J$25,"アポ獲得")</f>
        <v/>
      </c>
      <c r="I15" s="13">
        <f>COUNTIFS('架電リスト'!$C$5:$C$25,$A15,'架電リスト'!$J$5:$J$25,"検討中")</f>
        <v/>
      </c>
      <c r="J15" s="13">
        <f>COUNTIFS('架電リスト'!$C$5:$C$25,$A15,'架電リスト'!$J$5:$J$25,"NG")</f>
        <v/>
      </c>
      <c r="K15" s="13">
        <f>COUNTIFS('架電リスト'!$C$5:$C$25,$A15,'架電リスト'!$J$5:$J$25,"番号不明")</f>
        <v/>
      </c>
    </row>
    <row r="16">
      <c r="A16" s="14" t="inlineStr">
        <is>
          <t>合計</t>
        </is>
      </c>
      <c r="B16" s="14">
        <f>SUM(B4:B15)</f>
        <v/>
      </c>
      <c r="C16" s="14">
        <f>SUM(C4:C15)</f>
        <v/>
      </c>
      <c r="D16" s="14">
        <f>SUM(D4:D15)</f>
        <v/>
      </c>
      <c r="E16" s="14">
        <f>SUM(E4:E15)</f>
        <v/>
      </c>
      <c r="F16" s="14">
        <f>SUM(F4:F15)</f>
        <v/>
      </c>
      <c r="G16" s="14">
        <f>SUM(G4:G15)</f>
        <v/>
      </c>
      <c r="H16" s="14">
        <f>SUM(H4:H15)</f>
        <v/>
      </c>
      <c r="I16" s="14">
        <f>SUM(I4:I15)</f>
        <v/>
      </c>
      <c r="J16" s="14">
        <f>SUM(J4:J15)</f>
        <v/>
      </c>
      <c r="K16" s="14">
        <f>SUM(K4:K15)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5" t="inlineStr">
        <is>
          <t>■ 使い方</t>
        </is>
      </c>
    </row>
    <row r="2">
      <c r="A2" s="16" t="inlineStr">
        <is>
          <t>・「架電リスト」の黄色の列（電話番号・架電日・担当者・架電結果・次回連絡日・メモ）に入力してください。</t>
        </is>
      </c>
    </row>
    <row r="3">
      <c r="A3" s="16" t="inlineStr">
        <is>
          <t>・架電結果はプルダウンから選択します（アポ獲得＝緑、NG＝グレーで行が自動着色）。</t>
        </is>
      </c>
    </row>
    <row r="4">
      <c r="A4" s="16" t="inlineStr">
        <is>
          <t>・「学校情報ページ」の「開く」をクリックすると、学校ネットの各校ページが開きます。</t>
        </is>
      </c>
    </row>
    <row r="5">
      <c r="A5" s="16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6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6" t="inlineStr">
        <is>
          <t>・都道府県や市区町村で絞り込む場合は、見出し行の▼（フィルター）を使用してください。</t>
        </is>
      </c>
    </row>
    <row r="8">
      <c r="A8" s="16" t="inlineStr">
        <is>
          <t>・集計シートは入力内容に連動して自動で集計されます。</t>
        </is>
      </c>
    </row>
    <row r="9">
      <c r="A9" s="16" t="inlineStr"/>
    </row>
    <row r="10">
      <c r="A10" s="15" t="inlineStr">
        <is>
          <t>■ 元データについての注意</t>
        </is>
      </c>
    </row>
    <row r="11">
      <c r="A11" s="16" t="inlineStr">
        <is>
          <t>・出典：ご提供いただいた学校ネットの検索結果（私立高校・山口県、21校）の貼り付けデータ。並び順は都道府県ごとに元データの掲載順です。</t>
        </is>
      </c>
    </row>
    <row r="12">
      <c r="A12" s="16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6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6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2026-10-14T01:41:21Z</dcterms:created>
  <dcterms:modified xsi:type="dcterms:W3CDTF">2026-10-14T01:41:21Z</dcterms:modified>
</cp:coreProperties>
</file>