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'架電リスト'!$A$4:$O$59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49" fontId="4" fillId="3" borderId="1" applyAlignment="1" pivotButton="0" quotePrefix="0" xfId="0">
      <alignment vertical="center"/>
    </xf>
    <xf numFmtId="0" fontId="4" fillId="6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7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1394.html" TargetMode="External" Id="rId1" /><Relationship Type="http://schemas.openxmlformats.org/officeDocument/2006/relationships/hyperlink" Target="https://www.gakkou.net/kou/view/index_301490.html" TargetMode="External" Id="rId2" /><Relationship Type="http://schemas.openxmlformats.org/officeDocument/2006/relationships/hyperlink" Target="https://www.gakkou.net/kou/view/index_301395.html" TargetMode="External" Id="rId3" /><Relationship Type="http://schemas.openxmlformats.org/officeDocument/2006/relationships/hyperlink" Target="https://www.gakkou.net/kou/view/index_301396.html" TargetMode="External" Id="rId4" /><Relationship Type="http://schemas.openxmlformats.org/officeDocument/2006/relationships/hyperlink" Target="https://www.gakkou.net/kou/view/index_301390.html" TargetMode="External" Id="rId5" /><Relationship Type="http://schemas.openxmlformats.org/officeDocument/2006/relationships/hyperlink" Target="https://www.gakkou.net/kou/view/index_301386.html" TargetMode="External" Id="rId6" /><Relationship Type="http://schemas.openxmlformats.org/officeDocument/2006/relationships/hyperlink" Target="https://www.gakkou.net/kou/view/index_301387.html" TargetMode="External" Id="rId7" /><Relationship Type="http://schemas.openxmlformats.org/officeDocument/2006/relationships/hyperlink" Target="https://www.gakkou.net/kou/view/index_306496.html" TargetMode="External" Id="rId8" /><Relationship Type="http://schemas.openxmlformats.org/officeDocument/2006/relationships/hyperlink" Target="https://www.gakkou.net/kou/view/index_301517.html" TargetMode="External" Id="rId9" /><Relationship Type="http://schemas.openxmlformats.org/officeDocument/2006/relationships/hyperlink" Target="https://www.gakkou.net/kou/view/index_301357.html" TargetMode="External" Id="rId10" /><Relationship Type="http://schemas.openxmlformats.org/officeDocument/2006/relationships/hyperlink" Target="https://www.gakkou.net/kou/view/index_301406.html" TargetMode="External" Id="rId11" /><Relationship Type="http://schemas.openxmlformats.org/officeDocument/2006/relationships/hyperlink" Target="https://www.gakkou.net/kou/view/index_306760.html" TargetMode="External" Id="rId12" /><Relationship Type="http://schemas.openxmlformats.org/officeDocument/2006/relationships/hyperlink" Target="https://www.gakkou.net/kou/view/index_301436.html" TargetMode="External" Id="rId13" /><Relationship Type="http://schemas.openxmlformats.org/officeDocument/2006/relationships/hyperlink" Target="https://www.gakkou.net/kou/view/index_306449.html" TargetMode="External" Id="rId14" /><Relationship Type="http://schemas.openxmlformats.org/officeDocument/2006/relationships/hyperlink" Target="https://www.gakkou.net/kou/view/index_301462.html" TargetMode="External" Id="rId15" /><Relationship Type="http://schemas.openxmlformats.org/officeDocument/2006/relationships/hyperlink" Target="https://www.gakkou.net/kou/view/index_301509.html" TargetMode="External" Id="rId16" /><Relationship Type="http://schemas.openxmlformats.org/officeDocument/2006/relationships/hyperlink" Target="https://www.gakkou.net/kou/view/index_306425.html" TargetMode="External" Id="rId17" /><Relationship Type="http://schemas.openxmlformats.org/officeDocument/2006/relationships/hyperlink" Target="https://www.gakkou.net/kou/view/index_301361.html" TargetMode="External" Id="rId18" /><Relationship Type="http://schemas.openxmlformats.org/officeDocument/2006/relationships/hyperlink" Target="https://www.gakkou.net/kou/view/index_301480.html" TargetMode="External" Id="rId19" /><Relationship Type="http://schemas.openxmlformats.org/officeDocument/2006/relationships/hyperlink" Target="https://www.gakkou.net/kou/view/index_306437.html" TargetMode="External" Id="rId20" /><Relationship Type="http://schemas.openxmlformats.org/officeDocument/2006/relationships/hyperlink" Target="https://www.gakkou.net/kou/view/index_301352.html" TargetMode="External" Id="rId21" /><Relationship Type="http://schemas.openxmlformats.org/officeDocument/2006/relationships/hyperlink" Target="https://www.gakkou.net/kou/view/index_301532.html" TargetMode="External" Id="rId22" /><Relationship Type="http://schemas.openxmlformats.org/officeDocument/2006/relationships/hyperlink" Target="https://www.gakkou.net/kou/view/index_306438.html" TargetMode="External" Id="rId23" /><Relationship Type="http://schemas.openxmlformats.org/officeDocument/2006/relationships/hyperlink" Target="https://www.gakkou.net/kou/view/index_301561.html" TargetMode="External" Id="rId24" /><Relationship Type="http://schemas.openxmlformats.org/officeDocument/2006/relationships/hyperlink" Target="https://www.gakkou.net/kou/view/index_301487.html" TargetMode="External" Id="rId25" /><Relationship Type="http://schemas.openxmlformats.org/officeDocument/2006/relationships/hyperlink" Target="https://www.gakkou.net/kou/view/index_301401.html" TargetMode="External" Id="rId26" /><Relationship Type="http://schemas.openxmlformats.org/officeDocument/2006/relationships/hyperlink" Target="https://www.gakkou.net/kou/view/index_301481.html" TargetMode="External" Id="rId27" /><Relationship Type="http://schemas.openxmlformats.org/officeDocument/2006/relationships/hyperlink" Target="https://www.gakkou.net/kou/view/index_301576.html" TargetMode="External" Id="rId28" /><Relationship Type="http://schemas.openxmlformats.org/officeDocument/2006/relationships/hyperlink" Target="https://www.gakkou.net/kou/view/index_301444.html" TargetMode="External" Id="rId29" /><Relationship Type="http://schemas.openxmlformats.org/officeDocument/2006/relationships/hyperlink" Target="https://www.gakkou.net/kou/view/index_301528.html" TargetMode="External" Id="rId30" /><Relationship Type="http://schemas.openxmlformats.org/officeDocument/2006/relationships/hyperlink" Target="https://www.gakkou.net/kou/view/index_301463.html" TargetMode="External" Id="rId31" /><Relationship Type="http://schemas.openxmlformats.org/officeDocument/2006/relationships/hyperlink" Target="https://www.gakkou.net/kou/view/index_301495.html" TargetMode="External" Id="rId32" /><Relationship Type="http://schemas.openxmlformats.org/officeDocument/2006/relationships/hyperlink" Target="https://www.gakkou.net/kou/view/index_301504.html" TargetMode="External" Id="rId33" /><Relationship Type="http://schemas.openxmlformats.org/officeDocument/2006/relationships/hyperlink" Target="https://www.gakkou.net/kou/view/index_301524.html" TargetMode="External" Id="rId34" /><Relationship Type="http://schemas.openxmlformats.org/officeDocument/2006/relationships/hyperlink" Target="https://www.gakkou.net/kou/view/index_306485.html" TargetMode="External" Id="rId35" /><Relationship Type="http://schemas.openxmlformats.org/officeDocument/2006/relationships/hyperlink" Target="https://www.gakkou.net/kou/view/index_306573.html" TargetMode="External" Id="rId36" /><Relationship Type="http://schemas.openxmlformats.org/officeDocument/2006/relationships/hyperlink" Target="https://www.gakkou.net/kou/view/index_301578.html" TargetMode="External" Id="rId37" /><Relationship Type="http://schemas.openxmlformats.org/officeDocument/2006/relationships/hyperlink" Target="https://www.gakkou.net/kou/view/index_301512.html" TargetMode="External" Id="rId38" /><Relationship Type="http://schemas.openxmlformats.org/officeDocument/2006/relationships/hyperlink" Target="https://www.gakkou.net/kou/view/index_301464.html" TargetMode="External" Id="rId39" /><Relationship Type="http://schemas.openxmlformats.org/officeDocument/2006/relationships/hyperlink" Target="https://www.gakkou.net/kou/view/index_301429.html" TargetMode="External" Id="rId40" /><Relationship Type="http://schemas.openxmlformats.org/officeDocument/2006/relationships/hyperlink" Target="https://www.gakkou.net/kou/view/index_301451.html" TargetMode="External" Id="rId41" /><Relationship Type="http://schemas.openxmlformats.org/officeDocument/2006/relationships/hyperlink" Target="https://www.gakkou.net/kou/view/index_301533.html" TargetMode="External" Id="rId42" /><Relationship Type="http://schemas.openxmlformats.org/officeDocument/2006/relationships/hyperlink" Target="https://www.gakkou.net/kou/view/index_301380.html" TargetMode="External" Id="rId43" /><Relationship Type="http://schemas.openxmlformats.org/officeDocument/2006/relationships/hyperlink" Target="https://www.gakkou.net/kou/view/index_301471.html" TargetMode="External" Id="rId44" /><Relationship Type="http://schemas.openxmlformats.org/officeDocument/2006/relationships/hyperlink" Target="https://www.gakkou.net/kou/view/index_301510.html" TargetMode="External" Id="rId45" /><Relationship Type="http://schemas.openxmlformats.org/officeDocument/2006/relationships/hyperlink" Target="https://www.gakkou.net/kou/view/index_301580.html" TargetMode="External" Id="rId46" /><Relationship Type="http://schemas.openxmlformats.org/officeDocument/2006/relationships/hyperlink" Target="https://www.gakkou.net/kou/view/index_301581.html" TargetMode="External" Id="rId47" /><Relationship Type="http://schemas.openxmlformats.org/officeDocument/2006/relationships/hyperlink" Target="https://www.gakkou.net/kou/view/index_306442.html" TargetMode="External" Id="rId48" /><Relationship Type="http://schemas.openxmlformats.org/officeDocument/2006/relationships/hyperlink" Target="https://www.gakkou.net/kou/view/index_301478.html" TargetMode="External" Id="rId49" /><Relationship Type="http://schemas.openxmlformats.org/officeDocument/2006/relationships/hyperlink" Target="https://www.gakkou.net/kou/view/index_301535.html" TargetMode="External" Id="rId50" /><Relationship Type="http://schemas.openxmlformats.org/officeDocument/2006/relationships/hyperlink" Target="https://www.gakkou.net/kou/view/index_306450.html" TargetMode="External" Id="rId51" /><Relationship Type="http://schemas.openxmlformats.org/officeDocument/2006/relationships/hyperlink" Target="https://www.gakkou.net/kou/view/index_301482.html" TargetMode="External" Id="rId52" /><Relationship Type="http://schemas.openxmlformats.org/officeDocument/2006/relationships/hyperlink" Target="https://www.gakkou.net/kou/view/index_306403.html" TargetMode="External" Id="rId53" /><Relationship Type="http://schemas.openxmlformats.org/officeDocument/2006/relationships/hyperlink" Target="https://www.gakkou.net/kou/view/index_301502.html" TargetMode="External" Id="rId54" /><Relationship Type="http://schemas.openxmlformats.org/officeDocument/2006/relationships/hyperlink" Target="https://www.gakkou.net/kou/view/index_301582.html" TargetMode="External" Id="rId55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9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架電リスト（埼玉県／55校）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埼玉県</t>
        </is>
      </c>
      <c r="C5" s="5" t="inlineStr">
        <is>
          <t>さいたま市緑区</t>
        </is>
      </c>
      <c r="D5" s="5" t="inlineStr">
        <is>
          <t>青山学院大学系属浦和ルーテル学院高等学校</t>
        </is>
      </c>
      <c r="E5" s="6" t="inlineStr">
        <is>
          <t>048-711-8221</t>
        </is>
      </c>
      <c r="F5" s="7" t="inlineStr">
        <is>
          <t>高</t>
        </is>
      </c>
      <c r="G5" s="5" t="inlineStr">
        <is>
          <t>普通科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中高共通。学校ネットの一覧に区名がなく、所在地は緑区（大崎）として調査</t>
        </is>
      </c>
      <c r="N5" s="11" t="inlineStr">
        <is>
          <t>https://www.inter-edu.com/schools/school/1371 ; https://school.js88.com/scl_h/22004860</t>
        </is>
      </c>
      <c r="O5" s="12" t="inlineStr">
        <is>
          <t>開く</t>
        </is>
      </c>
    </row>
    <row r="6">
      <c r="A6" s="4" t="n">
        <v>2</v>
      </c>
      <c r="B6" s="5" t="inlineStr">
        <is>
          <t>埼玉県</t>
        </is>
      </c>
      <c r="C6" s="5" t="inlineStr">
        <is>
          <t>狭山市</t>
        </is>
      </c>
      <c r="D6" s="5" t="inlineStr">
        <is>
          <t>秋草学園高等学校</t>
        </is>
      </c>
      <c r="E6" s="6" t="inlineStr">
        <is>
          <t>04-2958-4111</t>
        </is>
      </c>
      <c r="F6" s="7" t="inlineStr">
        <is>
          <t>高</t>
        </is>
      </c>
      <c r="G6" s="5" t="inlineStr">
        <is>
          <t>普通科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2つの情報源で一致</t>
        </is>
      </c>
      <c r="N6" s="11" t="inlineStr">
        <is>
          <t>https://www.inter-edu.com/schools/school/552 ; https://www.univpress.co.jp/gk_pdf/11541.pdf</t>
        </is>
      </c>
      <c r="O6" s="12" t="inlineStr">
        <is>
          <t>開く</t>
        </is>
      </c>
    </row>
    <row r="7">
      <c r="A7" s="4" t="n">
        <v>3</v>
      </c>
      <c r="B7" s="5" t="inlineStr">
        <is>
          <t>埼玉県</t>
        </is>
      </c>
      <c r="C7" s="5" t="inlineStr">
        <is>
          <t>さいたま市緑区</t>
        </is>
      </c>
      <c r="D7" s="5" t="inlineStr">
        <is>
          <t>浦和明の星女子高等学校</t>
        </is>
      </c>
      <c r="E7" s="6" t="inlineStr">
        <is>
          <t>048-873-1160</t>
        </is>
      </c>
      <c r="F7" s="13" t="inlineStr">
        <is>
          <t>中</t>
        </is>
      </c>
      <c r="G7" s="5" t="inlineStr">
        <is>
          <t>普通科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中高共通。学校情報サイト1件のみで確認</t>
        </is>
      </c>
      <c r="N7" s="11" t="inlineStr">
        <is>
          <t>https://www.inter-edu.com/schools/school/47</t>
        </is>
      </c>
      <c r="O7" s="12" t="inlineStr">
        <is>
          <t>開く</t>
        </is>
      </c>
    </row>
    <row r="8">
      <c r="A8" s="4" t="n">
        <v>4</v>
      </c>
      <c r="B8" s="5" t="inlineStr">
        <is>
          <t>埼玉県</t>
        </is>
      </c>
      <c r="C8" s="5" t="inlineStr">
        <is>
          <t>さいたま市緑区</t>
        </is>
      </c>
      <c r="D8" s="5" t="inlineStr">
        <is>
          <t>浦和学院高等学校</t>
        </is>
      </c>
      <c r="E8" s="6" t="inlineStr">
        <is>
          <t>048-878-2101</t>
        </is>
      </c>
      <c r="F8" s="7" t="inlineStr">
        <is>
          <t>高</t>
        </is>
      </c>
      <c r="G8" s="5" t="inlineStr">
        <is>
          <t>普通科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2つの情報源で一致。併設中学校（2026年開校）は048-767-8484</t>
        </is>
      </c>
      <c r="N8" s="11" t="inlineStr">
        <is>
          <t>https://www.inter-edu.com/schools/school/561 ; https://univpress.co.jp/gk_pdf/11529.pdf</t>
        </is>
      </c>
      <c r="O8" s="12" t="inlineStr">
        <is>
          <t>開く</t>
        </is>
      </c>
    </row>
    <row r="9">
      <c r="A9" s="4" t="n">
        <v>5</v>
      </c>
      <c r="B9" s="5" t="inlineStr">
        <is>
          <t>埼玉県</t>
        </is>
      </c>
      <c r="C9" s="5" t="inlineStr">
        <is>
          <t>さいたま市南区</t>
        </is>
      </c>
      <c r="D9" s="5" t="inlineStr">
        <is>
          <t>浦和実業学園高等学校</t>
        </is>
      </c>
      <c r="E9" s="6" t="inlineStr">
        <is>
          <t>048-861-6131</t>
        </is>
      </c>
      <c r="F9" s="7" t="inlineStr">
        <is>
          <t>高</t>
        </is>
      </c>
      <c r="G9" s="5" t="inlineStr">
        <is>
          <t>普通科・専門学科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中高共通</t>
        </is>
      </c>
      <c r="N9" s="11" t="inlineStr">
        <is>
          <t>https://www.inter-edu.com/schools/school/2026 ; https://www.univpress.co.jp/gk_pdf/11520.pdf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埼玉県</t>
        </is>
      </c>
      <c r="C10" s="5" t="inlineStr">
        <is>
          <t>さいたま市浦和区</t>
        </is>
      </c>
      <c r="D10" s="5" t="inlineStr">
        <is>
          <t>浦和麗明高等学校</t>
        </is>
      </c>
      <c r="E10" s="6" t="inlineStr">
        <is>
          <t>048-885-8625</t>
        </is>
      </c>
      <c r="F10" s="7" t="inlineStr">
        <is>
          <t>高</t>
        </is>
      </c>
      <c r="G10" s="5" t="inlineStr">
        <is>
          <t>普通科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2つの情報源で一致</t>
        </is>
      </c>
      <c r="N10" s="11" t="inlineStr">
        <is>
          <t>https://www.inter-edu.com/schools/school/562 ; https://univpress.co.jp/gk_pdf/11503.pdf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埼玉県</t>
        </is>
      </c>
      <c r="C11" s="5" t="inlineStr">
        <is>
          <t>越谷市</t>
        </is>
      </c>
      <c r="D11" s="5" t="inlineStr">
        <is>
          <t>叡明高等学校</t>
        </is>
      </c>
      <c r="E11" s="6" t="inlineStr">
        <is>
          <t>048-990-2211</t>
        </is>
      </c>
      <c r="F11" s="7" t="inlineStr">
        <is>
          <t>高</t>
        </is>
      </c>
      <c r="G11" s="5" t="inlineStr">
        <is>
          <t>普通科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2つの情報源で一致</t>
        </is>
      </c>
      <c r="N11" s="11" t="inlineStr">
        <is>
          <t>https://www.inter-edu.com/schools/school/564 ; https://map.yahoo.co.jp/v3/place/BK8H6OEnJI-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埼玉県</t>
        </is>
      </c>
      <c r="C12" s="5" t="inlineStr">
        <is>
          <t>飯能市</t>
        </is>
      </c>
      <c r="D12" s="5" t="inlineStr">
        <is>
          <t>大川学園高等学校</t>
        </is>
      </c>
      <c r="E12" s="6" t="inlineStr">
        <is>
          <t>042-974-8880</t>
        </is>
      </c>
      <c r="F12" s="13" t="inlineStr">
        <is>
          <t>中</t>
        </is>
      </c>
      <c r="G12" s="5" t="inlineStr">
        <is>
          <t>普通科・専門学科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通信制。学校の講師募集要項の問い合わせ先（同じ法人の専門学校と共通の可能性）</t>
        </is>
      </c>
      <c r="N12" s="11" t="inlineStr">
        <is>
          <t>https://portal2.mugendai.do-johodai.ac.jp/wordpress/wp-content/uploads/2025/02/大川学園高等学校非常勤講師要綱.pdf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埼玉県</t>
        </is>
      </c>
      <c r="C13" s="5" t="inlineStr">
        <is>
          <t>嵐山町</t>
        </is>
      </c>
      <c r="D13" s="5" t="inlineStr">
        <is>
          <t>大妻嵐山高等学校</t>
        </is>
      </c>
      <c r="E13" s="6" t="inlineStr">
        <is>
          <t>0493-62-2281</t>
        </is>
      </c>
      <c r="F13" s="13" t="inlineStr">
        <is>
          <t>中</t>
        </is>
      </c>
      <c r="G13" s="5" t="inlineStr">
        <is>
          <t>普通科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学校情報サイト1件のみで確認</t>
        </is>
      </c>
      <c r="N13" s="11" t="inlineStr">
        <is>
          <t>https://www.inter-edu.com/schools/school/1970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埼玉県</t>
        </is>
      </c>
      <c r="C14" s="5" t="inlineStr">
        <is>
          <t>さいたま市大宮区</t>
        </is>
      </c>
      <c r="D14" s="5" t="inlineStr">
        <is>
          <t>大宮開成高等学校</t>
        </is>
      </c>
      <c r="E14" s="6" t="inlineStr">
        <is>
          <t>048-641-7161</t>
        </is>
      </c>
      <c r="F14" s="7" t="inlineStr">
        <is>
          <t>高</t>
        </is>
      </c>
      <c r="G14" s="5" t="inlineStr">
        <is>
          <t>普通科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inlineStr">
        <is>
          <t>公式資料で確認。中高共通</t>
        </is>
      </c>
      <c r="N14" s="11" t="inlineStr">
        <is>
          <t>https://www.omiyakaisei.jp/pdf/hs/r07_hs-event.pdf</t>
        </is>
      </c>
      <c r="O14" s="12" t="inlineStr">
        <is>
          <t>開く</t>
        </is>
      </c>
    </row>
    <row r="15">
      <c r="A15" s="4" t="n">
        <v>11</v>
      </c>
      <c r="B15" s="5" t="inlineStr">
        <is>
          <t>埼玉県</t>
        </is>
      </c>
      <c r="C15" s="5" t="inlineStr">
        <is>
          <t>さいたま市岩槻区</t>
        </is>
      </c>
      <c r="D15" s="5" t="inlineStr">
        <is>
          <t>開智高等学校（埼玉県）</t>
        </is>
      </c>
      <c r="E15" s="6" t="inlineStr">
        <is>
          <t>048-794-4321</t>
        </is>
      </c>
      <c r="F15" s="13" t="inlineStr">
        <is>
          <t>中</t>
        </is>
      </c>
      <c r="G15" s="5" t="inlineStr">
        <is>
          <t>普通科</t>
        </is>
      </c>
      <c r="H15" s="8" t="n"/>
      <c r="I15" s="9" t="n"/>
      <c r="J15" s="9" t="inlineStr">
        <is>
          <t>未架電</t>
        </is>
      </c>
      <c r="K15" s="8" t="n"/>
      <c r="L15" s="9" t="n"/>
      <c r="M15" s="10" t="inlineStr">
        <is>
          <t>代表として掲載。高等部（048-793-1370）・一貫部（048-795-0777）の番号が別にあり要確認</t>
        </is>
      </c>
      <c r="N15" s="11" t="inlineStr">
        <is>
          <t>https://school.js88.com/scl_h/22005030</t>
        </is>
      </c>
      <c r="O15" s="12" t="inlineStr">
        <is>
          <t>開く</t>
        </is>
      </c>
    </row>
    <row r="16">
      <c r="A16" s="4" t="n">
        <v>12</v>
      </c>
      <c r="B16" s="5" t="inlineStr">
        <is>
          <t>埼玉県</t>
        </is>
      </c>
      <c r="C16" s="5" t="inlineStr">
        <is>
          <t>加須市</t>
        </is>
      </c>
      <c r="D16" s="5" t="inlineStr">
        <is>
          <t>開智未来高等学校</t>
        </is>
      </c>
      <c r="E16" s="6" t="inlineStr">
        <is>
          <t>0280-61-2021</t>
        </is>
      </c>
      <c r="F16" s="13" t="inlineStr">
        <is>
          <t>中</t>
        </is>
      </c>
      <c r="G16" s="5" t="inlineStr">
        <is>
          <t>普通科</t>
        </is>
      </c>
      <c r="H16" s="8" t="n"/>
      <c r="I16" s="9" t="n"/>
      <c r="J16" s="9" t="inlineStr">
        <is>
          <t>未架電</t>
        </is>
      </c>
      <c r="K16" s="8" t="n"/>
      <c r="L16" s="9" t="n"/>
      <c r="M16" s="10" t="inlineStr">
        <is>
          <t>代表として掲載（0280-61-2031を載せるサイトもあり）</t>
        </is>
      </c>
      <c r="N16" s="11" t="inlineStr">
        <is>
          <t>https://www.inter-edu.com/schools/school/269 ; https://school.js88.com/scl_h/34029513</t>
        </is>
      </c>
      <c r="O16" s="12" t="inlineStr">
        <is>
          <t>開く</t>
        </is>
      </c>
    </row>
    <row r="17">
      <c r="A17" s="4" t="n">
        <v>13</v>
      </c>
      <c r="B17" s="5" t="inlineStr">
        <is>
          <t>埼玉県</t>
        </is>
      </c>
      <c r="C17" s="5" t="inlineStr">
        <is>
          <t>春日部市</t>
        </is>
      </c>
      <c r="D17" s="5" t="inlineStr">
        <is>
          <t>春日部共栄高等学校</t>
        </is>
      </c>
      <c r="E17" s="6" t="inlineStr">
        <is>
          <t>048-737-7611</t>
        </is>
      </c>
      <c r="F17" s="7" t="inlineStr">
        <is>
          <t>高</t>
        </is>
      </c>
      <c r="G17" s="5" t="inlineStr">
        <is>
          <t>普通科</t>
        </is>
      </c>
      <c r="H17" s="8" t="n"/>
      <c r="I17" s="9" t="n"/>
      <c r="J17" s="9" t="inlineStr">
        <is>
          <t>未架電</t>
        </is>
      </c>
      <c r="K17" s="8" t="n"/>
      <c r="L17" s="9" t="n"/>
      <c r="M17" s="10" t="inlineStr">
        <is>
          <t>中高共通</t>
        </is>
      </c>
      <c r="N17" s="11" t="inlineStr">
        <is>
          <t>https://www.inter-edu.com/schools/school/2028 ; https://www.univpress.Co.jp/gk_pdf/11534.pdf</t>
        </is>
      </c>
      <c r="O17" s="12" t="inlineStr">
        <is>
          <t>開く</t>
        </is>
      </c>
    </row>
    <row r="18">
      <c r="A18" s="4" t="n">
        <v>14</v>
      </c>
      <c r="B18" s="5" t="inlineStr">
        <is>
          <t>埼玉県</t>
        </is>
      </c>
      <c r="C18" s="5" t="inlineStr">
        <is>
          <t>川越市</t>
        </is>
      </c>
      <c r="D18" s="5" t="inlineStr">
        <is>
          <t>霞ヶ関高等学校</t>
        </is>
      </c>
      <c r="E18" s="6" t="inlineStr">
        <is>
          <t>049-233-3636</t>
        </is>
      </c>
      <c r="F18" s="13" t="inlineStr">
        <is>
          <t>中</t>
        </is>
      </c>
      <c r="G18" s="5" t="inlineStr">
        <is>
          <t>普通科</t>
        </is>
      </c>
      <c r="H18" s="8" t="n"/>
      <c r="I18" s="9" t="n"/>
      <c r="J18" s="9" t="inlineStr">
        <is>
          <t>未架電</t>
        </is>
      </c>
      <c r="K18" s="8" t="n"/>
      <c r="L18" s="9" t="n"/>
      <c r="M18" s="10" t="inlineStr">
        <is>
          <t>通信制。学校情報サイト1件のみで確認</t>
        </is>
      </c>
      <c r="N18" s="11" t="inlineStr">
        <is>
          <t>https://www.minkou.jp/tsushin/school/14/</t>
        </is>
      </c>
      <c r="O18" s="12" t="inlineStr">
        <is>
          <t>開く</t>
        </is>
      </c>
    </row>
    <row r="19">
      <c r="A19" s="4" t="n">
        <v>15</v>
      </c>
      <c r="B19" s="5" t="inlineStr">
        <is>
          <t>埼玉県</t>
        </is>
      </c>
      <c r="C19" s="5" t="inlineStr">
        <is>
          <t>川越市</t>
        </is>
      </c>
      <c r="D19" s="5" t="inlineStr">
        <is>
          <t>川越東高等学校</t>
        </is>
      </c>
      <c r="E19" s="6" t="inlineStr">
        <is>
          <t>049-235-4811</t>
        </is>
      </c>
      <c r="F19" s="7" t="inlineStr">
        <is>
          <t>高</t>
        </is>
      </c>
      <c r="G19" s="5" t="inlineStr">
        <is>
          <t>普通科</t>
        </is>
      </c>
      <c r="H19" s="8" t="n"/>
      <c r="I19" s="9" t="n"/>
      <c r="J19" s="9" t="inlineStr">
        <is>
          <t>未架電</t>
        </is>
      </c>
      <c r="K19" s="8" t="n"/>
      <c r="L19" s="9" t="n"/>
      <c r="M19" s="10" t="inlineStr">
        <is>
          <t>2つの情報源で一致</t>
        </is>
      </c>
      <c r="N19" s="11" t="inlineStr">
        <is>
          <t>https://www.inter-edu.com/schools/school/540 ; https://map.yahoo.co.jp/v3/place/aJytamF9ijs</t>
        </is>
      </c>
      <c r="O19" s="12" t="inlineStr">
        <is>
          <t>開く</t>
        </is>
      </c>
    </row>
    <row r="20">
      <c r="A20" s="4" t="n">
        <v>16</v>
      </c>
      <c r="B20" s="5" t="inlineStr">
        <is>
          <t>埼玉県</t>
        </is>
      </c>
      <c r="C20" s="5" t="inlineStr">
        <is>
          <t>志木市</t>
        </is>
      </c>
      <c r="D20" s="5" t="inlineStr">
        <is>
          <t>慶應義塾志木高等学校</t>
        </is>
      </c>
      <c r="E20" s="6" t="inlineStr">
        <is>
          <t>048-471-1361</t>
        </is>
      </c>
      <c r="F20" s="7" t="inlineStr">
        <is>
          <t>高</t>
        </is>
      </c>
      <c r="G20" s="5" t="inlineStr">
        <is>
          <t>普通科</t>
        </is>
      </c>
      <c r="H20" s="8" t="n"/>
      <c r="I20" s="9" t="n"/>
      <c r="J20" s="9" t="inlineStr">
        <is>
          <t>未架電</t>
        </is>
      </c>
      <c r="K20" s="8" t="n"/>
      <c r="L20" s="9" t="n"/>
      <c r="M20" s="10" t="inlineStr">
        <is>
          <t>公式資料に「代表」と記載</t>
        </is>
      </c>
      <c r="N20" s="11" t="inlineStr">
        <is>
          <t>https://www.shiki.keio.ac.jp/doc/20240419kyouinsaiyou.pdf</t>
        </is>
      </c>
      <c r="O20" s="12" t="inlineStr">
        <is>
          <t>開く</t>
        </is>
      </c>
    </row>
    <row r="21">
      <c r="A21" s="4" t="n">
        <v>17</v>
      </c>
      <c r="B21" s="5" t="inlineStr">
        <is>
          <t>埼玉県</t>
        </is>
      </c>
      <c r="C21" s="5" t="inlineStr">
        <is>
          <t>伊奈町</t>
        </is>
      </c>
      <c r="D21" s="5" t="inlineStr">
        <is>
          <t>国際学院高等学校</t>
        </is>
      </c>
      <c r="E21" s="6" t="inlineStr">
        <is>
          <t>048-721-5931</t>
        </is>
      </c>
      <c r="F21" s="7" t="inlineStr">
        <is>
          <t>高</t>
        </is>
      </c>
      <c r="G21" s="5" t="inlineStr">
        <is>
          <t>普通科・総合学科</t>
        </is>
      </c>
      <c r="H21" s="8" t="n"/>
      <c r="I21" s="9" t="n"/>
      <c r="J21" s="9" t="inlineStr">
        <is>
          <t>未架電</t>
        </is>
      </c>
      <c r="K21" s="8" t="n"/>
      <c r="L21" s="9" t="n"/>
      <c r="M21" s="10" t="inlineStr">
        <is>
          <t>中高共通。2つの情報源で一致</t>
        </is>
      </c>
      <c r="N21" s="11" t="inlineStr">
        <is>
          <t>https://school.js88.com/scl_h/22005090 ; https://unesco-sdgs.mext.go.jp/?p=6975</t>
        </is>
      </c>
      <c r="O21" s="12" t="inlineStr">
        <is>
          <t>開く</t>
        </is>
      </c>
    </row>
    <row r="22">
      <c r="A22" s="4" t="n">
        <v>18</v>
      </c>
      <c r="B22" s="5" t="inlineStr">
        <is>
          <t>埼玉県</t>
        </is>
      </c>
      <c r="C22" s="5" t="inlineStr">
        <is>
          <t>さいたま市西区</t>
        </is>
      </c>
      <c r="D22" s="5" t="inlineStr">
        <is>
          <t>埼玉栄高等学校</t>
        </is>
      </c>
      <c r="E22" s="6" t="inlineStr">
        <is>
          <t>048-624-6488</t>
        </is>
      </c>
      <c r="F22" s="7" t="inlineStr">
        <is>
          <t>高</t>
        </is>
      </c>
      <c r="G22" s="5" t="inlineStr">
        <is>
          <t>普通科・専門学科</t>
        </is>
      </c>
      <c r="H22" s="8" t="n"/>
      <c r="I22" s="9" t="n"/>
      <c r="J22" s="9" t="inlineStr">
        <is>
          <t>未架電</t>
        </is>
      </c>
      <c r="K22" s="8" t="n"/>
      <c r="L22" s="9" t="n"/>
      <c r="M22" s="10" t="inlineStr">
        <is>
          <t>中学校は別番号（048-621-2121）</t>
        </is>
      </c>
      <c r="N22" s="11" t="inlineStr">
        <is>
          <t>https://www.inter-edu.com/schools/school/175 ; https://univpress.co.jp/gk_pdf/11527.pdf</t>
        </is>
      </c>
      <c r="O22" s="12" t="inlineStr">
        <is>
          <t>開く</t>
        </is>
      </c>
    </row>
    <row r="23">
      <c r="A23" s="4" t="n">
        <v>19</v>
      </c>
      <c r="B23" s="5" t="inlineStr">
        <is>
          <t>埼玉県</t>
        </is>
      </c>
      <c r="C23" s="5" t="inlineStr">
        <is>
          <t>毛呂山町</t>
        </is>
      </c>
      <c r="D23" s="5" t="inlineStr">
        <is>
          <t>埼玉平成高等学校</t>
        </is>
      </c>
      <c r="E23" s="6" t="inlineStr">
        <is>
          <t>049-294-8080</t>
        </is>
      </c>
      <c r="F23" s="13" t="inlineStr">
        <is>
          <t>中</t>
        </is>
      </c>
      <c r="G23" s="5" t="inlineStr">
        <is>
          <t>普通科</t>
        </is>
      </c>
      <c r="H23" s="8" t="n"/>
      <c r="I23" s="9" t="n"/>
      <c r="J23" s="9" t="inlineStr">
        <is>
          <t>未架電</t>
        </is>
      </c>
      <c r="K23" s="8" t="n"/>
      <c r="L23" s="9" t="n"/>
      <c r="M23" s="10" t="inlineStr">
        <is>
          <t>中高共通。学校情報サイト1件のみで確認</t>
        </is>
      </c>
      <c r="N23" s="11" t="inlineStr">
        <is>
          <t>https://www.inter-edu.com/schools/school/176</t>
        </is>
      </c>
      <c r="O23" s="12" t="inlineStr">
        <is>
          <t>開く</t>
        </is>
      </c>
    </row>
    <row r="24">
      <c r="A24" s="4" t="n">
        <v>20</v>
      </c>
      <c r="B24" s="5" t="inlineStr">
        <is>
          <t>埼玉県</t>
        </is>
      </c>
      <c r="C24" s="5" t="inlineStr">
        <is>
          <t>伊奈町</t>
        </is>
      </c>
      <c r="D24" s="5" t="inlineStr">
        <is>
          <t>栄北高等学校</t>
        </is>
      </c>
      <c r="E24" s="6" t="inlineStr">
        <is>
          <t>048-723-7711</t>
        </is>
      </c>
      <c r="F24" s="7" t="inlineStr">
        <is>
          <t>高</t>
        </is>
      </c>
      <c r="G24" s="5" t="inlineStr">
        <is>
          <t>普通科</t>
        </is>
      </c>
      <c r="H24" s="8" t="n"/>
      <c r="I24" s="9" t="n"/>
      <c r="J24" s="9" t="inlineStr">
        <is>
          <t>未架電</t>
        </is>
      </c>
      <c r="K24" s="8" t="n"/>
      <c r="L24" s="9" t="n"/>
      <c r="M24" s="10" t="inlineStr">
        <is>
          <t>通信制。2つのサイトで一致</t>
        </is>
      </c>
      <c r="N24" s="11" t="inlineStr">
        <is>
          <t>https://www.inter-edu.com/schools/school/602 ; https://school.js88.com/scl_h/34025092/</t>
        </is>
      </c>
      <c r="O24" s="12" t="inlineStr">
        <is>
          <t>開く</t>
        </is>
      </c>
    </row>
    <row r="25">
      <c r="A25" s="4" t="n">
        <v>21</v>
      </c>
      <c r="B25" s="5" t="inlineStr">
        <is>
          <t>埼玉県</t>
        </is>
      </c>
      <c r="C25" s="5" t="inlineStr">
        <is>
          <t>さいたま市見沼区</t>
        </is>
      </c>
      <c r="D25" s="5" t="inlineStr">
        <is>
          <t>栄東高等学校</t>
        </is>
      </c>
      <c r="E25" s="6" t="inlineStr">
        <is>
          <t>048-651-4050</t>
        </is>
      </c>
      <c r="F25" s="7" t="inlineStr">
        <is>
          <t>高</t>
        </is>
      </c>
      <c r="G25" s="5" t="inlineStr">
        <is>
          <t>普通科</t>
        </is>
      </c>
      <c r="H25" s="8" t="n"/>
      <c r="I25" s="9" t="n"/>
      <c r="J25" s="9" t="inlineStr">
        <is>
          <t>未架電</t>
        </is>
      </c>
      <c r="K25" s="8" t="n"/>
      <c r="L25" s="9" t="n"/>
      <c r="M25" s="10" t="inlineStr">
        <is>
          <t>公式資料に「代表」と記載。入試広報センターは048-666-9288</t>
        </is>
      </c>
      <c r="N25" s="11" t="inlineStr">
        <is>
          <t>https://www.sakaehigashi.ed.jp/about/files/self_assessment_h30_sr.pdf</t>
        </is>
      </c>
      <c r="O25" s="12" t="inlineStr">
        <is>
          <t>開く</t>
        </is>
      </c>
    </row>
    <row r="26">
      <c r="A26" s="4" t="n">
        <v>22</v>
      </c>
      <c r="B26" s="5" t="inlineStr">
        <is>
          <t>埼玉県</t>
        </is>
      </c>
      <c r="C26" s="5" t="inlineStr">
        <is>
          <t>入間市</t>
        </is>
      </c>
      <c r="D26" s="5" t="inlineStr">
        <is>
          <t>狭山ヶ丘高等学校</t>
        </is>
      </c>
      <c r="E26" s="6" t="inlineStr">
        <is>
          <t>04-2962-3844</t>
        </is>
      </c>
      <c r="F26" s="7" t="inlineStr">
        <is>
          <t>高</t>
        </is>
      </c>
      <c r="G26" s="5" t="inlineStr">
        <is>
          <t>普通科</t>
        </is>
      </c>
      <c r="H26" s="8" t="n"/>
      <c r="I26" s="9" t="n"/>
      <c r="J26" s="9" t="inlineStr">
        <is>
          <t>未架電</t>
        </is>
      </c>
      <c r="K26" s="8" t="n"/>
      <c r="L26" s="9" t="n"/>
      <c r="M26" s="10" t="inlineStr">
        <is>
          <t>付属中学校と共通</t>
        </is>
      </c>
      <c r="N26" s="11" t="inlineStr">
        <is>
          <t>https://www.inter-edu.com/schools/school/275 ; https://www.univpress.co.jp/gk_pdf/11514.pdf</t>
        </is>
      </c>
      <c r="O26" s="12" t="inlineStr">
        <is>
          <t>開く</t>
        </is>
      </c>
    </row>
    <row r="27">
      <c r="A27" s="4" t="n">
        <v>23</v>
      </c>
      <c r="B27" s="5" t="inlineStr">
        <is>
          <t>埼玉県</t>
        </is>
      </c>
      <c r="C27" s="5" t="inlineStr">
        <is>
          <t>杉戸町</t>
        </is>
      </c>
      <c r="D27" s="5" t="inlineStr">
        <is>
          <t>志学会高等学校</t>
        </is>
      </c>
      <c r="E27" s="14" t="n"/>
      <c r="F27" s="15" t="inlineStr">
        <is>
          <t>要調査</t>
        </is>
      </c>
      <c r="G27" s="5" t="inlineStr">
        <is>
          <t>普通科</t>
        </is>
      </c>
      <c r="H27" s="8" t="n"/>
      <c r="I27" s="9" t="n"/>
      <c r="J27" s="9" t="inlineStr">
        <is>
          <t>未架電</t>
        </is>
      </c>
      <c r="K27" s="8" t="n"/>
      <c r="L27" s="9" t="n"/>
      <c r="M27" s="10" t="inlineStr">
        <is>
          <t>通信制。電話番号が見つからず（杉戸町並塚。2025年8月に岩槻校舎開校）</t>
        </is>
      </c>
      <c r="N27" s="11" t="inlineStr">
        <is>
          <t>https://www.inter-edu.com/schools/school/1784 ; https://studychain.jp/media/guide-136-2/</t>
        </is>
      </c>
      <c r="O27" s="12" t="inlineStr">
        <is>
          <t>開く</t>
        </is>
      </c>
    </row>
    <row r="28">
      <c r="A28" s="4" t="n">
        <v>24</v>
      </c>
      <c r="B28" s="5" t="inlineStr">
        <is>
          <t>埼玉県</t>
        </is>
      </c>
      <c r="C28" s="5" t="inlineStr">
        <is>
          <t>上尾市</t>
        </is>
      </c>
      <c r="D28" s="5" t="inlineStr">
        <is>
          <t>秀明英光高等学校</t>
        </is>
      </c>
      <c r="E28" s="6" t="inlineStr">
        <is>
          <t>048-781-8821</t>
        </is>
      </c>
      <c r="F28" s="7" t="inlineStr">
        <is>
          <t>高</t>
        </is>
      </c>
      <c r="G28" s="5" t="inlineStr">
        <is>
          <t>普通科</t>
        </is>
      </c>
      <c r="H28" s="8" t="n"/>
      <c r="I28" s="9" t="n"/>
      <c r="J28" s="9" t="inlineStr">
        <is>
          <t>未架電</t>
        </is>
      </c>
      <c r="K28" s="8" t="n"/>
      <c r="L28" s="9" t="n"/>
      <c r="M28" s="10" t="inlineStr">
        <is>
          <t>公式パンフレットに「代表」と記載</t>
        </is>
      </c>
      <c r="N28" s="11" t="inlineStr">
        <is>
          <t>https://www.shumei-eiko.ac.jp/cms/wp-content/uploads/2024/05/schoolguide2025.pdf</t>
        </is>
      </c>
      <c r="O28" s="12" t="inlineStr">
        <is>
          <t>開く</t>
        </is>
      </c>
    </row>
    <row r="29">
      <c r="A29" s="4" t="n">
        <v>25</v>
      </c>
      <c r="B29" s="5" t="inlineStr">
        <is>
          <t>埼玉県</t>
        </is>
      </c>
      <c r="C29" s="5" t="inlineStr">
        <is>
          <t>川越市</t>
        </is>
      </c>
      <c r="D29" s="5" t="inlineStr">
        <is>
          <t>秀明高等学校</t>
        </is>
      </c>
      <c r="E29" s="6" t="inlineStr">
        <is>
          <t>049-232-6611</t>
        </is>
      </c>
      <c r="F29" s="13" t="inlineStr">
        <is>
          <t>中</t>
        </is>
      </c>
      <c r="G29" s="5" t="inlineStr">
        <is>
          <t>普通科</t>
        </is>
      </c>
      <c r="H29" s="8" t="n"/>
      <c r="I29" s="9" t="n"/>
      <c r="J29" s="9" t="inlineStr">
        <is>
          <t>未架電</t>
        </is>
      </c>
      <c r="K29" s="8" t="n"/>
      <c r="L29" s="9" t="n"/>
      <c r="M29" s="10" t="inlineStr">
        <is>
          <t>中高共通。学校情報サイト1件のみで確認</t>
        </is>
      </c>
      <c r="N29" s="11" t="inlineStr">
        <is>
          <t>https://www.inter-edu.com/schools/school/1365</t>
        </is>
      </c>
      <c r="O29" s="12" t="inlineStr">
        <is>
          <t>開く</t>
        </is>
      </c>
    </row>
    <row r="30">
      <c r="A30" s="4" t="n">
        <v>26</v>
      </c>
      <c r="B30" s="5" t="inlineStr">
        <is>
          <t>埼玉県</t>
        </is>
      </c>
      <c r="C30" s="5" t="inlineStr">
        <is>
          <t>さいたま市中央区</t>
        </is>
      </c>
      <c r="D30" s="5" t="inlineStr">
        <is>
          <t>淑徳与野高等学校</t>
        </is>
      </c>
      <c r="E30" s="6" t="inlineStr">
        <is>
          <t>048-840-1035</t>
        </is>
      </c>
      <c r="F30" s="7" t="inlineStr">
        <is>
          <t>高</t>
        </is>
      </c>
      <c r="G30" s="5" t="inlineStr">
        <is>
          <t>普通科</t>
        </is>
      </c>
      <c r="H30" s="8" t="n"/>
      <c r="I30" s="9" t="n"/>
      <c r="J30" s="9" t="inlineStr">
        <is>
          <t>未架電</t>
        </is>
      </c>
      <c r="K30" s="8" t="n"/>
      <c r="L30" s="9" t="n"/>
      <c r="M30" s="10" t="inlineStr">
        <is>
          <t>中高共通</t>
        </is>
      </c>
      <c r="N30" s="11" t="inlineStr">
        <is>
          <t>https://www.inter-edu.com/schools/school/1933</t>
        </is>
      </c>
      <c r="O30" s="12" t="inlineStr">
        <is>
          <t>開く</t>
        </is>
      </c>
    </row>
    <row r="31">
      <c r="A31" s="4" t="n">
        <v>27</v>
      </c>
      <c r="B31" s="5" t="inlineStr">
        <is>
          <t>埼玉県</t>
        </is>
      </c>
      <c r="C31" s="5" t="inlineStr">
        <is>
          <t>川越市</t>
        </is>
      </c>
      <c r="D31" s="5" t="inlineStr">
        <is>
          <t>城西大学付属川越高等学校</t>
        </is>
      </c>
      <c r="E31" s="6" t="inlineStr">
        <is>
          <t>049-224-5665</t>
        </is>
      </c>
      <c r="F31" s="7" t="inlineStr">
        <is>
          <t>高</t>
        </is>
      </c>
      <c r="G31" s="5" t="inlineStr">
        <is>
          <t>普通科</t>
        </is>
      </c>
      <c r="H31" s="8" t="n"/>
      <c r="I31" s="9" t="n"/>
      <c r="J31" s="9" t="inlineStr">
        <is>
          <t>未架電</t>
        </is>
      </c>
      <c r="K31" s="8" t="n"/>
      <c r="L31" s="9" t="n"/>
      <c r="M31" s="10" t="inlineStr">
        <is>
          <t>中高共通。2つの情報源で一致</t>
        </is>
      </c>
      <c r="N31" s="11" t="inlineStr">
        <is>
          <t>https://www.univpress.co.jp/gk_pdf/11526.pdf ; https://map.yahoo.co.jp/v3/place/7eCemCgbEls</t>
        </is>
      </c>
      <c r="O31" s="12" t="inlineStr">
        <is>
          <t>開く</t>
        </is>
      </c>
    </row>
    <row r="32">
      <c r="A32" s="4" t="n">
        <v>28</v>
      </c>
      <c r="B32" s="5" t="inlineStr">
        <is>
          <t>埼玉県</t>
        </is>
      </c>
      <c r="C32" s="5" t="inlineStr">
        <is>
          <t>深谷市</t>
        </is>
      </c>
      <c r="D32" s="5" t="inlineStr">
        <is>
          <t>正智深谷高等学校</t>
        </is>
      </c>
      <c r="E32" s="6" t="inlineStr">
        <is>
          <t>048-571-6032</t>
        </is>
      </c>
      <c r="F32" s="13" t="inlineStr">
        <is>
          <t>中</t>
        </is>
      </c>
      <c r="G32" s="5" t="inlineStr">
        <is>
          <t>普通科</t>
        </is>
      </c>
      <c r="H32" s="8" t="n"/>
      <c r="I32" s="9" t="n"/>
      <c r="J32" s="9" t="inlineStr">
        <is>
          <t>未架電</t>
        </is>
      </c>
      <c r="K32" s="8" t="n"/>
      <c r="L32" s="9" t="n"/>
      <c r="M32" s="10" t="inlineStr">
        <is>
          <t>学校情報サイト1件のみで確認</t>
        </is>
      </c>
      <c r="N32" s="11" t="inlineStr">
        <is>
          <t>https://www.inter-edu.com/schools/school/614</t>
        </is>
      </c>
      <c r="O32" s="12" t="inlineStr">
        <is>
          <t>開く</t>
        </is>
      </c>
    </row>
    <row r="33">
      <c r="A33" s="4" t="n">
        <v>29</v>
      </c>
      <c r="B33" s="5" t="inlineStr">
        <is>
          <t>埼玉県</t>
        </is>
      </c>
      <c r="C33" s="5" t="inlineStr">
        <is>
          <t>杉戸町</t>
        </is>
      </c>
      <c r="D33" s="5" t="inlineStr">
        <is>
          <t>昌平高等学校</t>
        </is>
      </c>
      <c r="E33" s="6" t="inlineStr">
        <is>
          <t>0480-34-3381</t>
        </is>
      </c>
      <c r="F33" s="7" t="inlineStr">
        <is>
          <t>高</t>
        </is>
      </c>
      <c r="G33" s="5" t="inlineStr">
        <is>
          <t>普通科</t>
        </is>
      </c>
      <c r="H33" s="8" t="n"/>
      <c r="I33" s="9" t="n"/>
      <c r="J33" s="9" t="inlineStr">
        <is>
          <t>未架電</t>
        </is>
      </c>
      <c r="K33" s="8" t="n"/>
      <c r="L33" s="9" t="n"/>
      <c r="M33" s="10" t="inlineStr">
        <is>
          <t>2つのサイトで一致</t>
        </is>
      </c>
      <c r="N33" s="11" t="inlineStr">
        <is>
          <t>https://www.inter-edu.com/schools/school/267 ; https://school.js88.com/scl_h/22004930</t>
        </is>
      </c>
      <c r="O33" s="12" t="inlineStr">
        <is>
          <t>開く</t>
        </is>
      </c>
    </row>
    <row r="34">
      <c r="A34" s="4" t="n">
        <v>30</v>
      </c>
      <c r="B34" s="5" t="inlineStr">
        <is>
          <t>埼玉県</t>
        </is>
      </c>
      <c r="C34" s="5" t="inlineStr">
        <is>
          <t>飯能市</t>
        </is>
      </c>
      <c r="D34" s="5" t="inlineStr">
        <is>
          <t>自由の森学園高等学校</t>
        </is>
      </c>
      <c r="E34" s="6" t="inlineStr">
        <is>
          <t>042-972-3131</t>
        </is>
      </c>
      <c r="F34" s="7" t="inlineStr">
        <is>
          <t>高</t>
        </is>
      </c>
      <c r="G34" s="5" t="inlineStr">
        <is>
          <t>普通科</t>
        </is>
      </c>
      <c r="H34" s="8" t="n"/>
      <c r="I34" s="9" t="n"/>
      <c r="J34" s="9" t="inlineStr">
        <is>
          <t>未架電</t>
        </is>
      </c>
      <c r="K34" s="8" t="n"/>
      <c r="L34" s="9" t="n"/>
      <c r="M34" s="10" t="inlineStr">
        <is>
          <t>中高共通</t>
        </is>
      </c>
      <c r="N34" s="11" t="inlineStr">
        <is>
          <t>https://www.inter-edu.com/schools/school/293 ; https://map.yahoo.co.jp/v3/place/L57Rs8n2arw</t>
        </is>
      </c>
      <c r="O34" s="12" t="inlineStr">
        <is>
          <t>開く</t>
        </is>
      </c>
    </row>
    <row r="35">
      <c r="A35" s="4" t="n">
        <v>31</v>
      </c>
      <c r="B35" s="5" t="inlineStr">
        <is>
          <t>埼玉県</t>
        </is>
      </c>
      <c r="C35" s="5" t="inlineStr">
        <is>
          <t>川越市</t>
        </is>
      </c>
      <c r="D35" s="5" t="inlineStr">
        <is>
          <t>城北埼玉高等学校</t>
        </is>
      </c>
      <c r="E35" s="6" t="inlineStr">
        <is>
          <t>049-235-3222</t>
        </is>
      </c>
      <c r="F35" s="13" t="inlineStr">
        <is>
          <t>中</t>
        </is>
      </c>
      <c r="G35" s="5" t="inlineStr">
        <is>
          <t>普通科</t>
        </is>
      </c>
      <c r="H35" s="8" t="n"/>
      <c r="I35" s="9" t="n"/>
      <c r="J35" s="9" t="inlineStr">
        <is>
          <t>未架電</t>
        </is>
      </c>
      <c r="K35" s="8" t="n"/>
      <c r="L35" s="9" t="n"/>
      <c r="M35" s="10" t="inlineStr">
        <is>
          <t>中高併設。学校情報サイト1件のみで確認</t>
        </is>
      </c>
      <c r="N35" s="11" t="inlineStr">
        <is>
          <t>https://www.inter-edu.com/schools/school/202</t>
        </is>
      </c>
      <c r="O35" s="12" t="inlineStr">
        <is>
          <t>開く</t>
        </is>
      </c>
    </row>
    <row r="36">
      <c r="A36" s="4" t="n">
        <v>32</v>
      </c>
      <c r="B36" s="5" t="inlineStr">
        <is>
          <t>埼玉県</t>
        </is>
      </c>
      <c r="C36" s="5" t="inlineStr">
        <is>
          <t>狭山市</t>
        </is>
      </c>
      <c r="D36" s="5" t="inlineStr">
        <is>
          <t>西武学園文理高等学校</t>
        </is>
      </c>
      <c r="E36" s="6" t="inlineStr">
        <is>
          <t>04-2954-4080</t>
        </is>
      </c>
      <c r="F36" s="7" t="inlineStr">
        <is>
          <t>高</t>
        </is>
      </c>
      <c r="G36" s="5" t="inlineStr">
        <is>
          <t>普通科・専門学科</t>
        </is>
      </c>
      <c r="H36" s="8" t="n"/>
      <c r="I36" s="9" t="n"/>
      <c r="J36" s="9" t="inlineStr">
        <is>
          <t>未架電</t>
        </is>
      </c>
      <c r="K36" s="8" t="n"/>
      <c r="L36" s="9" t="n"/>
      <c r="M36" s="10" t="inlineStr">
        <is>
          <t>公式資料に「代表」と記載。中高共通</t>
        </is>
      </c>
      <c r="N36" s="11" t="inlineStr">
        <is>
          <t>https://www.bunri-s.ed.jp/wp-content/uploads/2023/09/8dc6f2ecb08556dbce1a5e6fdde67118.pdf</t>
        </is>
      </c>
      <c r="O36" s="12" t="inlineStr">
        <is>
          <t>開く</t>
        </is>
      </c>
    </row>
    <row r="37">
      <c r="A37" s="4" t="n">
        <v>33</v>
      </c>
      <c r="B37" s="5" t="inlineStr">
        <is>
          <t>埼玉県</t>
        </is>
      </c>
      <c r="C37" s="5" t="inlineStr">
        <is>
          <t>新座市</t>
        </is>
      </c>
      <c r="D37" s="5" t="inlineStr">
        <is>
          <t>西武台高等学校</t>
        </is>
      </c>
      <c r="E37" s="6" t="inlineStr">
        <is>
          <t>048-481-1701</t>
        </is>
      </c>
      <c r="F37" s="7" t="inlineStr">
        <is>
          <t>高</t>
        </is>
      </c>
      <c r="G37" s="5" t="inlineStr">
        <is>
          <t>普通科</t>
        </is>
      </c>
      <c r="H37" s="8" t="n"/>
      <c r="I37" s="9" t="n"/>
      <c r="J37" s="9" t="inlineStr">
        <is>
          <t>未架電</t>
        </is>
      </c>
      <c r="K37" s="8" t="n"/>
      <c r="L37" s="9" t="n"/>
      <c r="M37" s="10" t="inlineStr">
        <is>
          <t>西武台新座中学校と共通</t>
        </is>
      </c>
      <c r="N37" s="11" t="inlineStr">
        <is>
          <t>https://www.inter-edu.com/schools/school/533 ; https://school.js88.com/scl_j/34029399</t>
        </is>
      </c>
      <c r="O37" s="12" t="inlineStr">
        <is>
          <t>開く</t>
        </is>
      </c>
    </row>
    <row r="38">
      <c r="A38" s="4" t="n">
        <v>34</v>
      </c>
      <c r="B38" s="5" t="inlineStr">
        <is>
          <t>埼玉県</t>
        </is>
      </c>
      <c r="C38" s="5" t="inlineStr">
        <is>
          <t>飯能市</t>
        </is>
      </c>
      <c r="D38" s="5" t="inlineStr">
        <is>
          <t>聖望学園高等学校</t>
        </is>
      </c>
      <c r="E38" s="6" t="inlineStr">
        <is>
          <t>042-973-1500</t>
        </is>
      </c>
      <c r="F38" s="7" t="inlineStr">
        <is>
          <t>高</t>
        </is>
      </c>
      <c r="G38" s="5" t="inlineStr">
        <is>
          <t>普通科</t>
        </is>
      </c>
      <c r="H38" s="8" t="n"/>
      <c r="I38" s="9" t="n"/>
      <c r="J38" s="9" t="inlineStr">
        <is>
          <t>未架電</t>
        </is>
      </c>
      <c r="K38" s="8" t="n"/>
      <c r="L38" s="9" t="n"/>
      <c r="M38" s="10" t="inlineStr">
        <is>
          <t>中高共通</t>
        </is>
      </c>
      <c r="N38" s="11" t="inlineStr">
        <is>
          <t>https://www.inter-edu.com/schools/school/1960</t>
        </is>
      </c>
      <c r="O38" s="12" t="inlineStr">
        <is>
          <t>開く</t>
        </is>
      </c>
    </row>
    <row r="39">
      <c r="A39" s="4" t="n">
        <v>35</v>
      </c>
      <c r="B39" s="5" t="inlineStr">
        <is>
          <t>埼玉県</t>
        </is>
      </c>
      <c r="C39" s="5" t="inlineStr">
        <is>
          <t>越生町</t>
        </is>
      </c>
      <c r="D39" s="5" t="inlineStr">
        <is>
          <t>清和学園高等学校</t>
        </is>
      </c>
      <c r="E39" s="6" t="inlineStr">
        <is>
          <t>049-292-2017</t>
        </is>
      </c>
      <c r="F39" s="13" t="inlineStr">
        <is>
          <t>中</t>
        </is>
      </c>
      <c r="G39" s="5" t="inlineStr">
        <is>
          <t>普通科・専門学科</t>
        </is>
      </c>
      <c r="H39" s="8" t="n"/>
      <c r="I39" s="9" t="n"/>
      <c r="J39" s="9" t="inlineStr">
        <is>
          <t>未架電</t>
        </is>
      </c>
      <c r="K39" s="8" t="n"/>
      <c r="L39" s="9" t="n"/>
      <c r="M39" s="10" t="inlineStr">
        <is>
          <t>通信制。学校情報サイト1件のみで確認</t>
        </is>
      </c>
      <c r="N39" s="11" t="inlineStr">
        <is>
          <t>https://studychain.jp/media/guide-112-2/</t>
        </is>
      </c>
      <c r="O39" s="12" t="inlineStr">
        <is>
          <t>開く</t>
        </is>
      </c>
    </row>
    <row r="40">
      <c r="A40" s="4" t="n">
        <v>36</v>
      </c>
      <c r="B40" s="5" t="inlineStr">
        <is>
          <t>埼玉県</t>
        </is>
      </c>
      <c r="C40" s="5" t="inlineStr">
        <is>
          <t>深谷市</t>
        </is>
      </c>
      <c r="D40" s="5" t="inlineStr">
        <is>
          <t>創学舎高等学校</t>
        </is>
      </c>
      <c r="E40" s="14" t="n"/>
      <c r="F40" s="15" t="inlineStr">
        <is>
          <t>要調査</t>
        </is>
      </c>
      <c r="G40" s="5" t="inlineStr">
        <is>
          <t>総合学科</t>
        </is>
      </c>
      <c r="H40" s="8" t="n"/>
      <c r="I40" s="9" t="n"/>
      <c r="J40" s="9" t="inlineStr">
        <is>
          <t>未架電</t>
        </is>
      </c>
      <c r="K40" s="8" t="n"/>
      <c r="L40" s="9" t="n"/>
      <c r="M40" s="10" t="inlineStr">
        <is>
          <t>通信制（株式会社立）。電話番号が見つからず</t>
        </is>
      </c>
      <c r="N40" s="11" t="inlineStr">
        <is>
          <t>https://studychain.jp/media/guide-113-2/</t>
        </is>
      </c>
      <c r="O40" s="12" t="inlineStr">
        <is>
          <t>開く</t>
        </is>
      </c>
    </row>
    <row r="41">
      <c r="A41" s="4" t="n">
        <v>37</v>
      </c>
      <c r="B41" s="5" t="inlineStr">
        <is>
          <t>埼玉県</t>
        </is>
      </c>
      <c r="C41" s="5" t="inlineStr">
        <is>
          <t>深谷市</t>
        </is>
      </c>
      <c r="D41" s="5" t="inlineStr">
        <is>
          <t>東京成徳大学深谷高等学校</t>
        </is>
      </c>
      <c r="E41" s="6" t="inlineStr">
        <is>
          <t>048-571-1303</t>
        </is>
      </c>
      <c r="F41" s="13" t="inlineStr">
        <is>
          <t>中</t>
        </is>
      </c>
      <c r="G41" s="5" t="inlineStr">
        <is>
          <t>普通科</t>
        </is>
      </c>
      <c r="H41" s="8" t="n"/>
      <c r="I41" s="9" t="n"/>
      <c r="J41" s="9" t="inlineStr">
        <is>
          <t>未架電</t>
        </is>
      </c>
      <c r="K41" s="8" t="n"/>
      <c r="L41" s="9" t="n"/>
      <c r="M41" s="10" t="inlineStr">
        <is>
          <t>中高共通。学校情報サイト1件のみで確認</t>
        </is>
      </c>
      <c r="N41" s="11" t="inlineStr">
        <is>
          <t>https://www.inter-edu.com/schools/school/274</t>
        </is>
      </c>
      <c r="O41" s="12" t="inlineStr">
        <is>
          <t>開く</t>
        </is>
      </c>
    </row>
    <row r="42">
      <c r="A42" s="4" t="n">
        <v>38</v>
      </c>
      <c r="B42" s="5" t="inlineStr">
        <is>
          <t>埼玉県</t>
        </is>
      </c>
      <c r="C42" s="5" t="inlineStr">
        <is>
          <t>東松山市</t>
        </is>
      </c>
      <c r="D42" s="5" t="inlineStr">
        <is>
          <t>東京農業大学第三高等学校</t>
        </is>
      </c>
      <c r="E42" s="6" t="inlineStr">
        <is>
          <t>0493-24-4611</t>
        </is>
      </c>
      <c r="F42" s="13" t="inlineStr">
        <is>
          <t>中</t>
        </is>
      </c>
      <c r="G42" s="5" t="inlineStr">
        <is>
          <t>普通科</t>
        </is>
      </c>
      <c r="H42" s="8" t="n"/>
      <c r="I42" s="9" t="n"/>
      <c r="J42" s="9" t="inlineStr">
        <is>
          <t>未架電</t>
        </is>
      </c>
      <c r="K42" s="8" t="n"/>
      <c r="L42" s="9" t="n"/>
      <c r="M42" s="10" t="inlineStr">
        <is>
          <t>中高共通。学校情報サイト1件のみで確認</t>
        </is>
      </c>
      <c r="N42" s="11" t="inlineStr">
        <is>
          <t>https://www.inter-edu.com/schools/school/179</t>
        </is>
      </c>
      <c r="O42" s="12" t="inlineStr">
        <is>
          <t>開く</t>
        </is>
      </c>
    </row>
    <row r="43">
      <c r="A43" s="4" t="n">
        <v>39</v>
      </c>
      <c r="B43" s="5" t="inlineStr">
        <is>
          <t>埼玉県</t>
        </is>
      </c>
      <c r="C43" s="5" t="inlineStr">
        <is>
          <t>川越市</t>
        </is>
      </c>
      <c r="D43" s="5" t="inlineStr">
        <is>
          <t>東邦音楽大学附属東邦第二高等学校</t>
        </is>
      </c>
      <c r="E43" s="6" t="inlineStr">
        <is>
          <t>049-235-2401</t>
        </is>
      </c>
      <c r="F43" s="13" t="inlineStr">
        <is>
          <t>中</t>
        </is>
      </c>
      <c r="G43" s="5" t="inlineStr">
        <is>
          <t>専門学科</t>
        </is>
      </c>
      <c r="H43" s="8" t="n"/>
      <c r="I43" s="9" t="n"/>
      <c r="J43" s="9" t="inlineStr">
        <is>
          <t>未架電</t>
        </is>
      </c>
      <c r="K43" s="8" t="n"/>
      <c r="L43" s="9" t="n"/>
      <c r="M43" s="10" t="inlineStr">
        <is>
          <t>学校情報サイト1件のみで確認</t>
        </is>
      </c>
      <c r="N43" s="11" t="inlineStr">
        <is>
          <t>https://www.inter-edu.com/schools/school/1935</t>
        </is>
      </c>
      <c r="O43" s="12" t="inlineStr">
        <is>
          <t>開く</t>
        </is>
      </c>
    </row>
    <row r="44">
      <c r="A44" s="4" t="n">
        <v>40</v>
      </c>
      <c r="B44" s="5" t="inlineStr">
        <is>
          <t>埼玉県</t>
        </is>
      </c>
      <c r="C44" s="5" t="inlineStr">
        <is>
          <t>越谷市</t>
        </is>
      </c>
      <c r="D44" s="5" t="inlineStr">
        <is>
          <t>獨協埼玉高等学校</t>
        </is>
      </c>
      <c r="E44" s="6" t="inlineStr">
        <is>
          <t>048-977-5441</t>
        </is>
      </c>
      <c r="F44" s="13" t="inlineStr">
        <is>
          <t>中</t>
        </is>
      </c>
      <c r="G44" s="5" t="inlineStr">
        <is>
          <t>普通科</t>
        </is>
      </c>
      <c r="H44" s="8" t="n"/>
      <c r="I44" s="9" t="n"/>
      <c r="J44" s="9" t="inlineStr">
        <is>
          <t>未架電</t>
        </is>
      </c>
      <c r="K44" s="8" t="n"/>
      <c r="L44" s="9" t="n"/>
      <c r="M44" s="10" t="inlineStr">
        <is>
          <t>中高共通。学校情報サイト1件のみで確認</t>
        </is>
      </c>
      <c r="N44" s="11" t="inlineStr">
        <is>
          <t>https://www.inter-edu.com/schools/school/178</t>
        </is>
      </c>
      <c r="O44" s="12" t="inlineStr">
        <is>
          <t>開く</t>
        </is>
      </c>
    </row>
    <row r="45">
      <c r="A45" s="4" t="n">
        <v>41</v>
      </c>
      <c r="B45" s="5" t="inlineStr">
        <is>
          <t>埼玉県</t>
        </is>
      </c>
      <c r="C45" s="5" t="inlineStr">
        <is>
          <t>加須市</t>
        </is>
      </c>
      <c r="D45" s="5" t="inlineStr">
        <is>
          <t>花咲徳栄高等学校</t>
        </is>
      </c>
      <c r="E45" s="6" t="inlineStr">
        <is>
          <t>0480-65-7181</t>
        </is>
      </c>
      <c r="F45" s="13" t="inlineStr">
        <is>
          <t>中</t>
        </is>
      </c>
      <c r="G45" s="5" t="inlineStr">
        <is>
          <t>普通科・専門学科</t>
        </is>
      </c>
      <c r="H45" s="8" t="n"/>
      <c r="I45" s="9" t="n"/>
      <c r="J45" s="9" t="inlineStr">
        <is>
          <t>未架電</t>
        </is>
      </c>
      <c r="K45" s="8" t="n"/>
      <c r="L45" s="9" t="n"/>
      <c r="M45" s="10" t="inlineStr">
        <is>
          <t>学校情報サイト1件のみで確認</t>
        </is>
      </c>
      <c r="N45" s="11" t="inlineStr">
        <is>
          <t>https://www.inter-edu.com/schools/school/669</t>
        </is>
      </c>
      <c r="O45" s="12" t="inlineStr">
        <is>
          <t>開く</t>
        </is>
      </c>
    </row>
    <row r="46">
      <c r="A46" s="4" t="n">
        <v>42</v>
      </c>
      <c r="B46" s="5" t="inlineStr">
        <is>
          <t>埼玉県</t>
        </is>
      </c>
      <c r="C46" s="5" t="inlineStr">
        <is>
          <t>入間市</t>
        </is>
      </c>
      <c r="D46" s="5" t="inlineStr">
        <is>
          <t>東野高等学校</t>
        </is>
      </c>
      <c r="E46" s="6" t="inlineStr">
        <is>
          <t>04-2934-5292</t>
        </is>
      </c>
      <c r="F46" s="7" t="inlineStr">
        <is>
          <t>高</t>
        </is>
      </c>
      <c r="G46" s="5" t="inlineStr">
        <is>
          <t>普通科</t>
        </is>
      </c>
      <c r="H46" s="8" t="n"/>
      <c r="I46" s="9" t="n"/>
      <c r="J46" s="9" t="inlineStr">
        <is>
          <t>未架電</t>
        </is>
      </c>
      <c r="K46" s="8" t="n"/>
      <c r="L46" s="9" t="n"/>
      <c r="M46" s="10" t="inlineStr">
        <is>
          <t>正式名は盈進学園東野高校。2つのサイトで一致</t>
        </is>
      </c>
      <c r="N46" s="11" t="inlineStr">
        <is>
          <t>https://www.inter-edu.com/schools/school/1030 ; https://school.js88.com/scl_h/22005080</t>
        </is>
      </c>
      <c r="O46" s="12" t="inlineStr">
        <is>
          <t>開く</t>
        </is>
      </c>
    </row>
    <row r="47">
      <c r="A47" s="4" t="n">
        <v>43</v>
      </c>
      <c r="B47" s="5" t="inlineStr">
        <is>
          <t>埼玉県</t>
        </is>
      </c>
      <c r="C47" s="5" t="inlineStr">
        <is>
          <t>蕨市</t>
        </is>
      </c>
      <c r="D47" s="5" t="inlineStr">
        <is>
          <t>武南高等学校</t>
        </is>
      </c>
      <c r="E47" s="6" t="inlineStr">
        <is>
          <t>048-441-6948</t>
        </is>
      </c>
      <c r="F47" s="7" t="inlineStr">
        <is>
          <t>高</t>
        </is>
      </c>
      <c r="G47" s="5" t="inlineStr">
        <is>
          <t>普通科</t>
        </is>
      </c>
      <c r="H47" s="8" t="n"/>
      <c r="I47" s="9" t="n"/>
      <c r="J47" s="9" t="inlineStr">
        <is>
          <t>未架電</t>
        </is>
      </c>
      <c r="K47" s="8" t="n"/>
      <c r="L47" s="9" t="n"/>
      <c r="M47" s="10" t="inlineStr">
        <is>
          <t>中高併設。2つのサイトで一致</t>
        </is>
      </c>
      <c r="N47" s="11" t="inlineStr">
        <is>
          <t>https://www.inter-edu.com/schools/school/273 ; https://shingakunet.com/area/saitama/warabishi/</t>
        </is>
      </c>
      <c r="O47" s="12" t="inlineStr">
        <is>
          <t>開く</t>
        </is>
      </c>
    </row>
    <row r="48">
      <c r="A48" s="4" t="n">
        <v>44</v>
      </c>
      <c r="B48" s="5" t="inlineStr">
        <is>
          <t>埼玉県</t>
        </is>
      </c>
      <c r="C48" s="5" t="inlineStr">
        <is>
          <t>川越市</t>
        </is>
      </c>
      <c r="D48" s="5" t="inlineStr">
        <is>
          <t>星野高等学校</t>
        </is>
      </c>
      <c r="E48" s="6" t="inlineStr">
        <is>
          <t>049-223-2888</t>
        </is>
      </c>
      <c r="F48" s="13" t="inlineStr">
        <is>
          <t>中</t>
        </is>
      </c>
      <c r="G48" s="5" t="inlineStr">
        <is>
          <t>普通科</t>
        </is>
      </c>
      <c r="H48" s="8" t="n"/>
      <c r="I48" s="9" t="n"/>
      <c r="J48" s="9" t="inlineStr">
        <is>
          <t>未架電</t>
        </is>
      </c>
      <c r="K48" s="8" t="n"/>
      <c r="L48" s="9" t="n"/>
      <c r="M48" s="10" t="inlineStr">
        <is>
          <t>石原キャンパス（中高共通）の番号。女子部（末広キャンパス）は別番号の可能性</t>
        </is>
      </c>
      <c r="N48" s="11" t="inlineStr">
        <is>
          <t>https://www.inter-edu.com/schools/school/180 ; https://www.minkou.jp/hischool/school/4218/</t>
        </is>
      </c>
      <c r="O48" s="12" t="inlineStr">
        <is>
          <t>開く</t>
        </is>
      </c>
    </row>
    <row r="49">
      <c r="A49" s="4" t="n">
        <v>45</v>
      </c>
      <c r="B49" s="5" t="inlineStr">
        <is>
          <t>埼玉県</t>
        </is>
      </c>
      <c r="C49" s="5" t="inlineStr">
        <is>
          <t>志木市</t>
        </is>
      </c>
      <c r="D49" s="5" t="inlineStr">
        <is>
          <t>細田学園高等学校</t>
        </is>
      </c>
      <c r="E49" s="6" t="inlineStr">
        <is>
          <t>048-471-3255</t>
        </is>
      </c>
      <c r="F49" s="13" t="inlineStr">
        <is>
          <t>中</t>
        </is>
      </c>
      <c r="G49" s="5" t="inlineStr">
        <is>
          <t>普通科</t>
        </is>
      </c>
      <c r="H49" s="8" t="n"/>
      <c r="I49" s="9" t="n"/>
      <c r="J49" s="9" t="inlineStr">
        <is>
          <t>未架電</t>
        </is>
      </c>
      <c r="K49" s="8" t="n"/>
      <c r="L49" s="9" t="n"/>
      <c r="M49" s="10" t="inlineStr">
        <is>
          <t>学校情報サイト1件のみで確認</t>
        </is>
      </c>
      <c r="N49" s="11" t="inlineStr">
        <is>
          <t>https://www.inter-edu.com/schools/school/683</t>
        </is>
      </c>
      <c r="O49" s="12" t="inlineStr">
        <is>
          <t>開く</t>
        </is>
      </c>
    </row>
    <row r="50">
      <c r="A50" s="4" t="n">
        <v>46</v>
      </c>
      <c r="B50" s="5" t="inlineStr">
        <is>
          <t>埼玉県</t>
        </is>
      </c>
      <c r="C50" s="5" t="inlineStr">
        <is>
          <t>本庄市</t>
        </is>
      </c>
      <c r="D50" s="5" t="inlineStr">
        <is>
          <t>本庄第一高等学校</t>
        </is>
      </c>
      <c r="E50" s="6" t="inlineStr">
        <is>
          <t>0495-24-1331</t>
        </is>
      </c>
      <c r="F50" s="7" t="inlineStr">
        <is>
          <t>高</t>
        </is>
      </c>
      <c r="G50" s="5" t="inlineStr">
        <is>
          <t>普通科</t>
        </is>
      </c>
      <c r="H50" s="8" t="n"/>
      <c r="I50" s="9" t="n"/>
      <c r="J50" s="9" t="inlineStr">
        <is>
          <t>未架電</t>
        </is>
      </c>
      <c r="K50" s="8" t="n"/>
      <c r="L50" s="9" t="n"/>
      <c r="M50" s="10" t="inlineStr">
        <is>
          <t>公式資料と学校情報サイトで一致。0495-24-1332は中学校の番号</t>
        </is>
      </c>
      <c r="N50" s="11" t="inlineStr">
        <is>
          <t>https://school.js88.com/scl_h/22004700 ; https://www.hon1.ed.jp/wp-content/uploads/2024/03/67d4127a74b803e7daefda6a83089c2d.pdf</t>
        </is>
      </c>
      <c r="O50" s="12" t="inlineStr">
        <is>
          <t>開く</t>
        </is>
      </c>
    </row>
    <row r="51">
      <c r="A51" s="4" t="n">
        <v>47</v>
      </c>
      <c r="B51" s="5" t="inlineStr">
        <is>
          <t>埼玉県</t>
        </is>
      </c>
      <c r="C51" s="5" t="inlineStr">
        <is>
          <t>本庄市</t>
        </is>
      </c>
      <c r="D51" s="5" t="inlineStr">
        <is>
          <t>本庄東高等学校</t>
        </is>
      </c>
      <c r="E51" s="6" t="inlineStr">
        <is>
          <t>0495-22-6351</t>
        </is>
      </c>
      <c r="F51" s="7" t="inlineStr">
        <is>
          <t>高</t>
        </is>
      </c>
      <c r="G51" s="5" t="inlineStr">
        <is>
          <t>普通科</t>
        </is>
      </c>
      <c r="H51" s="8" t="n"/>
      <c r="I51" s="9" t="n"/>
      <c r="J51" s="9" t="inlineStr">
        <is>
          <t>未架電</t>
        </is>
      </c>
      <c r="K51" s="8" t="n"/>
      <c r="L51" s="9" t="n"/>
      <c r="M51" s="10" t="inlineStr">
        <is>
          <t>代表として掲載。附属中学校は別番号（0495-27-6711）</t>
        </is>
      </c>
      <c r="N51" s="11" t="inlineStr">
        <is>
          <t>https://www.honjo-higashi.ed.jp/senior/hyouka-sheet.pdf ; https://www.inter-edu.com/schools/school/181</t>
        </is>
      </c>
      <c r="O51" s="12" t="inlineStr">
        <is>
          <t>開く</t>
        </is>
      </c>
    </row>
    <row r="52">
      <c r="A52" s="4" t="n">
        <v>48</v>
      </c>
      <c r="B52" s="5" t="inlineStr">
        <is>
          <t>埼玉県</t>
        </is>
      </c>
      <c r="C52" s="5" t="inlineStr">
        <is>
          <t>春日部市</t>
        </is>
      </c>
      <c r="D52" s="5" t="inlineStr">
        <is>
          <t>松栄学園高等学校</t>
        </is>
      </c>
      <c r="E52" s="14" t="n"/>
      <c r="F52" s="15" t="inlineStr">
        <is>
          <t>要調査</t>
        </is>
      </c>
      <c r="G52" s="5" t="inlineStr">
        <is>
          <t>普通科</t>
        </is>
      </c>
      <c r="H52" s="8" t="n"/>
      <c r="I52" s="9" t="n"/>
      <c r="J52" s="9" t="inlineStr">
        <is>
          <t>未架電</t>
        </is>
      </c>
      <c r="K52" s="8" t="n"/>
      <c r="L52" s="9" t="n"/>
      <c r="M52" s="10" t="inlineStr">
        <is>
          <t>通信制。春日部本校の番号を確定できず。候補：048-978-0828（越谷校の番号の可能性）</t>
        </is>
      </c>
      <c r="N52" s="11" t="inlineStr">
        <is>
          <t>https://map.yahoo.co.jp/v3/place/x-2539sF1cY</t>
        </is>
      </c>
      <c r="O52" s="12" t="inlineStr">
        <is>
          <t>開く</t>
        </is>
      </c>
    </row>
    <row r="53">
      <c r="A53" s="4" t="n">
        <v>49</v>
      </c>
      <c r="B53" s="5" t="inlineStr">
        <is>
          <t>埼玉県</t>
        </is>
      </c>
      <c r="C53" s="5" t="inlineStr">
        <is>
          <t>越生町</t>
        </is>
      </c>
      <c r="D53" s="5" t="inlineStr">
        <is>
          <t>武蔵越生高等学校</t>
        </is>
      </c>
      <c r="E53" s="6" t="inlineStr">
        <is>
          <t>049-292-3245</t>
        </is>
      </c>
      <c r="F53" s="13" t="inlineStr">
        <is>
          <t>中</t>
        </is>
      </c>
      <c r="G53" s="5" t="inlineStr">
        <is>
          <t>普通科</t>
        </is>
      </c>
      <c r="H53" s="8" t="n"/>
      <c r="I53" s="9" t="n"/>
      <c r="J53" s="9" t="inlineStr">
        <is>
          <t>未架電</t>
        </is>
      </c>
      <c r="K53" s="8" t="n"/>
      <c r="L53" s="9" t="n"/>
      <c r="M53" s="10" t="inlineStr">
        <is>
          <t>学校情報サイト1件のみで確認</t>
        </is>
      </c>
      <c r="N53" s="11" t="inlineStr">
        <is>
          <t>https://www.inter-edu.com/schools/school/694</t>
        </is>
      </c>
      <c r="O53" s="12" t="inlineStr">
        <is>
          <t>開く</t>
        </is>
      </c>
    </row>
    <row r="54">
      <c r="A54" s="4" t="n">
        <v>50</v>
      </c>
      <c r="B54" s="5" t="inlineStr">
        <is>
          <t>埼玉県</t>
        </is>
      </c>
      <c r="C54" s="5" t="inlineStr">
        <is>
          <t>入間市</t>
        </is>
      </c>
      <c r="D54" s="5" t="inlineStr">
        <is>
          <t>武蔵野音楽大学附属高等学校</t>
        </is>
      </c>
      <c r="E54" s="6" t="inlineStr">
        <is>
          <t>04-2932-3063</t>
        </is>
      </c>
      <c r="F54" s="13" t="inlineStr">
        <is>
          <t>中</t>
        </is>
      </c>
      <c r="G54" s="5" t="inlineStr">
        <is>
          <t>専門学科</t>
        </is>
      </c>
      <c r="H54" s="8" t="n"/>
      <c r="I54" s="9" t="n"/>
      <c r="J54" s="9" t="inlineStr">
        <is>
          <t>未架電</t>
        </is>
      </c>
      <c r="K54" s="8" t="n"/>
      <c r="L54" s="9" t="n"/>
      <c r="M54" s="10" t="inlineStr">
        <is>
          <t>直通として掲載。2027年4月に練馬区へ移転予定との情報あり</t>
        </is>
      </c>
      <c r="N54" s="11" t="inlineStr">
        <is>
          <t>https://school.js88.com/scl_h/22004890</t>
        </is>
      </c>
      <c r="O54" s="12" t="inlineStr">
        <is>
          <t>開く</t>
        </is>
      </c>
    </row>
    <row r="55">
      <c r="A55" s="4" t="n">
        <v>51</v>
      </c>
      <c r="B55" s="5" t="inlineStr">
        <is>
          <t>埼玉県</t>
        </is>
      </c>
      <c r="C55" s="5" t="inlineStr">
        <is>
          <t>越谷市</t>
        </is>
      </c>
      <c r="D55" s="5" t="inlineStr">
        <is>
          <t>武蔵野星城高等学校</t>
        </is>
      </c>
      <c r="E55" s="6" t="inlineStr">
        <is>
          <t>048-987-1094</t>
        </is>
      </c>
      <c r="F55" s="13" t="inlineStr">
        <is>
          <t>中</t>
        </is>
      </c>
      <c r="G55" s="5" t="inlineStr">
        <is>
          <t>普通科</t>
        </is>
      </c>
      <c r="H55" s="8" t="n"/>
      <c r="I55" s="9" t="n"/>
      <c r="J55" s="9" t="inlineStr">
        <is>
          <t>未架電</t>
        </is>
      </c>
      <c r="K55" s="8" t="n"/>
      <c r="L55" s="9" t="n"/>
      <c r="M55" s="10" t="inlineStr">
        <is>
          <t>通信制。学校情報サイト2件で一致、公式未確認</t>
        </is>
      </c>
      <c r="N55" s="11" t="inlineStr">
        <is>
          <t>https://studychain.jp/media/guide-115-2/ ; https://shingakunet.com/area/saitama/koshigayashi/</t>
        </is>
      </c>
      <c r="O55" s="12" t="inlineStr">
        <is>
          <t>開く</t>
        </is>
      </c>
    </row>
    <row r="56">
      <c r="A56" s="4" t="n">
        <v>52</v>
      </c>
      <c r="B56" s="5" t="inlineStr">
        <is>
          <t>埼玉県</t>
        </is>
      </c>
      <c r="C56" s="5" t="inlineStr">
        <is>
          <t>川越市</t>
        </is>
      </c>
      <c r="D56" s="5" t="inlineStr">
        <is>
          <t>山村学園高等学校</t>
        </is>
      </c>
      <c r="E56" s="6" t="inlineStr">
        <is>
          <t>049-225-3565</t>
        </is>
      </c>
      <c r="F56" s="13" t="inlineStr">
        <is>
          <t>中</t>
        </is>
      </c>
      <c r="G56" s="5" t="inlineStr">
        <is>
          <t>普通科</t>
        </is>
      </c>
      <c r="H56" s="8" t="n"/>
      <c r="I56" s="9" t="n"/>
      <c r="J56" s="9" t="inlineStr">
        <is>
          <t>未架電</t>
        </is>
      </c>
      <c r="K56" s="8" t="n"/>
      <c r="L56" s="9" t="n"/>
      <c r="M56" s="10" t="inlineStr">
        <is>
          <t>学校情報サイト1件のみで確認。山村国際高校（坂戸市）とは別の学校</t>
        </is>
      </c>
      <c r="N56" s="11" t="inlineStr">
        <is>
          <t>https://www.inter-edu.com/schools/school/699</t>
        </is>
      </c>
      <c r="O56" s="12" t="inlineStr">
        <is>
          <t>開く</t>
        </is>
      </c>
    </row>
    <row r="57">
      <c r="A57" s="4" t="n">
        <v>53</v>
      </c>
      <c r="B57" s="5" t="inlineStr">
        <is>
          <t>埼玉県</t>
        </is>
      </c>
      <c r="C57" s="5" t="inlineStr">
        <is>
          <t>坂戸市</t>
        </is>
      </c>
      <c r="D57" s="5" t="inlineStr">
        <is>
          <t>山村国際高等学校</t>
        </is>
      </c>
      <c r="E57" s="6" t="inlineStr">
        <is>
          <t>049-281-0221</t>
        </is>
      </c>
      <c r="F57" s="7" t="inlineStr">
        <is>
          <t>高</t>
        </is>
      </c>
      <c r="G57" s="5" t="inlineStr">
        <is>
          <t>普通科</t>
        </is>
      </c>
      <c r="H57" s="8" t="n"/>
      <c r="I57" s="9" t="n"/>
      <c r="J57" s="9" t="inlineStr">
        <is>
          <t>未架電</t>
        </is>
      </c>
      <c r="K57" s="8" t="n"/>
      <c r="L57" s="9" t="n"/>
      <c r="M57" s="10" t="inlineStr">
        <is>
          <t>2つのサイトで一致。山村学園高校（川越市）とは別の学校</t>
        </is>
      </c>
      <c r="N57" s="11" t="inlineStr">
        <is>
          <t>https://www.inter-edu.com/schools/school/700 ; https://school.js88.com/scl_h/22004720</t>
        </is>
      </c>
      <c r="O57" s="12" t="inlineStr">
        <is>
          <t>開く</t>
        </is>
      </c>
    </row>
    <row r="58">
      <c r="A58" s="4" t="n">
        <v>54</v>
      </c>
      <c r="B58" s="5" t="inlineStr">
        <is>
          <t>埼玉県</t>
        </is>
      </c>
      <c r="C58" s="5" t="inlineStr">
        <is>
          <t>新座市</t>
        </is>
      </c>
      <c r="D58" s="5" t="inlineStr">
        <is>
          <t>立教新座高等学校</t>
        </is>
      </c>
      <c r="E58" s="6" t="inlineStr">
        <is>
          <t>048-471-2323</t>
        </is>
      </c>
      <c r="F58" s="7" t="inlineStr">
        <is>
          <t>高</t>
        </is>
      </c>
      <c r="G58" s="5" t="inlineStr">
        <is>
          <t>普通科</t>
        </is>
      </c>
      <c r="H58" s="8" t="n"/>
      <c r="I58" s="9" t="n"/>
      <c r="J58" s="9" t="inlineStr">
        <is>
          <t>未架電</t>
        </is>
      </c>
      <c r="K58" s="8" t="n"/>
      <c r="L58" s="9" t="n"/>
      <c r="M58" s="10" t="inlineStr">
        <is>
          <t>中高共通</t>
        </is>
      </c>
      <c r="N58" s="11" t="inlineStr">
        <is>
          <t>https://www.inter-edu.com/schools/school/1950</t>
        </is>
      </c>
      <c r="O58" s="12" t="inlineStr">
        <is>
          <t>開く</t>
        </is>
      </c>
    </row>
    <row r="59">
      <c r="A59" s="4" t="n">
        <v>55</v>
      </c>
      <c r="B59" s="5" t="inlineStr">
        <is>
          <t>埼玉県</t>
        </is>
      </c>
      <c r="C59" s="5" t="inlineStr">
        <is>
          <t>本庄市</t>
        </is>
      </c>
      <c r="D59" s="5" t="inlineStr">
        <is>
          <t>早稲田大学本庄高等学院</t>
        </is>
      </c>
      <c r="E59" s="6" t="inlineStr">
        <is>
          <t>0495-21-2400</t>
        </is>
      </c>
      <c r="F59" s="7" t="inlineStr">
        <is>
          <t>高</t>
        </is>
      </c>
      <c r="G59" s="5" t="inlineStr">
        <is>
          <t>普通科</t>
        </is>
      </c>
      <c r="H59" s="8" t="n"/>
      <c r="I59" s="9" t="n"/>
      <c r="J59" s="9" t="inlineStr">
        <is>
          <t>未架電</t>
        </is>
      </c>
      <c r="K59" s="8" t="n"/>
      <c r="L59" s="9" t="n"/>
      <c r="M59" s="10" t="inlineStr">
        <is>
          <t>公式サイトで確認</t>
        </is>
      </c>
      <c r="N59" s="11" t="inlineStr">
        <is>
          <t>https://www.waseda.jp/school/honjo/access ; https://map.yahoo.co.jp/v3/place/Ob_2QGs8iuA</t>
        </is>
      </c>
      <c r="O59" s="12" t="inlineStr">
        <is>
          <t>開く</t>
        </is>
      </c>
    </row>
  </sheetData>
  <autoFilter ref="A4:O59"/>
  <conditionalFormatting sqref="A5:O59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59" showDropDown="0" showInputMessage="0" showErrorMessage="0" allowBlank="1" type="list">
      <formula1>"未架電,不在・折返し待ち,担当者不在,資料送付,アポ獲得,検討中,NG,番号不明"</formula1>
    </dataValidation>
    <dataValidation sqref="H5:H59 K5:K59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  <hyperlink xmlns:r="http://schemas.openxmlformats.org/officeDocument/2006/relationships" ref="O21" r:id="rId17"/>
    <hyperlink xmlns:r="http://schemas.openxmlformats.org/officeDocument/2006/relationships" ref="O22" r:id="rId18"/>
    <hyperlink xmlns:r="http://schemas.openxmlformats.org/officeDocument/2006/relationships" ref="O23" r:id="rId19"/>
    <hyperlink xmlns:r="http://schemas.openxmlformats.org/officeDocument/2006/relationships" ref="O24" r:id="rId20"/>
    <hyperlink xmlns:r="http://schemas.openxmlformats.org/officeDocument/2006/relationships" ref="O25" r:id="rId21"/>
    <hyperlink xmlns:r="http://schemas.openxmlformats.org/officeDocument/2006/relationships" ref="O26" r:id="rId22"/>
    <hyperlink xmlns:r="http://schemas.openxmlformats.org/officeDocument/2006/relationships" ref="O27" r:id="rId23"/>
    <hyperlink xmlns:r="http://schemas.openxmlformats.org/officeDocument/2006/relationships" ref="O28" r:id="rId24"/>
    <hyperlink xmlns:r="http://schemas.openxmlformats.org/officeDocument/2006/relationships" ref="O29" r:id="rId25"/>
    <hyperlink xmlns:r="http://schemas.openxmlformats.org/officeDocument/2006/relationships" ref="O30" r:id="rId26"/>
    <hyperlink xmlns:r="http://schemas.openxmlformats.org/officeDocument/2006/relationships" ref="O31" r:id="rId27"/>
    <hyperlink xmlns:r="http://schemas.openxmlformats.org/officeDocument/2006/relationships" ref="O32" r:id="rId28"/>
    <hyperlink xmlns:r="http://schemas.openxmlformats.org/officeDocument/2006/relationships" ref="O33" r:id="rId29"/>
    <hyperlink xmlns:r="http://schemas.openxmlformats.org/officeDocument/2006/relationships" ref="O34" r:id="rId30"/>
    <hyperlink xmlns:r="http://schemas.openxmlformats.org/officeDocument/2006/relationships" ref="O35" r:id="rId31"/>
    <hyperlink xmlns:r="http://schemas.openxmlformats.org/officeDocument/2006/relationships" ref="O36" r:id="rId32"/>
    <hyperlink xmlns:r="http://schemas.openxmlformats.org/officeDocument/2006/relationships" ref="O37" r:id="rId33"/>
    <hyperlink xmlns:r="http://schemas.openxmlformats.org/officeDocument/2006/relationships" ref="O38" r:id="rId34"/>
    <hyperlink xmlns:r="http://schemas.openxmlformats.org/officeDocument/2006/relationships" ref="O39" r:id="rId35"/>
    <hyperlink xmlns:r="http://schemas.openxmlformats.org/officeDocument/2006/relationships" ref="O40" r:id="rId36"/>
    <hyperlink xmlns:r="http://schemas.openxmlformats.org/officeDocument/2006/relationships" ref="O41" r:id="rId37"/>
    <hyperlink xmlns:r="http://schemas.openxmlformats.org/officeDocument/2006/relationships" ref="O42" r:id="rId38"/>
    <hyperlink xmlns:r="http://schemas.openxmlformats.org/officeDocument/2006/relationships" ref="O43" r:id="rId39"/>
    <hyperlink xmlns:r="http://schemas.openxmlformats.org/officeDocument/2006/relationships" ref="O44" r:id="rId40"/>
    <hyperlink xmlns:r="http://schemas.openxmlformats.org/officeDocument/2006/relationships" ref="O45" r:id="rId41"/>
    <hyperlink xmlns:r="http://schemas.openxmlformats.org/officeDocument/2006/relationships" ref="O46" r:id="rId42"/>
    <hyperlink xmlns:r="http://schemas.openxmlformats.org/officeDocument/2006/relationships" ref="O47" r:id="rId43"/>
    <hyperlink xmlns:r="http://schemas.openxmlformats.org/officeDocument/2006/relationships" ref="O48" r:id="rId44"/>
    <hyperlink xmlns:r="http://schemas.openxmlformats.org/officeDocument/2006/relationships" ref="O49" r:id="rId45"/>
    <hyperlink xmlns:r="http://schemas.openxmlformats.org/officeDocument/2006/relationships" ref="O50" r:id="rId46"/>
    <hyperlink xmlns:r="http://schemas.openxmlformats.org/officeDocument/2006/relationships" ref="O51" r:id="rId47"/>
    <hyperlink xmlns:r="http://schemas.openxmlformats.org/officeDocument/2006/relationships" ref="O52" r:id="rId48"/>
    <hyperlink xmlns:r="http://schemas.openxmlformats.org/officeDocument/2006/relationships" ref="O53" r:id="rId49"/>
    <hyperlink xmlns:r="http://schemas.openxmlformats.org/officeDocument/2006/relationships" ref="O54" r:id="rId50"/>
    <hyperlink xmlns:r="http://schemas.openxmlformats.org/officeDocument/2006/relationships" ref="O55" r:id="rId51"/>
    <hyperlink xmlns:r="http://schemas.openxmlformats.org/officeDocument/2006/relationships" ref="O56" r:id="rId52"/>
    <hyperlink xmlns:r="http://schemas.openxmlformats.org/officeDocument/2006/relationships" ref="O57" r:id="rId53"/>
    <hyperlink xmlns:r="http://schemas.openxmlformats.org/officeDocument/2006/relationships" ref="O58" r:id="rId54"/>
    <hyperlink xmlns:r="http://schemas.openxmlformats.org/officeDocument/2006/relationships" ref="O59" r:id="rId55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6" t="inlineStr">
        <is>
          <t>川越市</t>
        </is>
      </c>
      <c r="B4" s="16">
        <f>COUNTIF('架電リスト'!$C$5:$C$59,A4)</f>
        <v/>
      </c>
      <c r="C4" s="16">
        <f>COUNTIFS('架電リスト'!$C$5:$C$59,A4,'架電リスト'!$E$5:$E$59,"&lt;&gt;")</f>
        <v/>
      </c>
      <c r="D4" s="16">
        <f>B4-COUNTIFS('架電リスト'!$C$5:$C$59,A4,'架電リスト'!$J$5:$J$59,"未架電")-COUNTIFS('架電リスト'!$C$5:$C$59,A4,'架電リスト'!$J$5:$J$59,"")</f>
        <v/>
      </c>
      <c r="E4" s="16">
        <f>COUNTIFS('架電リスト'!$C$5:$C$59,$A4,'架電リスト'!$J$5:$J$59,"不在・折返し待ち")</f>
        <v/>
      </c>
      <c r="F4" s="16">
        <f>COUNTIFS('架電リスト'!$C$5:$C$59,$A4,'架電リスト'!$J$5:$J$59,"担当者不在")</f>
        <v/>
      </c>
      <c r="G4" s="16">
        <f>COUNTIFS('架電リスト'!$C$5:$C$59,$A4,'架電リスト'!$J$5:$J$59,"資料送付")</f>
        <v/>
      </c>
      <c r="H4" s="16">
        <f>COUNTIFS('架電リスト'!$C$5:$C$59,$A4,'架電リスト'!$J$5:$J$59,"アポ獲得")</f>
        <v/>
      </c>
      <c r="I4" s="16">
        <f>COUNTIFS('架電リスト'!$C$5:$C$59,$A4,'架電リスト'!$J$5:$J$59,"検討中")</f>
        <v/>
      </c>
      <c r="J4" s="16">
        <f>COUNTIFS('架電リスト'!$C$5:$C$59,$A4,'架電リスト'!$J$5:$J$59,"NG")</f>
        <v/>
      </c>
      <c r="K4" s="16">
        <f>COUNTIFS('架電リスト'!$C$5:$C$59,$A4,'架電リスト'!$J$5:$J$59,"番号不明")</f>
        <v/>
      </c>
    </row>
    <row r="5">
      <c r="A5" s="16" t="inlineStr">
        <is>
          <t>さいたま市緑区</t>
        </is>
      </c>
      <c r="B5" s="16">
        <f>COUNTIF('架電リスト'!$C$5:$C$59,A5)</f>
        <v/>
      </c>
      <c r="C5" s="16">
        <f>COUNTIFS('架電リスト'!$C$5:$C$59,A5,'架電リスト'!$E$5:$E$59,"&lt;&gt;")</f>
        <v/>
      </c>
      <c r="D5" s="16">
        <f>B5-COUNTIFS('架電リスト'!$C$5:$C$59,A5,'架電リスト'!$J$5:$J$59,"未架電")-COUNTIFS('架電リスト'!$C$5:$C$59,A5,'架電リスト'!$J$5:$J$59,"")</f>
        <v/>
      </c>
      <c r="E5" s="16">
        <f>COUNTIFS('架電リスト'!$C$5:$C$59,$A5,'架電リスト'!$J$5:$J$59,"不在・折返し待ち")</f>
        <v/>
      </c>
      <c r="F5" s="16">
        <f>COUNTIFS('架電リスト'!$C$5:$C$59,$A5,'架電リスト'!$J$5:$J$59,"担当者不在")</f>
        <v/>
      </c>
      <c r="G5" s="16">
        <f>COUNTIFS('架電リスト'!$C$5:$C$59,$A5,'架電リスト'!$J$5:$J$59,"資料送付")</f>
        <v/>
      </c>
      <c r="H5" s="16">
        <f>COUNTIFS('架電リスト'!$C$5:$C$59,$A5,'架電リスト'!$J$5:$J$59,"アポ獲得")</f>
        <v/>
      </c>
      <c r="I5" s="16">
        <f>COUNTIFS('架電リスト'!$C$5:$C$59,$A5,'架電リスト'!$J$5:$J$59,"検討中")</f>
        <v/>
      </c>
      <c r="J5" s="16">
        <f>COUNTIFS('架電リスト'!$C$5:$C$59,$A5,'架電リスト'!$J$5:$J$59,"NG")</f>
        <v/>
      </c>
      <c r="K5" s="16">
        <f>COUNTIFS('架電リスト'!$C$5:$C$59,$A5,'架電リスト'!$J$5:$J$59,"番号不明")</f>
        <v/>
      </c>
    </row>
    <row r="6">
      <c r="A6" s="16" t="inlineStr">
        <is>
          <t>越谷市</t>
        </is>
      </c>
      <c r="B6" s="16">
        <f>COUNTIF('架電リスト'!$C$5:$C$59,A6)</f>
        <v/>
      </c>
      <c r="C6" s="16">
        <f>COUNTIFS('架電リスト'!$C$5:$C$59,A6,'架電リスト'!$E$5:$E$59,"&lt;&gt;")</f>
        <v/>
      </c>
      <c r="D6" s="16">
        <f>B6-COUNTIFS('架電リスト'!$C$5:$C$59,A6,'架電リスト'!$J$5:$J$59,"未架電")-COUNTIFS('架電リスト'!$C$5:$C$59,A6,'架電リスト'!$J$5:$J$59,"")</f>
        <v/>
      </c>
      <c r="E6" s="16">
        <f>COUNTIFS('架電リスト'!$C$5:$C$59,$A6,'架電リスト'!$J$5:$J$59,"不在・折返し待ち")</f>
        <v/>
      </c>
      <c r="F6" s="16">
        <f>COUNTIFS('架電リスト'!$C$5:$C$59,$A6,'架電リスト'!$J$5:$J$59,"担当者不在")</f>
        <v/>
      </c>
      <c r="G6" s="16">
        <f>COUNTIFS('架電リスト'!$C$5:$C$59,$A6,'架電リスト'!$J$5:$J$59,"資料送付")</f>
        <v/>
      </c>
      <c r="H6" s="16">
        <f>COUNTIFS('架電リスト'!$C$5:$C$59,$A6,'架電リスト'!$J$5:$J$59,"アポ獲得")</f>
        <v/>
      </c>
      <c r="I6" s="16">
        <f>COUNTIFS('架電リスト'!$C$5:$C$59,$A6,'架電リスト'!$J$5:$J$59,"検討中")</f>
        <v/>
      </c>
      <c r="J6" s="16">
        <f>COUNTIFS('架電リスト'!$C$5:$C$59,$A6,'架電リスト'!$J$5:$J$59,"NG")</f>
        <v/>
      </c>
      <c r="K6" s="16">
        <f>COUNTIFS('架電リスト'!$C$5:$C$59,$A6,'架電リスト'!$J$5:$J$59,"番号不明")</f>
        <v/>
      </c>
    </row>
    <row r="7">
      <c r="A7" s="16" t="inlineStr">
        <is>
          <t>飯能市</t>
        </is>
      </c>
      <c r="B7" s="16">
        <f>COUNTIF('架電リスト'!$C$5:$C$59,A7)</f>
        <v/>
      </c>
      <c r="C7" s="16">
        <f>COUNTIFS('架電リスト'!$C$5:$C$59,A7,'架電リスト'!$E$5:$E$59,"&lt;&gt;")</f>
        <v/>
      </c>
      <c r="D7" s="16">
        <f>B7-COUNTIFS('架電リスト'!$C$5:$C$59,A7,'架電リスト'!$J$5:$J$59,"未架電")-COUNTIFS('架電リスト'!$C$5:$C$59,A7,'架電リスト'!$J$5:$J$59,"")</f>
        <v/>
      </c>
      <c r="E7" s="16">
        <f>COUNTIFS('架電リスト'!$C$5:$C$59,$A7,'架電リスト'!$J$5:$J$59,"不在・折返し待ち")</f>
        <v/>
      </c>
      <c r="F7" s="16">
        <f>COUNTIFS('架電リスト'!$C$5:$C$59,$A7,'架電リスト'!$J$5:$J$59,"担当者不在")</f>
        <v/>
      </c>
      <c r="G7" s="16">
        <f>COUNTIFS('架電リスト'!$C$5:$C$59,$A7,'架電リスト'!$J$5:$J$59,"資料送付")</f>
        <v/>
      </c>
      <c r="H7" s="16">
        <f>COUNTIFS('架電リスト'!$C$5:$C$59,$A7,'架電リスト'!$J$5:$J$59,"アポ獲得")</f>
        <v/>
      </c>
      <c r="I7" s="16">
        <f>COUNTIFS('架電リスト'!$C$5:$C$59,$A7,'架電リスト'!$J$5:$J$59,"検討中")</f>
        <v/>
      </c>
      <c r="J7" s="16">
        <f>COUNTIFS('架電リスト'!$C$5:$C$59,$A7,'架電リスト'!$J$5:$J$59,"NG")</f>
        <v/>
      </c>
      <c r="K7" s="16">
        <f>COUNTIFS('架電リスト'!$C$5:$C$59,$A7,'架電リスト'!$J$5:$J$59,"番号不明")</f>
        <v/>
      </c>
    </row>
    <row r="8">
      <c r="A8" s="16" t="inlineStr">
        <is>
          <t>入間市</t>
        </is>
      </c>
      <c r="B8" s="16">
        <f>COUNTIF('架電リスト'!$C$5:$C$59,A8)</f>
        <v/>
      </c>
      <c r="C8" s="16">
        <f>COUNTIFS('架電リスト'!$C$5:$C$59,A8,'架電リスト'!$E$5:$E$59,"&lt;&gt;")</f>
        <v/>
      </c>
      <c r="D8" s="16">
        <f>B8-COUNTIFS('架電リスト'!$C$5:$C$59,A8,'架電リスト'!$J$5:$J$59,"未架電")-COUNTIFS('架電リスト'!$C$5:$C$59,A8,'架電リスト'!$J$5:$J$59,"")</f>
        <v/>
      </c>
      <c r="E8" s="16">
        <f>COUNTIFS('架電リスト'!$C$5:$C$59,$A8,'架電リスト'!$J$5:$J$59,"不在・折返し待ち")</f>
        <v/>
      </c>
      <c r="F8" s="16">
        <f>COUNTIFS('架電リスト'!$C$5:$C$59,$A8,'架電リスト'!$J$5:$J$59,"担当者不在")</f>
        <v/>
      </c>
      <c r="G8" s="16">
        <f>COUNTIFS('架電リスト'!$C$5:$C$59,$A8,'架電リスト'!$J$5:$J$59,"資料送付")</f>
        <v/>
      </c>
      <c r="H8" s="16">
        <f>COUNTIFS('架電リスト'!$C$5:$C$59,$A8,'架電リスト'!$J$5:$J$59,"アポ獲得")</f>
        <v/>
      </c>
      <c r="I8" s="16">
        <f>COUNTIFS('架電リスト'!$C$5:$C$59,$A8,'架電リスト'!$J$5:$J$59,"検討中")</f>
        <v/>
      </c>
      <c r="J8" s="16">
        <f>COUNTIFS('架電リスト'!$C$5:$C$59,$A8,'架電リスト'!$J$5:$J$59,"NG")</f>
        <v/>
      </c>
      <c r="K8" s="16">
        <f>COUNTIFS('架電リスト'!$C$5:$C$59,$A8,'架電リスト'!$J$5:$J$59,"番号不明")</f>
        <v/>
      </c>
    </row>
    <row r="9">
      <c r="A9" s="16" t="inlineStr">
        <is>
          <t>深谷市</t>
        </is>
      </c>
      <c r="B9" s="16">
        <f>COUNTIF('架電リスト'!$C$5:$C$59,A9)</f>
        <v/>
      </c>
      <c r="C9" s="16">
        <f>COUNTIFS('架電リスト'!$C$5:$C$59,A9,'架電リスト'!$E$5:$E$59,"&lt;&gt;")</f>
        <v/>
      </c>
      <c r="D9" s="16">
        <f>B9-COUNTIFS('架電リスト'!$C$5:$C$59,A9,'架電リスト'!$J$5:$J$59,"未架電")-COUNTIFS('架電リスト'!$C$5:$C$59,A9,'架電リスト'!$J$5:$J$59,"")</f>
        <v/>
      </c>
      <c r="E9" s="16">
        <f>COUNTIFS('架電リスト'!$C$5:$C$59,$A9,'架電リスト'!$J$5:$J$59,"不在・折返し待ち")</f>
        <v/>
      </c>
      <c r="F9" s="16">
        <f>COUNTIFS('架電リスト'!$C$5:$C$59,$A9,'架電リスト'!$J$5:$J$59,"担当者不在")</f>
        <v/>
      </c>
      <c r="G9" s="16">
        <f>COUNTIFS('架電リスト'!$C$5:$C$59,$A9,'架電リスト'!$J$5:$J$59,"資料送付")</f>
        <v/>
      </c>
      <c r="H9" s="16">
        <f>COUNTIFS('架電リスト'!$C$5:$C$59,$A9,'架電リスト'!$J$5:$J$59,"アポ獲得")</f>
        <v/>
      </c>
      <c r="I9" s="16">
        <f>COUNTIFS('架電リスト'!$C$5:$C$59,$A9,'架電リスト'!$J$5:$J$59,"検討中")</f>
        <v/>
      </c>
      <c r="J9" s="16">
        <f>COUNTIFS('架電リスト'!$C$5:$C$59,$A9,'架電リスト'!$J$5:$J$59,"NG")</f>
        <v/>
      </c>
      <c r="K9" s="16">
        <f>COUNTIFS('架電リスト'!$C$5:$C$59,$A9,'架電リスト'!$J$5:$J$59,"番号不明")</f>
        <v/>
      </c>
    </row>
    <row r="10">
      <c r="A10" s="16" t="inlineStr">
        <is>
          <t>本庄市</t>
        </is>
      </c>
      <c r="B10" s="16">
        <f>COUNTIF('架電リスト'!$C$5:$C$59,A10)</f>
        <v/>
      </c>
      <c r="C10" s="16">
        <f>COUNTIFS('架電リスト'!$C$5:$C$59,A10,'架電リスト'!$E$5:$E$59,"&lt;&gt;")</f>
        <v/>
      </c>
      <c r="D10" s="16">
        <f>B10-COUNTIFS('架電リスト'!$C$5:$C$59,A10,'架電リスト'!$J$5:$J$59,"未架電")-COUNTIFS('架電リスト'!$C$5:$C$59,A10,'架電リスト'!$J$5:$J$59,"")</f>
        <v/>
      </c>
      <c r="E10" s="16">
        <f>COUNTIFS('架電リスト'!$C$5:$C$59,$A10,'架電リスト'!$J$5:$J$59,"不在・折返し待ち")</f>
        <v/>
      </c>
      <c r="F10" s="16">
        <f>COUNTIFS('架電リスト'!$C$5:$C$59,$A10,'架電リスト'!$J$5:$J$59,"担当者不在")</f>
        <v/>
      </c>
      <c r="G10" s="16">
        <f>COUNTIFS('架電リスト'!$C$5:$C$59,$A10,'架電リスト'!$J$5:$J$59,"資料送付")</f>
        <v/>
      </c>
      <c r="H10" s="16">
        <f>COUNTIFS('架電リスト'!$C$5:$C$59,$A10,'架電リスト'!$J$5:$J$59,"アポ獲得")</f>
        <v/>
      </c>
      <c r="I10" s="16">
        <f>COUNTIFS('架電リスト'!$C$5:$C$59,$A10,'架電リスト'!$J$5:$J$59,"検討中")</f>
        <v/>
      </c>
      <c r="J10" s="16">
        <f>COUNTIFS('架電リスト'!$C$5:$C$59,$A10,'架電リスト'!$J$5:$J$59,"NG")</f>
        <v/>
      </c>
      <c r="K10" s="16">
        <f>COUNTIFS('架電リスト'!$C$5:$C$59,$A10,'架電リスト'!$J$5:$J$59,"番号不明")</f>
        <v/>
      </c>
    </row>
    <row r="11">
      <c r="A11" s="16" t="inlineStr">
        <is>
          <t>狭山市</t>
        </is>
      </c>
      <c r="B11" s="16">
        <f>COUNTIF('架電リスト'!$C$5:$C$59,A11)</f>
        <v/>
      </c>
      <c r="C11" s="16">
        <f>COUNTIFS('架電リスト'!$C$5:$C$59,A11,'架電リスト'!$E$5:$E$59,"&lt;&gt;")</f>
        <v/>
      </c>
      <c r="D11" s="16">
        <f>B11-COUNTIFS('架電リスト'!$C$5:$C$59,A11,'架電リスト'!$J$5:$J$59,"未架電")-COUNTIFS('架電リスト'!$C$5:$C$59,A11,'架電リスト'!$J$5:$J$59,"")</f>
        <v/>
      </c>
      <c r="E11" s="16">
        <f>COUNTIFS('架電リスト'!$C$5:$C$59,$A11,'架電リスト'!$J$5:$J$59,"不在・折返し待ち")</f>
        <v/>
      </c>
      <c r="F11" s="16">
        <f>COUNTIFS('架電リスト'!$C$5:$C$59,$A11,'架電リスト'!$J$5:$J$59,"担当者不在")</f>
        <v/>
      </c>
      <c r="G11" s="16">
        <f>COUNTIFS('架電リスト'!$C$5:$C$59,$A11,'架電リスト'!$J$5:$J$59,"資料送付")</f>
        <v/>
      </c>
      <c r="H11" s="16">
        <f>COUNTIFS('架電リスト'!$C$5:$C$59,$A11,'架電リスト'!$J$5:$J$59,"アポ獲得")</f>
        <v/>
      </c>
      <c r="I11" s="16">
        <f>COUNTIFS('架電リスト'!$C$5:$C$59,$A11,'架電リスト'!$J$5:$J$59,"検討中")</f>
        <v/>
      </c>
      <c r="J11" s="16">
        <f>COUNTIFS('架電リスト'!$C$5:$C$59,$A11,'架電リスト'!$J$5:$J$59,"NG")</f>
        <v/>
      </c>
      <c r="K11" s="16">
        <f>COUNTIFS('架電リスト'!$C$5:$C$59,$A11,'架電リスト'!$J$5:$J$59,"番号不明")</f>
        <v/>
      </c>
    </row>
    <row r="12">
      <c r="A12" s="16" t="inlineStr">
        <is>
          <t>加須市</t>
        </is>
      </c>
      <c r="B12" s="16">
        <f>COUNTIF('架電リスト'!$C$5:$C$59,A12)</f>
        <v/>
      </c>
      <c r="C12" s="16">
        <f>COUNTIFS('架電リスト'!$C$5:$C$59,A12,'架電リスト'!$E$5:$E$59,"&lt;&gt;")</f>
        <v/>
      </c>
      <c r="D12" s="16">
        <f>B12-COUNTIFS('架電リスト'!$C$5:$C$59,A12,'架電リスト'!$J$5:$J$59,"未架電")-COUNTIFS('架電リスト'!$C$5:$C$59,A12,'架電リスト'!$J$5:$J$59,"")</f>
        <v/>
      </c>
      <c r="E12" s="16">
        <f>COUNTIFS('架電リスト'!$C$5:$C$59,$A12,'架電リスト'!$J$5:$J$59,"不在・折返し待ち")</f>
        <v/>
      </c>
      <c r="F12" s="16">
        <f>COUNTIFS('架電リスト'!$C$5:$C$59,$A12,'架電リスト'!$J$5:$J$59,"担当者不在")</f>
        <v/>
      </c>
      <c r="G12" s="16">
        <f>COUNTIFS('架電リスト'!$C$5:$C$59,$A12,'架電リスト'!$J$5:$J$59,"資料送付")</f>
        <v/>
      </c>
      <c r="H12" s="16">
        <f>COUNTIFS('架電リスト'!$C$5:$C$59,$A12,'架電リスト'!$J$5:$J$59,"アポ獲得")</f>
        <v/>
      </c>
      <c r="I12" s="16">
        <f>COUNTIFS('架電リスト'!$C$5:$C$59,$A12,'架電リスト'!$J$5:$J$59,"検討中")</f>
        <v/>
      </c>
      <c r="J12" s="16">
        <f>COUNTIFS('架電リスト'!$C$5:$C$59,$A12,'架電リスト'!$J$5:$J$59,"NG")</f>
        <v/>
      </c>
      <c r="K12" s="16">
        <f>COUNTIFS('架電リスト'!$C$5:$C$59,$A12,'架電リスト'!$J$5:$J$59,"番号不明")</f>
        <v/>
      </c>
    </row>
    <row r="13">
      <c r="A13" s="16" t="inlineStr">
        <is>
          <t>春日部市</t>
        </is>
      </c>
      <c r="B13" s="16">
        <f>COUNTIF('架電リスト'!$C$5:$C$59,A13)</f>
        <v/>
      </c>
      <c r="C13" s="16">
        <f>COUNTIFS('架電リスト'!$C$5:$C$59,A13,'架電リスト'!$E$5:$E$59,"&lt;&gt;")</f>
        <v/>
      </c>
      <c r="D13" s="16">
        <f>B13-COUNTIFS('架電リスト'!$C$5:$C$59,A13,'架電リスト'!$J$5:$J$59,"未架電")-COUNTIFS('架電リスト'!$C$5:$C$59,A13,'架電リスト'!$J$5:$J$59,"")</f>
        <v/>
      </c>
      <c r="E13" s="16">
        <f>COUNTIFS('架電リスト'!$C$5:$C$59,$A13,'架電リスト'!$J$5:$J$59,"不在・折返し待ち")</f>
        <v/>
      </c>
      <c r="F13" s="16">
        <f>COUNTIFS('架電リスト'!$C$5:$C$59,$A13,'架電リスト'!$J$5:$J$59,"担当者不在")</f>
        <v/>
      </c>
      <c r="G13" s="16">
        <f>COUNTIFS('架電リスト'!$C$5:$C$59,$A13,'架電リスト'!$J$5:$J$59,"資料送付")</f>
        <v/>
      </c>
      <c r="H13" s="16">
        <f>COUNTIFS('架電リスト'!$C$5:$C$59,$A13,'架電リスト'!$J$5:$J$59,"アポ獲得")</f>
        <v/>
      </c>
      <c r="I13" s="16">
        <f>COUNTIFS('架電リスト'!$C$5:$C$59,$A13,'架電リスト'!$J$5:$J$59,"検討中")</f>
        <v/>
      </c>
      <c r="J13" s="16">
        <f>COUNTIFS('架電リスト'!$C$5:$C$59,$A13,'架電リスト'!$J$5:$J$59,"NG")</f>
        <v/>
      </c>
      <c r="K13" s="16">
        <f>COUNTIFS('架電リスト'!$C$5:$C$59,$A13,'架電リスト'!$J$5:$J$59,"番号不明")</f>
        <v/>
      </c>
    </row>
    <row r="14">
      <c r="A14" s="16" t="inlineStr">
        <is>
          <t>志木市</t>
        </is>
      </c>
      <c r="B14" s="16">
        <f>COUNTIF('架電リスト'!$C$5:$C$59,A14)</f>
        <v/>
      </c>
      <c r="C14" s="16">
        <f>COUNTIFS('架電リスト'!$C$5:$C$59,A14,'架電リスト'!$E$5:$E$59,"&lt;&gt;")</f>
        <v/>
      </c>
      <c r="D14" s="16">
        <f>B14-COUNTIFS('架電リスト'!$C$5:$C$59,A14,'架電リスト'!$J$5:$J$59,"未架電")-COUNTIFS('架電リスト'!$C$5:$C$59,A14,'架電リスト'!$J$5:$J$59,"")</f>
        <v/>
      </c>
      <c r="E14" s="16">
        <f>COUNTIFS('架電リスト'!$C$5:$C$59,$A14,'架電リスト'!$J$5:$J$59,"不在・折返し待ち")</f>
        <v/>
      </c>
      <c r="F14" s="16">
        <f>COUNTIFS('架電リスト'!$C$5:$C$59,$A14,'架電リスト'!$J$5:$J$59,"担当者不在")</f>
        <v/>
      </c>
      <c r="G14" s="16">
        <f>COUNTIFS('架電リスト'!$C$5:$C$59,$A14,'架電リスト'!$J$5:$J$59,"資料送付")</f>
        <v/>
      </c>
      <c r="H14" s="16">
        <f>COUNTIFS('架電リスト'!$C$5:$C$59,$A14,'架電リスト'!$J$5:$J$59,"アポ獲得")</f>
        <v/>
      </c>
      <c r="I14" s="16">
        <f>COUNTIFS('架電リスト'!$C$5:$C$59,$A14,'架電リスト'!$J$5:$J$59,"検討中")</f>
        <v/>
      </c>
      <c r="J14" s="16">
        <f>COUNTIFS('架電リスト'!$C$5:$C$59,$A14,'架電リスト'!$J$5:$J$59,"NG")</f>
        <v/>
      </c>
      <c r="K14" s="16">
        <f>COUNTIFS('架電リスト'!$C$5:$C$59,$A14,'架電リスト'!$J$5:$J$59,"番号不明")</f>
        <v/>
      </c>
    </row>
    <row r="15">
      <c r="A15" s="16" t="inlineStr">
        <is>
          <t>伊奈町</t>
        </is>
      </c>
      <c r="B15" s="16">
        <f>COUNTIF('架電リスト'!$C$5:$C$59,A15)</f>
        <v/>
      </c>
      <c r="C15" s="16">
        <f>COUNTIFS('架電リスト'!$C$5:$C$59,A15,'架電リスト'!$E$5:$E$59,"&lt;&gt;")</f>
        <v/>
      </c>
      <c r="D15" s="16">
        <f>B15-COUNTIFS('架電リスト'!$C$5:$C$59,A15,'架電リスト'!$J$5:$J$59,"未架電")-COUNTIFS('架電リスト'!$C$5:$C$59,A15,'架電リスト'!$J$5:$J$59,"")</f>
        <v/>
      </c>
      <c r="E15" s="16">
        <f>COUNTIFS('架電リスト'!$C$5:$C$59,$A15,'架電リスト'!$J$5:$J$59,"不在・折返し待ち")</f>
        <v/>
      </c>
      <c r="F15" s="16">
        <f>COUNTIFS('架電リスト'!$C$5:$C$59,$A15,'架電リスト'!$J$5:$J$59,"担当者不在")</f>
        <v/>
      </c>
      <c r="G15" s="16">
        <f>COUNTIFS('架電リスト'!$C$5:$C$59,$A15,'架電リスト'!$J$5:$J$59,"資料送付")</f>
        <v/>
      </c>
      <c r="H15" s="16">
        <f>COUNTIFS('架電リスト'!$C$5:$C$59,$A15,'架電リスト'!$J$5:$J$59,"アポ獲得")</f>
        <v/>
      </c>
      <c r="I15" s="16">
        <f>COUNTIFS('架電リスト'!$C$5:$C$59,$A15,'架電リスト'!$J$5:$J$59,"検討中")</f>
        <v/>
      </c>
      <c r="J15" s="16">
        <f>COUNTIFS('架電リスト'!$C$5:$C$59,$A15,'架電リスト'!$J$5:$J$59,"NG")</f>
        <v/>
      </c>
      <c r="K15" s="16">
        <f>COUNTIFS('架電リスト'!$C$5:$C$59,$A15,'架電リスト'!$J$5:$J$59,"番号不明")</f>
        <v/>
      </c>
    </row>
    <row r="16">
      <c r="A16" s="16" t="inlineStr">
        <is>
          <t>杉戸町</t>
        </is>
      </c>
      <c r="B16" s="16">
        <f>COUNTIF('架電リスト'!$C$5:$C$59,A16)</f>
        <v/>
      </c>
      <c r="C16" s="16">
        <f>COUNTIFS('架電リスト'!$C$5:$C$59,A16,'架電リスト'!$E$5:$E$59,"&lt;&gt;")</f>
        <v/>
      </c>
      <c r="D16" s="16">
        <f>B16-COUNTIFS('架電リスト'!$C$5:$C$59,A16,'架電リスト'!$J$5:$J$59,"未架電")-COUNTIFS('架電リスト'!$C$5:$C$59,A16,'架電リスト'!$J$5:$J$59,"")</f>
        <v/>
      </c>
      <c r="E16" s="16">
        <f>COUNTIFS('架電リスト'!$C$5:$C$59,$A16,'架電リスト'!$J$5:$J$59,"不在・折返し待ち")</f>
        <v/>
      </c>
      <c r="F16" s="16">
        <f>COUNTIFS('架電リスト'!$C$5:$C$59,$A16,'架電リスト'!$J$5:$J$59,"担当者不在")</f>
        <v/>
      </c>
      <c r="G16" s="16">
        <f>COUNTIFS('架電リスト'!$C$5:$C$59,$A16,'架電リスト'!$J$5:$J$59,"資料送付")</f>
        <v/>
      </c>
      <c r="H16" s="16">
        <f>COUNTIFS('架電リスト'!$C$5:$C$59,$A16,'架電リスト'!$J$5:$J$59,"アポ獲得")</f>
        <v/>
      </c>
      <c r="I16" s="16">
        <f>COUNTIFS('架電リスト'!$C$5:$C$59,$A16,'架電リスト'!$J$5:$J$59,"検討中")</f>
        <v/>
      </c>
      <c r="J16" s="16">
        <f>COUNTIFS('架電リスト'!$C$5:$C$59,$A16,'架電リスト'!$J$5:$J$59,"NG")</f>
        <v/>
      </c>
      <c r="K16" s="16">
        <f>COUNTIFS('架電リスト'!$C$5:$C$59,$A16,'架電リスト'!$J$5:$J$59,"番号不明")</f>
        <v/>
      </c>
    </row>
    <row r="17">
      <c r="A17" s="16" t="inlineStr">
        <is>
          <t>新座市</t>
        </is>
      </c>
      <c r="B17" s="16">
        <f>COUNTIF('架電リスト'!$C$5:$C$59,A17)</f>
        <v/>
      </c>
      <c r="C17" s="16">
        <f>COUNTIFS('架電リスト'!$C$5:$C$59,A17,'架電リスト'!$E$5:$E$59,"&lt;&gt;")</f>
        <v/>
      </c>
      <c r="D17" s="16">
        <f>B17-COUNTIFS('架電リスト'!$C$5:$C$59,A17,'架電リスト'!$J$5:$J$59,"未架電")-COUNTIFS('架電リスト'!$C$5:$C$59,A17,'架電リスト'!$J$5:$J$59,"")</f>
        <v/>
      </c>
      <c r="E17" s="16">
        <f>COUNTIFS('架電リスト'!$C$5:$C$59,$A17,'架電リスト'!$J$5:$J$59,"不在・折返し待ち")</f>
        <v/>
      </c>
      <c r="F17" s="16">
        <f>COUNTIFS('架電リスト'!$C$5:$C$59,$A17,'架電リスト'!$J$5:$J$59,"担当者不在")</f>
        <v/>
      </c>
      <c r="G17" s="16">
        <f>COUNTIFS('架電リスト'!$C$5:$C$59,$A17,'架電リスト'!$J$5:$J$59,"資料送付")</f>
        <v/>
      </c>
      <c r="H17" s="16">
        <f>COUNTIFS('架電リスト'!$C$5:$C$59,$A17,'架電リスト'!$J$5:$J$59,"アポ獲得")</f>
        <v/>
      </c>
      <c r="I17" s="16">
        <f>COUNTIFS('架電リスト'!$C$5:$C$59,$A17,'架電リスト'!$J$5:$J$59,"検討中")</f>
        <v/>
      </c>
      <c r="J17" s="16">
        <f>COUNTIFS('架電リスト'!$C$5:$C$59,$A17,'架電リスト'!$J$5:$J$59,"NG")</f>
        <v/>
      </c>
      <c r="K17" s="16">
        <f>COUNTIFS('架電リスト'!$C$5:$C$59,$A17,'架電リスト'!$J$5:$J$59,"番号不明")</f>
        <v/>
      </c>
    </row>
    <row r="18">
      <c r="A18" s="16" t="inlineStr">
        <is>
          <t>越生町</t>
        </is>
      </c>
      <c r="B18" s="16">
        <f>COUNTIF('架電リスト'!$C$5:$C$59,A18)</f>
        <v/>
      </c>
      <c r="C18" s="16">
        <f>COUNTIFS('架電リスト'!$C$5:$C$59,A18,'架電リスト'!$E$5:$E$59,"&lt;&gt;")</f>
        <v/>
      </c>
      <c r="D18" s="16">
        <f>B18-COUNTIFS('架電リスト'!$C$5:$C$59,A18,'架電リスト'!$J$5:$J$59,"未架電")-COUNTIFS('架電リスト'!$C$5:$C$59,A18,'架電リスト'!$J$5:$J$59,"")</f>
        <v/>
      </c>
      <c r="E18" s="16">
        <f>COUNTIFS('架電リスト'!$C$5:$C$59,$A18,'架電リスト'!$J$5:$J$59,"不在・折返し待ち")</f>
        <v/>
      </c>
      <c r="F18" s="16">
        <f>COUNTIFS('架電リスト'!$C$5:$C$59,$A18,'架電リスト'!$J$5:$J$59,"担当者不在")</f>
        <v/>
      </c>
      <c r="G18" s="16">
        <f>COUNTIFS('架電リスト'!$C$5:$C$59,$A18,'架電リスト'!$J$5:$J$59,"資料送付")</f>
        <v/>
      </c>
      <c r="H18" s="16">
        <f>COUNTIFS('架電リスト'!$C$5:$C$59,$A18,'架電リスト'!$J$5:$J$59,"アポ獲得")</f>
        <v/>
      </c>
      <c r="I18" s="16">
        <f>COUNTIFS('架電リスト'!$C$5:$C$59,$A18,'架電リスト'!$J$5:$J$59,"検討中")</f>
        <v/>
      </c>
      <c r="J18" s="16">
        <f>COUNTIFS('架電リスト'!$C$5:$C$59,$A18,'架電リスト'!$J$5:$J$59,"NG")</f>
        <v/>
      </c>
      <c r="K18" s="16">
        <f>COUNTIFS('架電リスト'!$C$5:$C$59,$A18,'架電リスト'!$J$5:$J$59,"番号不明")</f>
        <v/>
      </c>
    </row>
    <row r="19">
      <c r="A19" s="16" t="inlineStr">
        <is>
          <t>さいたま市南区</t>
        </is>
      </c>
      <c r="B19" s="16">
        <f>COUNTIF('架電リスト'!$C$5:$C$59,A19)</f>
        <v/>
      </c>
      <c r="C19" s="16">
        <f>COUNTIFS('架電リスト'!$C$5:$C$59,A19,'架電リスト'!$E$5:$E$59,"&lt;&gt;")</f>
        <v/>
      </c>
      <c r="D19" s="16">
        <f>B19-COUNTIFS('架電リスト'!$C$5:$C$59,A19,'架電リスト'!$J$5:$J$59,"未架電")-COUNTIFS('架電リスト'!$C$5:$C$59,A19,'架電リスト'!$J$5:$J$59,"")</f>
        <v/>
      </c>
      <c r="E19" s="16">
        <f>COUNTIFS('架電リスト'!$C$5:$C$59,$A19,'架電リスト'!$J$5:$J$59,"不在・折返し待ち")</f>
        <v/>
      </c>
      <c r="F19" s="16">
        <f>COUNTIFS('架電リスト'!$C$5:$C$59,$A19,'架電リスト'!$J$5:$J$59,"担当者不在")</f>
        <v/>
      </c>
      <c r="G19" s="16">
        <f>COUNTIFS('架電リスト'!$C$5:$C$59,$A19,'架電リスト'!$J$5:$J$59,"資料送付")</f>
        <v/>
      </c>
      <c r="H19" s="16">
        <f>COUNTIFS('架電リスト'!$C$5:$C$59,$A19,'架電リスト'!$J$5:$J$59,"アポ獲得")</f>
        <v/>
      </c>
      <c r="I19" s="16">
        <f>COUNTIFS('架電リスト'!$C$5:$C$59,$A19,'架電リスト'!$J$5:$J$59,"検討中")</f>
        <v/>
      </c>
      <c r="J19" s="16">
        <f>COUNTIFS('架電リスト'!$C$5:$C$59,$A19,'架電リスト'!$J$5:$J$59,"NG")</f>
        <v/>
      </c>
      <c r="K19" s="16">
        <f>COUNTIFS('架電リスト'!$C$5:$C$59,$A19,'架電リスト'!$J$5:$J$59,"番号不明")</f>
        <v/>
      </c>
    </row>
    <row r="20">
      <c r="A20" s="16" t="inlineStr">
        <is>
          <t>さいたま市浦和区</t>
        </is>
      </c>
      <c r="B20" s="16">
        <f>COUNTIF('架電リスト'!$C$5:$C$59,A20)</f>
        <v/>
      </c>
      <c r="C20" s="16">
        <f>COUNTIFS('架電リスト'!$C$5:$C$59,A20,'架電リスト'!$E$5:$E$59,"&lt;&gt;")</f>
        <v/>
      </c>
      <c r="D20" s="16">
        <f>B20-COUNTIFS('架電リスト'!$C$5:$C$59,A20,'架電リスト'!$J$5:$J$59,"未架電")-COUNTIFS('架電リスト'!$C$5:$C$59,A20,'架電リスト'!$J$5:$J$59,"")</f>
        <v/>
      </c>
      <c r="E20" s="16">
        <f>COUNTIFS('架電リスト'!$C$5:$C$59,$A20,'架電リスト'!$J$5:$J$59,"不在・折返し待ち")</f>
        <v/>
      </c>
      <c r="F20" s="16">
        <f>COUNTIFS('架電リスト'!$C$5:$C$59,$A20,'架電リスト'!$J$5:$J$59,"担当者不在")</f>
        <v/>
      </c>
      <c r="G20" s="16">
        <f>COUNTIFS('架電リスト'!$C$5:$C$59,$A20,'架電リスト'!$J$5:$J$59,"資料送付")</f>
        <v/>
      </c>
      <c r="H20" s="16">
        <f>COUNTIFS('架電リスト'!$C$5:$C$59,$A20,'架電リスト'!$J$5:$J$59,"アポ獲得")</f>
        <v/>
      </c>
      <c r="I20" s="16">
        <f>COUNTIFS('架電リスト'!$C$5:$C$59,$A20,'架電リスト'!$J$5:$J$59,"検討中")</f>
        <v/>
      </c>
      <c r="J20" s="16">
        <f>COUNTIFS('架電リスト'!$C$5:$C$59,$A20,'架電リスト'!$J$5:$J$59,"NG")</f>
        <v/>
      </c>
      <c r="K20" s="16">
        <f>COUNTIFS('架電リスト'!$C$5:$C$59,$A20,'架電リスト'!$J$5:$J$59,"番号不明")</f>
        <v/>
      </c>
    </row>
    <row r="21">
      <c r="A21" s="16" t="inlineStr">
        <is>
          <t>嵐山町</t>
        </is>
      </c>
      <c r="B21" s="16">
        <f>COUNTIF('架電リスト'!$C$5:$C$59,A21)</f>
        <v/>
      </c>
      <c r="C21" s="16">
        <f>COUNTIFS('架電リスト'!$C$5:$C$59,A21,'架電リスト'!$E$5:$E$59,"&lt;&gt;")</f>
        <v/>
      </c>
      <c r="D21" s="16">
        <f>B21-COUNTIFS('架電リスト'!$C$5:$C$59,A21,'架電リスト'!$J$5:$J$59,"未架電")-COUNTIFS('架電リスト'!$C$5:$C$59,A21,'架電リスト'!$J$5:$J$59,"")</f>
        <v/>
      </c>
      <c r="E21" s="16">
        <f>COUNTIFS('架電リスト'!$C$5:$C$59,$A21,'架電リスト'!$J$5:$J$59,"不在・折返し待ち")</f>
        <v/>
      </c>
      <c r="F21" s="16">
        <f>COUNTIFS('架電リスト'!$C$5:$C$59,$A21,'架電リスト'!$J$5:$J$59,"担当者不在")</f>
        <v/>
      </c>
      <c r="G21" s="16">
        <f>COUNTIFS('架電リスト'!$C$5:$C$59,$A21,'架電リスト'!$J$5:$J$59,"資料送付")</f>
        <v/>
      </c>
      <c r="H21" s="16">
        <f>COUNTIFS('架電リスト'!$C$5:$C$59,$A21,'架電リスト'!$J$5:$J$59,"アポ獲得")</f>
        <v/>
      </c>
      <c r="I21" s="16">
        <f>COUNTIFS('架電リスト'!$C$5:$C$59,$A21,'架電リスト'!$J$5:$J$59,"検討中")</f>
        <v/>
      </c>
      <c r="J21" s="16">
        <f>COUNTIFS('架電リスト'!$C$5:$C$59,$A21,'架電リスト'!$J$5:$J$59,"NG")</f>
        <v/>
      </c>
      <c r="K21" s="16">
        <f>COUNTIFS('架電リスト'!$C$5:$C$59,$A21,'架電リスト'!$J$5:$J$59,"番号不明")</f>
        <v/>
      </c>
    </row>
    <row r="22">
      <c r="A22" s="16" t="inlineStr">
        <is>
          <t>さいたま市大宮区</t>
        </is>
      </c>
      <c r="B22" s="16">
        <f>COUNTIF('架電リスト'!$C$5:$C$59,A22)</f>
        <v/>
      </c>
      <c r="C22" s="16">
        <f>COUNTIFS('架電リスト'!$C$5:$C$59,A22,'架電リスト'!$E$5:$E$59,"&lt;&gt;")</f>
        <v/>
      </c>
      <c r="D22" s="16">
        <f>B22-COUNTIFS('架電リスト'!$C$5:$C$59,A22,'架電リスト'!$J$5:$J$59,"未架電")-COUNTIFS('架電リスト'!$C$5:$C$59,A22,'架電リスト'!$J$5:$J$59,"")</f>
        <v/>
      </c>
      <c r="E22" s="16">
        <f>COUNTIFS('架電リスト'!$C$5:$C$59,$A22,'架電リスト'!$J$5:$J$59,"不在・折返し待ち")</f>
        <v/>
      </c>
      <c r="F22" s="16">
        <f>COUNTIFS('架電リスト'!$C$5:$C$59,$A22,'架電リスト'!$J$5:$J$59,"担当者不在")</f>
        <v/>
      </c>
      <c r="G22" s="16">
        <f>COUNTIFS('架電リスト'!$C$5:$C$59,$A22,'架電リスト'!$J$5:$J$59,"資料送付")</f>
        <v/>
      </c>
      <c r="H22" s="16">
        <f>COUNTIFS('架電リスト'!$C$5:$C$59,$A22,'架電リスト'!$J$5:$J$59,"アポ獲得")</f>
        <v/>
      </c>
      <c r="I22" s="16">
        <f>COUNTIFS('架電リスト'!$C$5:$C$59,$A22,'架電リスト'!$J$5:$J$59,"検討中")</f>
        <v/>
      </c>
      <c r="J22" s="16">
        <f>COUNTIFS('架電リスト'!$C$5:$C$59,$A22,'架電リスト'!$J$5:$J$59,"NG")</f>
        <v/>
      </c>
      <c r="K22" s="16">
        <f>COUNTIFS('架電リスト'!$C$5:$C$59,$A22,'架電リスト'!$J$5:$J$59,"番号不明")</f>
        <v/>
      </c>
    </row>
    <row r="23">
      <c r="A23" s="16" t="inlineStr">
        <is>
          <t>さいたま市岩槻区</t>
        </is>
      </c>
      <c r="B23" s="16">
        <f>COUNTIF('架電リスト'!$C$5:$C$59,A23)</f>
        <v/>
      </c>
      <c r="C23" s="16">
        <f>COUNTIFS('架電リスト'!$C$5:$C$59,A23,'架電リスト'!$E$5:$E$59,"&lt;&gt;")</f>
        <v/>
      </c>
      <c r="D23" s="16">
        <f>B23-COUNTIFS('架電リスト'!$C$5:$C$59,A23,'架電リスト'!$J$5:$J$59,"未架電")-COUNTIFS('架電リスト'!$C$5:$C$59,A23,'架電リスト'!$J$5:$J$59,"")</f>
        <v/>
      </c>
      <c r="E23" s="16">
        <f>COUNTIFS('架電リスト'!$C$5:$C$59,$A23,'架電リスト'!$J$5:$J$59,"不在・折返し待ち")</f>
        <v/>
      </c>
      <c r="F23" s="16">
        <f>COUNTIFS('架電リスト'!$C$5:$C$59,$A23,'架電リスト'!$J$5:$J$59,"担当者不在")</f>
        <v/>
      </c>
      <c r="G23" s="16">
        <f>COUNTIFS('架電リスト'!$C$5:$C$59,$A23,'架電リスト'!$J$5:$J$59,"資料送付")</f>
        <v/>
      </c>
      <c r="H23" s="16">
        <f>COUNTIFS('架電リスト'!$C$5:$C$59,$A23,'架電リスト'!$J$5:$J$59,"アポ獲得")</f>
        <v/>
      </c>
      <c r="I23" s="16">
        <f>COUNTIFS('架電リスト'!$C$5:$C$59,$A23,'架電リスト'!$J$5:$J$59,"検討中")</f>
        <v/>
      </c>
      <c r="J23" s="16">
        <f>COUNTIFS('架電リスト'!$C$5:$C$59,$A23,'架電リスト'!$J$5:$J$59,"NG")</f>
        <v/>
      </c>
      <c r="K23" s="16">
        <f>COUNTIFS('架電リスト'!$C$5:$C$59,$A23,'架電リスト'!$J$5:$J$59,"番号不明")</f>
        <v/>
      </c>
    </row>
    <row r="24">
      <c r="A24" s="16" t="inlineStr">
        <is>
          <t>さいたま市西区</t>
        </is>
      </c>
      <c r="B24" s="16">
        <f>COUNTIF('架電リスト'!$C$5:$C$59,A24)</f>
        <v/>
      </c>
      <c r="C24" s="16">
        <f>COUNTIFS('架電リスト'!$C$5:$C$59,A24,'架電リスト'!$E$5:$E$59,"&lt;&gt;")</f>
        <v/>
      </c>
      <c r="D24" s="16">
        <f>B24-COUNTIFS('架電リスト'!$C$5:$C$59,A24,'架電リスト'!$J$5:$J$59,"未架電")-COUNTIFS('架電リスト'!$C$5:$C$59,A24,'架電リスト'!$J$5:$J$59,"")</f>
        <v/>
      </c>
      <c r="E24" s="16">
        <f>COUNTIFS('架電リスト'!$C$5:$C$59,$A24,'架電リスト'!$J$5:$J$59,"不在・折返し待ち")</f>
        <v/>
      </c>
      <c r="F24" s="16">
        <f>COUNTIFS('架電リスト'!$C$5:$C$59,$A24,'架電リスト'!$J$5:$J$59,"担当者不在")</f>
        <v/>
      </c>
      <c r="G24" s="16">
        <f>COUNTIFS('架電リスト'!$C$5:$C$59,$A24,'架電リスト'!$J$5:$J$59,"資料送付")</f>
        <v/>
      </c>
      <c r="H24" s="16">
        <f>COUNTIFS('架電リスト'!$C$5:$C$59,$A24,'架電リスト'!$J$5:$J$59,"アポ獲得")</f>
        <v/>
      </c>
      <c r="I24" s="16">
        <f>COUNTIFS('架電リスト'!$C$5:$C$59,$A24,'架電リスト'!$J$5:$J$59,"検討中")</f>
        <v/>
      </c>
      <c r="J24" s="16">
        <f>COUNTIFS('架電リスト'!$C$5:$C$59,$A24,'架電リスト'!$J$5:$J$59,"NG")</f>
        <v/>
      </c>
      <c r="K24" s="16">
        <f>COUNTIFS('架電リスト'!$C$5:$C$59,$A24,'架電リスト'!$J$5:$J$59,"番号不明")</f>
        <v/>
      </c>
    </row>
    <row r="25">
      <c r="A25" s="16" t="inlineStr">
        <is>
          <t>毛呂山町</t>
        </is>
      </c>
      <c r="B25" s="16">
        <f>COUNTIF('架電リスト'!$C$5:$C$59,A25)</f>
        <v/>
      </c>
      <c r="C25" s="16">
        <f>COUNTIFS('架電リスト'!$C$5:$C$59,A25,'架電リスト'!$E$5:$E$59,"&lt;&gt;")</f>
        <v/>
      </c>
      <c r="D25" s="16">
        <f>B25-COUNTIFS('架電リスト'!$C$5:$C$59,A25,'架電リスト'!$J$5:$J$59,"未架電")-COUNTIFS('架電リスト'!$C$5:$C$59,A25,'架電リスト'!$J$5:$J$59,"")</f>
        <v/>
      </c>
      <c r="E25" s="16">
        <f>COUNTIFS('架電リスト'!$C$5:$C$59,$A25,'架電リスト'!$J$5:$J$59,"不在・折返し待ち")</f>
        <v/>
      </c>
      <c r="F25" s="16">
        <f>COUNTIFS('架電リスト'!$C$5:$C$59,$A25,'架電リスト'!$J$5:$J$59,"担当者不在")</f>
        <v/>
      </c>
      <c r="G25" s="16">
        <f>COUNTIFS('架電リスト'!$C$5:$C$59,$A25,'架電リスト'!$J$5:$J$59,"資料送付")</f>
        <v/>
      </c>
      <c r="H25" s="16">
        <f>COUNTIFS('架電リスト'!$C$5:$C$59,$A25,'架電リスト'!$J$5:$J$59,"アポ獲得")</f>
        <v/>
      </c>
      <c r="I25" s="16">
        <f>COUNTIFS('架電リスト'!$C$5:$C$59,$A25,'架電リスト'!$J$5:$J$59,"検討中")</f>
        <v/>
      </c>
      <c r="J25" s="16">
        <f>COUNTIFS('架電リスト'!$C$5:$C$59,$A25,'架電リスト'!$J$5:$J$59,"NG")</f>
        <v/>
      </c>
      <c r="K25" s="16">
        <f>COUNTIFS('架電リスト'!$C$5:$C$59,$A25,'架電リスト'!$J$5:$J$59,"番号不明")</f>
        <v/>
      </c>
    </row>
    <row r="26">
      <c r="A26" s="16" t="inlineStr">
        <is>
          <t>さいたま市見沼区</t>
        </is>
      </c>
      <c r="B26" s="16">
        <f>COUNTIF('架電リスト'!$C$5:$C$59,A26)</f>
        <v/>
      </c>
      <c r="C26" s="16">
        <f>COUNTIFS('架電リスト'!$C$5:$C$59,A26,'架電リスト'!$E$5:$E$59,"&lt;&gt;")</f>
        <v/>
      </c>
      <c r="D26" s="16">
        <f>B26-COUNTIFS('架電リスト'!$C$5:$C$59,A26,'架電リスト'!$J$5:$J$59,"未架電")-COUNTIFS('架電リスト'!$C$5:$C$59,A26,'架電リスト'!$J$5:$J$59,"")</f>
        <v/>
      </c>
      <c r="E26" s="16">
        <f>COUNTIFS('架電リスト'!$C$5:$C$59,$A26,'架電リスト'!$J$5:$J$59,"不在・折返し待ち")</f>
        <v/>
      </c>
      <c r="F26" s="16">
        <f>COUNTIFS('架電リスト'!$C$5:$C$59,$A26,'架電リスト'!$J$5:$J$59,"担当者不在")</f>
        <v/>
      </c>
      <c r="G26" s="16">
        <f>COUNTIFS('架電リスト'!$C$5:$C$59,$A26,'架電リスト'!$J$5:$J$59,"資料送付")</f>
        <v/>
      </c>
      <c r="H26" s="16">
        <f>COUNTIFS('架電リスト'!$C$5:$C$59,$A26,'架電リスト'!$J$5:$J$59,"アポ獲得")</f>
        <v/>
      </c>
      <c r="I26" s="16">
        <f>COUNTIFS('架電リスト'!$C$5:$C$59,$A26,'架電リスト'!$J$5:$J$59,"検討中")</f>
        <v/>
      </c>
      <c r="J26" s="16">
        <f>COUNTIFS('架電リスト'!$C$5:$C$59,$A26,'架電リスト'!$J$5:$J$59,"NG")</f>
        <v/>
      </c>
      <c r="K26" s="16">
        <f>COUNTIFS('架電リスト'!$C$5:$C$59,$A26,'架電リスト'!$J$5:$J$59,"番号不明")</f>
        <v/>
      </c>
    </row>
    <row r="27">
      <c r="A27" s="16" t="inlineStr">
        <is>
          <t>上尾市</t>
        </is>
      </c>
      <c r="B27" s="16">
        <f>COUNTIF('架電リスト'!$C$5:$C$59,A27)</f>
        <v/>
      </c>
      <c r="C27" s="16">
        <f>COUNTIFS('架電リスト'!$C$5:$C$59,A27,'架電リスト'!$E$5:$E$59,"&lt;&gt;")</f>
        <v/>
      </c>
      <c r="D27" s="16">
        <f>B27-COUNTIFS('架電リスト'!$C$5:$C$59,A27,'架電リスト'!$J$5:$J$59,"未架電")-COUNTIFS('架電リスト'!$C$5:$C$59,A27,'架電リスト'!$J$5:$J$59,"")</f>
        <v/>
      </c>
      <c r="E27" s="16">
        <f>COUNTIFS('架電リスト'!$C$5:$C$59,$A27,'架電リスト'!$J$5:$J$59,"不在・折返し待ち")</f>
        <v/>
      </c>
      <c r="F27" s="16">
        <f>COUNTIFS('架電リスト'!$C$5:$C$59,$A27,'架電リスト'!$J$5:$J$59,"担当者不在")</f>
        <v/>
      </c>
      <c r="G27" s="16">
        <f>COUNTIFS('架電リスト'!$C$5:$C$59,$A27,'架電リスト'!$J$5:$J$59,"資料送付")</f>
        <v/>
      </c>
      <c r="H27" s="16">
        <f>COUNTIFS('架電リスト'!$C$5:$C$59,$A27,'架電リスト'!$J$5:$J$59,"アポ獲得")</f>
        <v/>
      </c>
      <c r="I27" s="16">
        <f>COUNTIFS('架電リスト'!$C$5:$C$59,$A27,'架電リスト'!$J$5:$J$59,"検討中")</f>
        <v/>
      </c>
      <c r="J27" s="16">
        <f>COUNTIFS('架電リスト'!$C$5:$C$59,$A27,'架電リスト'!$J$5:$J$59,"NG")</f>
        <v/>
      </c>
      <c r="K27" s="16">
        <f>COUNTIFS('架電リスト'!$C$5:$C$59,$A27,'架電リスト'!$J$5:$J$59,"番号不明")</f>
        <v/>
      </c>
    </row>
    <row r="28">
      <c r="A28" s="16" t="inlineStr">
        <is>
          <t>さいたま市中央区</t>
        </is>
      </c>
      <c r="B28" s="16">
        <f>COUNTIF('架電リスト'!$C$5:$C$59,A28)</f>
        <v/>
      </c>
      <c r="C28" s="16">
        <f>COUNTIFS('架電リスト'!$C$5:$C$59,A28,'架電リスト'!$E$5:$E$59,"&lt;&gt;")</f>
        <v/>
      </c>
      <c r="D28" s="16">
        <f>B28-COUNTIFS('架電リスト'!$C$5:$C$59,A28,'架電リスト'!$J$5:$J$59,"未架電")-COUNTIFS('架電リスト'!$C$5:$C$59,A28,'架電リスト'!$J$5:$J$59,"")</f>
        <v/>
      </c>
      <c r="E28" s="16">
        <f>COUNTIFS('架電リスト'!$C$5:$C$59,$A28,'架電リスト'!$J$5:$J$59,"不在・折返し待ち")</f>
        <v/>
      </c>
      <c r="F28" s="16">
        <f>COUNTIFS('架電リスト'!$C$5:$C$59,$A28,'架電リスト'!$J$5:$J$59,"担当者不在")</f>
        <v/>
      </c>
      <c r="G28" s="16">
        <f>COUNTIFS('架電リスト'!$C$5:$C$59,$A28,'架電リスト'!$J$5:$J$59,"資料送付")</f>
        <v/>
      </c>
      <c r="H28" s="16">
        <f>COUNTIFS('架電リスト'!$C$5:$C$59,$A28,'架電リスト'!$J$5:$J$59,"アポ獲得")</f>
        <v/>
      </c>
      <c r="I28" s="16">
        <f>COUNTIFS('架電リスト'!$C$5:$C$59,$A28,'架電リスト'!$J$5:$J$59,"検討中")</f>
        <v/>
      </c>
      <c r="J28" s="16">
        <f>COUNTIFS('架電リスト'!$C$5:$C$59,$A28,'架電リスト'!$J$5:$J$59,"NG")</f>
        <v/>
      </c>
      <c r="K28" s="16">
        <f>COUNTIFS('架電リスト'!$C$5:$C$59,$A28,'架電リスト'!$J$5:$J$59,"番号不明")</f>
        <v/>
      </c>
    </row>
    <row r="29">
      <c r="A29" s="16" t="inlineStr">
        <is>
          <t>東松山市</t>
        </is>
      </c>
      <c r="B29" s="16">
        <f>COUNTIF('架電リスト'!$C$5:$C$59,A29)</f>
        <v/>
      </c>
      <c r="C29" s="16">
        <f>COUNTIFS('架電リスト'!$C$5:$C$59,A29,'架電リスト'!$E$5:$E$59,"&lt;&gt;")</f>
        <v/>
      </c>
      <c r="D29" s="16">
        <f>B29-COUNTIFS('架電リスト'!$C$5:$C$59,A29,'架電リスト'!$J$5:$J$59,"未架電")-COUNTIFS('架電リスト'!$C$5:$C$59,A29,'架電リスト'!$J$5:$J$59,"")</f>
        <v/>
      </c>
      <c r="E29" s="16">
        <f>COUNTIFS('架電リスト'!$C$5:$C$59,$A29,'架電リスト'!$J$5:$J$59,"不在・折返し待ち")</f>
        <v/>
      </c>
      <c r="F29" s="16">
        <f>COUNTIFS('架電リスト'!$C$5:$C$59,$A29,'架電リスト'!$J$5:$J$59,"担当者不在")</f>
        <v/>
      </c>
      <c r="G29" s="16">
        <f>COUNTIFS('架電リスト'!$C$5:$C$59,$A29,'架電リスト'!$J$5:$J$59,"資料送付")</f>
        <v/>
      </c>
      <c r="H29" s="16">
        <f>COUNTIFS('架電リスト'!$C$5:$C$59,$A29,'架電リスト'!$J$5:$J$59,"アポ獲得")</f>
        <v/>
      </c>
      <c r="I29" s="16">
        <f>COUNTIFS('架電リスト'!$C$5:$C$59,$A29,'架電リスト'!$J$5:$J$59,"検討中")</f>
        <v/>
      </c>
      <c r="J29" s="16">
        <f>COUNTIFS('架電リスト'!$C$5:$C$59,$A29,'架電リスト'!$J$5:$J$59,"NG")</f>
        <v/>
      </c>
      <c r="K29" s="16">
        <f>COUNTIFS('架電リスト'!$C$5:$C$59,$A29,'架電リスト'!$J$5:$J$59,"番号不明")</f>
        <v/>
      </c>
    </row>
    <row r="30">
      <c r="A30" s="16" t="inlineStr">
        <is>
          <t>蕨市</t>
        </is>
      </c>
      <c r="B30" s="16">
        <f>COUNTIF('架電リスト'!$C$5:$C$59,A30)</f>
        <v/>
      </c>
      <c r="C30" s="16">
        <f>COUNTIFS('架電リスト'!$C$5:$C$59,A30,'架電リスト'!$E$5:$E$59,"&lt;&gt;")</f>
        <v/>
      </c>
      <c r="D30" s="16">
        <f>B30-COUNTIFS('架電リスト'!$C$5:$C$59,A30,'架電リスト'!$J$5:$J$59,"未架電")-COUNTIFS('架電リスト'!$C$5:$C$59,A30,'架電リスト'!$J$5:$J$59,"")</f>
        <v/>
      </c>
      <c r="E30" s="16">
        <f>COUNTIFS('架電リスト'!$C$5:$C$59,$A30,'架電リスト'!$J$5:$J$59,"不在・折返し待ち")</f>
        <v/>
      </c>
      <c r="F30" s="16">
        <f>COUNTIFS('架電リスト'!$C$5:$C$59,$A30,'架電リスト'!$J$5:$J$59,"担当者不在")</f>
        <v/>
      </c>
      <c r="G30" s="16">
        <f>COUNTIFS('架電リスト'!$C$5:$C$59,$A30,'架電リスト'!$J$5:$J$59,"資料送付")</f>
        <v/>
      </c>
      <c r="H30" s="16">
        <f>COUNTIFS('架電リスト'!$C$5:$C$59,$A30,'架電リスト'!$J$5:$J$59,"アポ獲得")</f>
        <v/>
      </c>
      <c r="I30" s="16">
        <f>COUNTIFS('架電リスト'!$C$5:$C$59,$A30,'架電リスト'!$J$5:$J$59,"検討中")</f>
        <v/>
      </c>
      <c r="J30" s="16">
        <f>COUNTIFS('架電リスト'!$C$5:$C$59,$A30,'架電リスト'!$J$5:$J$59,"NG")</f>
        <v/>
      </c>
      <c r="K30" s="16">
        <f>COUNTIFS('架電リスト'!$C$5:$C$59,$A30,'架電リスト'!$J$5:$J$59,"番号不明")</f>
        <v/>
      </c>
    </row>
    <row r="31">
      <c r="A31" s="16" t="inlineStr">
        <is>
          <t>坂戸市</t>
        </is>
      </c>
      <c r="B31" s="16">
        <f>COUNTIF('架電リスト'!$C$5:$C$59,A31)</f>
        <v/>
      </c>
      <c r="C31" s="16">
        <f>COUNTIFS('架電リスト'!$C$5:$C$59,A31,'架電リスト'!$E$5:$E$59,"&lt;&gt;")</f>
        <v/>
      </c>
      <c r="D31" s="16">
        <f>B31-COUNTIFS('架電リスト'!$C$5:$C$59,A31,'架電リスト'!$J$5:$J$59,"未架電")-COUNTIFS('架電リスト'!$C$5:$C$59,A31,'架電リスト'!$J$5:$J$59,"")</f>
        <v/>
      </c>
      <c r="E31" s="16">
        <f>COUNTIFS('架電リスト'!$C$5:$C$59,$A31,'架電リスト'!$J$5:$J$59,"不在・折返し待ち")</f>
        <v/>
      </c>
      <c r="F31" s="16">
        <f>COUNTIFS('架電リスト'!$C$5:$C$59,$A31,'架電リスト'!$J$5:$J$59,"担当者不在")</f>
        <v/>
      </c>
      <c r="G31" s="16">
        <f>COUNTIFS('架電リスト'!$C$5:$C$59,$A31,'架電リスト'!$J$5:$J$59,"資料送付")</f>
        <v/>
      </c>
      <c r="H31" s="16">
        <f>COUNTIFS('架電リスト'!$C$5:$C$59,$A31,'架電リスト'!$J$5:$J$59,"アポ獲得")</f>
        <v/>
      </c>
      <c r="I31" s="16">
        <f>COUNTIFS('架電リスト'!$C$5:$C$59,$A31,'架電リスト'!$J$5:$J$59,"検討中")</f>
        <v/>
      </c>
      <c r="J31" s="16">
        <f>COUNTIFS('架電リスト'!$C$5:$C$59,$A31,'架電リスト'!$J$5:$J$59,"NG")</f>
        <v/>
      </c>
      <c r="K31" s="16">
        <f>COUNTIFS('架電リスト'!$C$5:$C$59,$A31,'架電リスト'!$J$5:$J$59,"番号不明")</f>
        <v/>
      </c>
    </row>
    <row r="32">
      <c r="A32" s="17" t="inlineStr">
        <is>
          <t>合計</t>
        </is>
      </c>
      <c r="B32" s="17">
        <f>SUM(B4:B31)</f>
        <v/>
      </c>
      <c r="C32" s="17">
        <f>SUM(C4:C31)</f>
        <v/>
      </c>
      <c r="D32" s="17">
        <f>SUM(D4:D31)</f>
        <v/>
      </c>
      <c r="E32" s="17">
        <f>SUM(E4:E31)</f>
        <v/>
      </c>
      <c r="F32" s="17">
        <f>SUM(F4:F31)</f>
        <v/>
      </c>
      <c r="G32" s="17">
        <f>SUM(G4:G31)</f>
        <v/>
      </c>
      <c r="H32" s="17">
        <f>SUM(H4:H31)</f>
        <v/>
      </c>
      <c r="I32" s="17">
        <f>SUM(I4:I31)</f>
        <v/>
      </c>
      <c r="J32" s="17">
        <f>SUM(J4:J31)</f>
        <v/>
      </c>
      <c r="K32" s="17">
        <f>SUM(K4:K31)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8" t="inlineStr">
        <is>
          <t>■ 使い方</t>
        </is>
      </c>
    </row>
    <row r="2">
      <c r="A2" s="19" t="inlineStr">
        <is>
          <t>・「架電リスト」の黄色の列（電話番号・架電日・担当者・架電結果・次回連絡日・メモ）に入力してください。</t>
        </is>
      </c>
    </row>
    <row r="3">
      <c r="A3" s="19" t="inlineStr">
        <is>
          <t>・架電結果はプルダウンから選択します（アポ獲得＝緑、NG＝グレーで行が自動着色）。</t>
        </is>
      </c>
    </row>
    <row r="4">
      <c r="A4" s="19" t="inlineStr">
        <is>
          <t>・「学校情報ページ」の「開く」をクリックすると、学校ネットの各校ページが開きます。</t>
        </is>
      </c>
    </row>
    <row r="5">
      <c r="A5" s="19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9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9" t="inlineStr">
        <is>
          <t>・都道府県や市区町村で絞り込む場合は、見出し行の▼（フィルター）を使用してください。</t>
        </is>
      </c>
    </row>
    <row r="8">
      <c r="A8" s="19" t="inlineStr">
        <is>
          <t>・集計シートは入力内容に連動して自動で集計されます。</t>
        </is>
      </c>
    </row>
    <row r="9">
      <c r="A9" s="19" t="inlineStr"/>
    </row>
    <row r="10">
      <c r="A10" s="18" t="inlineStr">
        <is>
          <t>■ 元データについての注意</t>
        </is>
      </c>
    </row>
    <row r="11">
      <c r="A11" s="19" t="inlineStr">
        <is>
          <t>・出典：ご提供いただいた学校ネットの検索結果（私立高校・埼玉県、55校）の貼り付けデータ。並び順は都道府県ごとに元データの掲載順です。</t>
        </is>
      </c>
    </row>
    <row r="12">
      <c r="A12" s="19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9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9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2026-10-09T15:01:12Z</dcterms:created>
  <dcterms:modified xsi:type="dcterms:W3CDTF">2026-10-09T15:01:12Z</dcterms:modified>
</cp:coreProperties>
</file>