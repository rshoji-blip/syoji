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'架電リスト'!$A$4:$O$17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791.html" TargetMode="External" Id="rId1" /><Relationship Type="http://schemas.openxmlformats.org/officeDocument/2006/relationships/hyperlink" Target="https://www.gakkou.net/kou/view/index_301310.html" TargetMode="External" Id="rId2" /><Relationship Type="http://schemas.openxmlformats.org/officeDocument/2006/relationships/hyperlink" Target="https://www.gakkou.net/kou/view/index_301286.html" TargetMode="External" Id="rId3" /><Relationship Type="http://schemas.openxmlformats.org/officeDocument/2006/relationships/hyperlink" Target="https://www.gakkou.net/kou/view/index_301323.html" TargetMode="External" Id="rId4" /><Relationship Type="http://schemas.openxmlformats.org/officeDocument/2006/relationships/hyperlink" Target="https://www.gakkou.net/kou/view/index_301339.html" TargetMode="External" Id="rId5" /><Relationship Type="http://schemas.openxmlformats.org/officeDocument/2006/relationships/hyperlink" Target="https://www.gakkou.net/kou/view/index_301319.html" TargetMode="External" Id="rId6" /><Relationship Type="http://schemas.openxmlformats.org/officeDocument/2006/relationships/hyperlink" Target="https://www.gakkou.net/kou/view/index_301249.html" TargetMode="External" Id="rId7" /><Relationship Type="http://schemas.openxmlformats.org/officeDocument/2006/relationships/hyperlink" Target="https://www.gakkou.net/kou/view/index_301261.html" TargetMode="External" Id="rId8" /><Relationship Type="http://schemas.openxmlformats.org/officeDocument/2006/relationships/hyperlink" Target="https://www.gakkou.net/kou/view/index_301263.html" TargetMode="External" Id="rId9" /><Relationship Type="http://schemas.openxmlformats.org/officeDocument/2006/relationships/hyperlink" Target="https://www.gakkou.net/kou/view/index_301304.html" TargetMode="External" Id="rId10" /><Relationship Type="http://schemas.openxmlformats.org/officeDocument/2006/relationships/hyperlink" Target="https://www.gakkou.net/kou/view/index_301348.html" TargetMode="External" Id="rId11" /><Relationship Type="http://schemas.openxmlformats.org/officeDocument/2006/relationships/hyperlink" Target="https://www.gakkou.net/kou/view/index_301291.html" TargetMode="External" Id="rId12" /><Relationship Type="http://schemas.openxmlformats.org/officeDocument/2006/relationships/hyperlink" Target="https://www.gakkou.net/kou/view/index_301275.htm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架電リスト（群馬県／13校）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群馬県</t>
        </is>
      </c>
      <c r="C5" s="5" t="inlineStr">
        <is>
          <t>桐生市</t>
        </is>
      </c>
      <c r="D5" s="5" t="inlineStr">
        <is>
          <t>Ｒ高等学校</t>
        </is>
      </c>
      <c r="E5" s="6" t="inlineStr">
        <is>
          <t>0277-66-9943</t>
        </is>
      </c>
      <c r="F5" s="7" t="inlineStr">
        <is>
          <t>中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群馬県の私立学校名簿に載っている桐生本校の番号（広域通信制、2025年4月開校、N高グループ）。公式の窓口は入学相談のフリーダイヤル0120-0252-15</t>
        </is>
      </c>
      <c r="N5" s="11" t="inlineStr">
        <is>
          <t>https://www.pref.gunma.jp/page/3563.html ; https://nnn.ed.jp/campus/r_high_school/</t>
        </is>
      </c>
      <c r="O5" s="12" t="inlineStr">
        <is>
          <t>開く</t>
        </is>
      </c>
    </row>
    <row r="6">
      <c r="A6" s="4" t="n">
        <v>2</v>
      </c>
      <c r="B6" s="5" t="inlineStr">
        <is>
          <t>群馬県</t>
        </is>
      </c>
      <c r="C6" s="5" t="inlineStr">
        <is>
          <t>館林市</t>
        </is>
      </c>
      <c r="D6" s="5" t="inlineStr">
        <is>
          <t>関東学園大学附属高等学校</t>
        </is>
      </c>
      <c r="E6" s="6" t="inlineStr">
        <is>
          <t>0276-74-1213</t>
        </is>
      </c>
      <c r="F6" s="13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公式サイトに「代表」と記載。学校法人の代表（0276-74-1211）とは別</t>
        </is>
      </c>
      <c r="N6" s="11" t="inlineStr">
        <is>
          <t>https://www.kanto-gakuen.ac.jp/high/access.htm</t>
        </is>
      </c>
      <c r="O6" s="12" t="inlineStr">
        <is>
          <t>開く</t>
        </is>
      </c>
    </row>
    <row r="7">
      <c r="A7" s="4" t="n">
        <v>3</v>
      </c>
      <c r="B7" s="5" t="inlineStr">
        <is>
          <t>群馬県</t>
        </is>
      </c>
      <c r="C7" s="5" t="inlineStr">
        <is>
          <t>前橋市</t>
        </is>
      </c>
      <c r="D7" s="5" t="inlineStr">
        <is>
          <t>共愛学園高等学校</t>
        </is>
      </c>
      <c r="E7" s="6" t="inlineStr">
        <is>
          <t>027-267-1000</t>
        </is>
      </c>
      <c r="F7" s="13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群馬県の一覧と学校情報サイトで一致。中学校と共通</t>
        </is>
      </c>
      <c r="N7" s="11" t="inlineStr">
        <is>
          <t>https://school.js88.com/scl_h/22002880 ; https://www.pref.gunma.jp/03/a3510009.html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群馬県</t>
        </is>
      </c>
      <c r="C8" s="5" t="inlineStr">
        <is>
          <t>桐生市</t>
        </is>
      </c>
      <c r="D8" s="5" t="inlineStr">
        <is>
          <t>桐生第一高等学校</t>
        </is>
      </c>
      <c r="E8" s="6" t="inlineStr">
        <is>
          <t>0277-22-8131</t>
        </is>
      </c>
      <c r="F8" s="13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群馬県の名簿と学校情報サイトで一致。併設中学校は別番号（0277-48-8600）</t>
        </is>
      </c>
      <c r="N8" s="11" t="inlineStr">
        <is>
          <t>https://school.js88.com/scl_h/22002890/ ; https://www.pref.gunma.jp/page/3563.html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群馬県</t>
        </is>
      </c>
      <c r="C9" s="5" t="inlineStr">
        <is>
          <t>中之条町</t>
        </is>
      </c>
      <c r="D9" s="5" t="inlineStr">
        <is>
          <t>白根開善学校高等部</t>
        </is>
      </c>
      <c r="E9" s="6" t="inlineStr">
        <is>
          <t>0279-95-5311</t>
        </is>
      </c>
      <c r="F9" s="13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群馬県の名簿と学校情報サイトで一致。中等部と共通。全寮制</t>
        </is>
      </c>
      <c r="N9" s="11" t="inlineStr">
        <is>
          <t>https://school.js88.com/scl_h/22002990 ; https://www.pref.gunma.jp/page/3563.html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群馬県</t>
        </is>
      </c>
      <c r="C10" s="5" t="inlineStr">
        <is>
          <t>桐生市</t>
        </is>
      </c>
      <c r="D10" s="5" t="inlineStr">
        <is>
          <t>樹徳高等学校</t>
        </is>
      </c>
      <c r="E10" s="6" t="inlineStr">
        <is>
          <t>0277-45-2258</t>
        </is>
      </c>
      <c r="F10" s="13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群馬県の資料と学校情報サイトで一致。グラウンドの番号は別</t>
        </is>
      </c>
      <c r="N10" s="11" t="inlineStr">
        <is>
          <t>https://center.gsn.ed.jp/school/dai_you/kou_s ; https://www.pref.gunma.jp/page/3563.html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群馬県</t>
        </is>
      </c>
      <c r="C11" s="5" t="inlineStr">
        <is>
          <t>高崎市</t>
        </is>
      </c>
      <c r="D11" s="5" t="inlineStr">
        <is>
          <t>高崎健康福祉大学高崎高等学校</t>
        </is>
      </c>
      <c r="E11" s="6" t="inlineStr">
        <is>
          <t>027-352-3460</t>
        </is>
      </c>
      <c r="F11" s="13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公式サイトに「代表」と記載</t>
        </is>
      </c>
      <c r="N11" s="11" t="inlineStr">
        <is>
          <t>https://www.tuhw-h.ed.jp/inquiry/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群馬県</t>
        </is>
      </c>
      <c r="C12" s="5" t="inlineStr">
        <is>
          <t>高崎市</t>
        </is>
      </c>
      <c r="D12" s="5" t="inlineStr">
        <is>
          <t>高崎商科大学附属高等学校</t>
        </is>
      </c>
      <c r="E12" s="6" t="inlineStr">
        <is>
          <t>027-322-2827</t>
        </is>
      </c>
      <c r="F12" s="13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群馬県の私立学校名簿と学校情報サイトで一致</t>
        </is>
      </c>
      <c r="N12" s="11" t="inlineStr">
        <is>
          <t>https://www.pref.gunma.jp/page/3563.html ; https://school.js88.com/scl_h/22002930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群馬県</t>
        </is>
      </c>
      <c r="C13" s="5" t="inlineStr">
        <is>
          <t>高崎市</t>
        </is>
      </c>
      <c r="D13" s="5" t="inlineStr">
        <is>
          <t>東京農業大学第二高等学校</t>
        </is>
      </c>
      <c r="E13" s="6" t="inlineStr">
        <is>
          <t>027-323-1483</t>
        </is>
      </c>
      <c r="F13" s="13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公式サイトで確認。校内塾（027-324-8800）は別番号</t>
        </is>
      </c>
      <c r="N13" s="11" t="inlineStr">
        <is>
          <t>https://www.nodai-2-h.ed.jp/access/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群馬県</t>
        </is>
      </c>
      <c r="C14" s="5" t="inlineStr">
        <is>
          <t>太田市</t>
        </is>
      </c>
      <c r="D14" s="5" t="inlineStr">
        <is>
          <t>常磐高等学校（群馬県）</t>
        </is>
      </c>
      <c r="E14" s="6" t="inlineStr">
        <is>
          <t>0276-45-4372</t>
        </is>
      </c>
      <c r="F14" s="13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群馬県の私立学校名簿（R5）と学校情報サイトで一致</t>
        </is>
      </c>
      <c r="N14" s="11" t="inlineStr">
        <is>
          <t>https://www.pref.gunma.jp/uploaded/attachment/160391.pdf ; https://school.js88.com/scl_h/22002900/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群馬県</t>
        </is>
      </c>
      <c r="C15" s="5" t="inlineStr">
        <is>
          <t>安中市</t>
        </is>
      </c>
      <c r="D15" s="5" t="inlineStr">
        <is>
          <t>新島学園高等学校</t>
        </is>
      </c>
      <c r="E15" s="6" t="inlineStr">
        <is>
          <t>027-381-0240</t>
        </is>
      </c>
      <c r="F15" s="13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複数の情報源で一致、公式サイトでは未確認</t>
        </is>
      </c>
      <c r="N15" s="11" t="inlineStr">
        <is>
          <t>https://school.js88.com/scl_h/22002910/ ; https://www.mapion.co.jp/phonebook/M11004/10211/ILSP0000041225_ipclm/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群馬県</t>
        </is>
      </c>
      <c r="C16" s="5" t="inlineStr">
        <is>
          <t>前橋市</t>
        </is>
      </c>
      <c r="D16" s="5" t="inlineStr">
        <is>
          <t>前橋育英高等学校</t>
        </is>
      </c>
      <c r="E16" s="6" t="inlineStr">
        <is>
          <t>027-251-7087</t>
        </is>
      </c>
      <c r="F16" s="13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複数の情報源で一致、公式サイトでは未確認</t>
        </is>
      </c>
      <c r="N16" s="11" t="inlineStr">
        <is>
          <t>https://school.js88.com/scl_h/22002970/ ; https://www.mapion.co.jp/phonebook/M11004/10201/ILSP0000041902_ipclm/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群馬県</t>
        </is>
      </c>
      <c r="C17" s="5" t="inlineStr">
        <is>
          <t>高崎市</t>
        </is>
      </c>
      <c r="D17" s="5" t="inlineStr">
        <is>
          <t>明和県央高等学校</t>
        </is>
      </c>
      <c r="E17" s="6" t="inlineStr">
        <is>
          <t>027-373-5773</t>
        </is>
      </c>
      <c r="F17" s="13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公式サイトに「代表」と記載</t>
        </is>
      </c>
      <c r="N17" s="11" t="inlineStr">
        <is>
          <t>https://www.meiwakenoh.ed.jp/accessmap/</t>
        </is>
      </c>
      <c r="O17" s="12" t="inlineStr">
        <is>
          <t>開く</t>
        </is>
      </c>
    </row>
  </sheetData>
  <autoFilter ref="A4:O17"/>
  <conditionalFormatting sqref="A5:O17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7" showDropDown="0" showInputMessage="0" showErrorMessage="0" allowBlank="1" type="list">
      <formula1>"未架電,不在・折返し待ち,担当者不在,資料送付,アポ獲得,検討中,NG,番号不明"</formula1>
    </dataValidation>
    <dataValidation sqref="H5:H17 K5:K17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高崎市</t>
        </is>
      </c>
      <c r="B4" s="14">
        <f>COUNTIF('架電リスト'!$C$5:$C$17,A4)</f>
        <v/>
      </c>
      <c r="C4" s="14">
        <f>COUNTIFS('架電リスト'!$C$5:$C$17,A4,'架電リスト'!$E$5:$E$17,"&lt;&gt;")</f>
        <v/>
      </c>
      <c r="D4" s="14">
        <f>B4-COUNTIFS('架電リスト'!$C$5:$C$17,A4,'架電リスト'!$J$5:$J$17,"未架電")-COUNTIFS('架電リスト'!$C$5:$C$17,A4,'架電リスト'!$J$5:$J$17,"")</f>
        <v/>
      </c>
      <c r="E4" s="14">
        <f>COUNTIFS('架電リスト'!$C$5:$C$17,$A4,'架電リスト'!$J$5:$J$17,"不在・折返し待ち")</f>
        <v/>
      </c>
      <c r="F4" s="14">
        <f>COUNTIFS('架電リスト'!$C$5:$C$17,$A4,'架電リスト'!$J$5:$J$17,"担当者不在")</f>
        <v/>
      </c>
      <c r="G4" s="14">
        <f>COUNTIFS('架電リスト'!$C$5:$C$17,$A4,'架電リスト'!$J$5:$J$17,"資料送付")</f>
        <v/>
      </c>
      <c r="H4" s="14">
        <f>COUNTIFS('架電リスト'!$C$5:$C$17,$A4,'架電リスト'!$J$5:$J$17,"アポ獲得")</f>
        <v/>
      </c>
      <c r="I4" s="14">
        <f>COUNTIFS('架電リスト'!$C$5:$C$17,$A4,'架電リスト'!$J$5:$J$17,"検討中")</f>
        <v/>
      </c>
      <c r="J4" s="14">
        <f>COUNTIFS('架電リスト'!$C$5:$C$17,$A4,'架電リスト'!$J$5:$J$17,"NG")</f>
        <v/>
      </c>
      <c r="K4" s="14">
        <f>COUNTIFS('架電リスト'!$C$5:$C$17,$A4,'架電リスト'!$J$5:$J$17,"番号不明")</f>
        <v/>
      </c>
    </row>
    <row r="5">
      <c r="A5" s="14" t="inlineStr">
        <is>
          <t>桐生市</t>
        </is>
      </c>
      <c r="B5" s="14">
        <f>COUNTIF('架電リスト'!$C$5:$C$17,A5)</f>
        <v/>
      </c>
      <c r="C5" s="14">
        <f>COUNTIFS('架電リスト'!$C$5:$C$17,A5,'架電リスト'!$E$5:$E$17,"&lt;&gt;")</f>
        <v/>
      </c>
      <c r="D5" s="14">
        <f>B5-COUNTIFS('架電リスト'!$C$5:$C$17,A5,'架電リスト'!$J$5:$J$17,"未架電")-COUNTIFS('架電リスト'!$C$5:$C$17,A5,'架電リスト'!$J$5:$J$17,"")</f>
        <v/>
      </c>
      <c r="E5" s="14">
        <f>COUNTIFS('架電リスト'!$C$5:$C$17,$A5,'架電リスト'!$J$5:$J$17,"不在・折返し待ち")</f>
        <v/>
      </c>
      <c r="F5" s="14">
        <f>COUNTIFS('架電リスト'!$C$5:$C$17,$A5,'架電リスト'!$J$5:$J$17,"担当者不在")</f>
        <v/>
      </c>
      <c r="G5" s="14">
        <f>COUNTIFS('架電リスト'!$C$5:$C$17,$A5,'架電リスト'!$J$5:$J$17,"資料送付")</f>
        <v/>
      </c>
      <c r="H5" s="14">
        <f>COUNTIFS('架電リスト'!$C$5:$C$17,$A5,'架電リスト'!$J$5:$J$17,"アポ獲得")</f>
        <v/>
      </c>
      <c r="I5" s="14">
        <f>COUNTIFS('架電リスト'!$C$5:$C$17,$A5,'架電リスト'!$J$5:$J$17,"検討中")</f>
        <v/>
      </c>
      <c r="J5" s="14">
        <f>COUNTIFS('架電リスト'!$C$5:$C$17,$A5,'架電リスト'!$J$5:$J$17,"NG")</f>
        <v/>
      </c>
      <c r="K5" s="14">
        <f>COUNTIFS('架電リスト'!$C$5:$C$17,$A5,'架電リスト'!$J$5:$J$17,"番号不明")</f>
        <v/>
      </c>
    </row>
    <row r="6">
      <c r="A6" s="14" t="inlineStr">
        <is>
          <t>前橋市</t>
        </is>
      </c>
      <c r="B6" s="14">
        <f>COUNTIF('架電リスト'!$C$5:$C$17,A6)</f>
        <v/>
      </c>
      <c r="C6" s="14">
        <f>COUNTIFS('架電リスト'!$C$5:$C$17,A6,'架電リスト'!$E$5:$E$17,"&lt;&gt;")</f>
        <v/>
      </c>
      <c r="D6" s="14">
        <f>B6-COUNTIFS('架電リスト'!$C$5:$C$17,A6,'架電リスト'!$J$5:$J$17,"未架電")-COUNTIFS('架電リスト'!$C$5:$C$17,A6,'架電リスト'!$J$5:$J$17,"")</f>
        <v/>
      </c>
      <c r="E6" s="14">
        <f>COUNTIFS('架電リスト'!$C$5:$C$17,$A6,'架電リスト'!$J$5:$J$17,"不在・折返し待ち")</f>
        <v/>
      </c>
      <c r="F6" s="14">
        <f>COUNTIFS('架電リスト'!$C$5:$C$17,$A6,'架電リスト'!$J$5:$J$17,"担当者不在")</f>
        <v/>
      </c>
      <c r="G6" s="14">
        <f>COUNTIFS('架電リスト'!$C$5:$C$17,$A6,'架電リスト'!$J$5:$J$17,"資料送付")</f>
        <v/>
      </c>
      <c r="H6" s="14">
        <f>COUNTIFS('架電リスト'!$C$5:$C$17,$A6,'架電リスト'!$J$5:$J$17,"アポ獲得")</f>
        <v/>
      </c>
      <c r="I6" s="14">
        <f>COUNTIFS('架電リスト'!$C$5:$C$17,$A6,'架電リスト'!$J$5:$J$17,"検討中")</f>
        <v/>
      </c>
      <c r="J6" s="14">
        <f>COUNTIFS('架電リスト'!$C$5:$C$17,$A6,'架電リスト'!$J$5:$J$17,"NG")</f>
        <v/>
      </c>
      <c r="K6" s="14">
        <f>COUNTIFS('架電リスト'!$C$5:$C$17,$A6,'架電リスト'!$J$5:$J$17,"番号不明")</f>
        <v/>
      </c>
    </row>
    <row r="7">
      <c r="A7" s="14" t="inlineStr">
        <is>
          <t>館林市</t>
        </is>
      </c>
      <c r="B7" s="14">
        <f>COUNTIF('架電リスト'!$C$5:$C$17,A7)</f>
        <v/>
      </c>
      <c r="C7" s="14">
        <f>COUNTIFS('架電リスト'!$C$5:$C$17,A7,'架電リスト'!$E$5:$E$17,"&lt;&gt;")</f>
        <v/>
      </c>
      <c r="D7" s="14">
        <f>B7-COUNTIFS('架電リスト'!$C$5:$C$17,A7,'架電リスト'!$J$5:$J$17,"未架電")-COUNTIFS('架電リスト'!$C$5:$C$17,A7,'架電リスト'!$J$5:$J$17,"")</f>
        <v/>
      </c>
      <c r="E7" s="14">
        <f>COUNTIFS('架電リスト'!$C$5:$C$17,$A7,'架電リスト'!$J$5:$J$17,"不在・折返し待ち")</f>
        <v/>
      </c>
      <c r="F7" s="14">
        <f>COUNTIFS('架電リスト'!$C$5:$C$17,$A7,'架電リスト'!$J$5:$J$17,"担当者不在")</f>
        <v/>
      </c>
      <c r="G7" s="14">
        <f>COUNTIFS('架電リスト'!$C$5:$C$17,$A7,'架電リスト'!$J$5:$J$17,"資料送付")</f>
        <v/>
      </c>
      <c r="H7" s="14">
        <f>COUNTIFS('架電リスト'!$C$5:$C$17,$A7,'架電リスト'!$J$5:$J$17,"アポ獲得")</f>
        <v/>
      </c>
      <c r="I7" s="14">
        <f>COUNTIFS('架電リスト'!$C$5:$C$17,$A7,'架電リスト'!$J$5:$J$17,"検討中")</f>
        <v/>
      </c>
      <c r="J7" s="14">
        <f>COUNTIFS('架電リスト'!$C$5:$C$17,$A7,'架電リスト'!$J$5:$J$17,"NG")</f>
        <v/>
      </c>
      <c r="K7" s="14">
        <f>COUNTIFS('架電リスト'!$C$5:$C$17,$A7,'架電リスト'!$J$5:$J$17,"番号不明")</f>
        <v/>
      </c>
    </row>
    <row r="8">
      <c r="A8" s="14" t="inlineStr">
        <is>
          <t>中之条町</t>
        </is>
      </c>
      <c r="B8" s="14">
        <f>COUNTIF('架電リスト'!$C$5:$C$17,A8)</f>
        <v/>
      </c>
      <c r="C8" s="14">
        <f>COUNTIFS('架電リスト'!$C$5:$C$17,A8,'架電リスト'!$E$5:$E$17,"&lt;&gt;")</f>
        <v/>
      </c>
      <c r="D8" s="14">
        <f>B8-COUNTIFS('架電リスト'!$C$5:$C$17,A8,'架電リスト'!$J$5:$J$17,"未架電")-COUNTIFS('架電リスト'!$C$5:$C$17,A8,'架電リスト'!$J$5:$J$17,"")</f>
        <v/>
      </c>
      <c r="E8" s="14">
        <f>COUNTIFS('架電リスト'!$C$5:$C$17,$A8,'架電リスト'!$J$5:$J$17,"不在・折返し待ち")</f>
        <v/>
      </c>
      <c r="F8" s="14">
        <f>COUNTIFS('架電リスト'!$C$5:$C$17,$A8,'架電リスト'!$J$5:$J$17,"担当者不在")</f>
        <v/>
      </c>
      <c r="G8" s="14">
        <f>COUNTIFS('架電リスト'!$C$5:$C$17,$A8,'架電リスト'!$J$5:$J$17,"資料送付")</f>
        <v/>
      </c>
      <c r="H8" s="14">
        <f>COUNTIFS('架電リスト'!$C$5:$C$17,$A8,'架電リスト'!$J$5:$J$17,"アポ獲得")</f>
        <v/>
      </c>
      <c r="I8" s="14">
        <f>COUNTIFS('架電リスト'!$C$5:$C$17,$A8,'架電リスト'!$J$5:$J$17,"検討中")</f>
        <v/>
      </c>
      <c r="J8" s="14">
        <f>COUNTIFS('架電リスト'!$C$5:$C$17,$A8,'架電リスト'!$J$5:$J$17,"NG")</f>
        <v/>
      </c>
      <c r="K8" s="14">
        <f>COUNTIFS('架電リスト'!$C$5:$C$17,$A8,'架電リスト'!$J$5:$J$17,"番号不明")</f>
        <v/>
      </c>
    </row>
    <row r="9">
      <c r="A9" s="14" t="inlineStr">
        <is>
          <t>太田市</t>
        </is>
      </c>
      <c r="B9" s="14">
        <f>COUNTIF('架電リスト'!$C$5:$C$17,A9)</f>
        <v/>
      </c>
      <c r="C9" s="14">
        <f>COUNTIFS('架電リスト'!$C$5:$C$17,A9,'架電リスト'!$E$5:$E$17,"&lt;&gt;")</f>
        <v/>
      </c>
      <c r="D9" s="14">
        <f>B9-COUNTIFS('架電リスト'!$C$5:$C$17,A9,'架電リスト'!$J$5:$J$17,"未架電")-COUNTIFS('架電リスト'!$C$5:$C$17,A9,'架電リスト'!$J$5:$J$17,"")</f>
        <v/>
      </c>
      <c r="E9" s="14">
        <f>COUNTIFS('架電リスト'!$C$5:$C$17,$A9,'架電リスト'!$J$5:$J$17,"不在・折返し待ち")</f>
        <v/>
      </c>
      <c r="F9" s="14">
        <f>COUNTIFS('架電リスト'!$C$5:$C$17,$A9,'架電リスト'!$J$5:$J$17,"担当者不在")</f>
        <v/>
      </c>
      <c r="G9" s="14">
        <f>COUNTIFS('架電リスト'!$C$5:$C$17,$A9,'架電リスト'!$J$5:$J$17,"資料送付")</f>
        <v/>
      </c>
      <c r="H9" s="14">
        <f>COUNTIFS('架電リスト'!$C$5:$C$17,$A9,'架電リスト'!$J$5:$J$17,"アポ獲得")</f>
        <v/>
      </c>
      <c r="I9" s="14">
        <f>COUNTIFS('架電リスト'!$C$5:$C$17,$A9,'架電リスト'!$J$5:$J$17,"検討中")</f>
        <v/>
      </c>
      <c r="J9" s="14">
        <f>COUNTIFS('架電リスト'!$C$5:$C$17,$A9,'架電リスト'!$J$5:$J$17,"NG")</f>
        <v/>
      </c>
      <c r="K9" s="14">
        <f>COUNTIFS('架電リスト'!$C$5:$C$17,$A9,'架電リスト'!$J$5:$J$17,"番号不明")</f>
        <v/>
      </c>
    </row>
    <row r="10">
      <c r="A10" s="14" t="inlineStr">
        <is>
          <t>安中市</t>
        </is>
      </c>
      <c r="B10" s="14">
        <f>COUNTIF('架電リスト'!$C$5:$C$17,A10)</f>
        <v/>
      </c>
      <c r="C10" s="14">
        <f>COUNTIFS('架電リスト'!$C$5:$C$17,A10,'架電リスト'!$E$5:$E$17,"&lt;&gt;")</f>
        <v/>
      </c>
      <c r="D10" s="14">
        <f>B10-COUNTIFS('架電リスト'!$C$5:$C$17,A10,'架電リスト'!$J$5:$J$17,"未架電")-COUNTIFS('架電リスト'!$C$5:$C$17,A10,'架電リスト'!$J$5:$J$17,"")</f>
        <v/>
      </c>
      <c r="E10" s="14">
        <f>COUNTIFS('架電リスト'!$C$5:$C$17,$A10,'架電リスト'!$J$5:$J$17,"不在・折返し待ち")</f>
        <v/>
      </c>
      <c r="F10" s="14">
        <f>COUNTIFS('架電リスト'!$C$5:$C$17,$A10,'架電リスト'!$J$5:$J$17,"担当者不在")</f>
        <v/>
      </c>
      <c r="G10" s="14">
        <f>COUNTIFS('架電リスト'!$C$5:$C$17,$A10,'架電リスト'!$J$5:$J$17,"資料送付")</f>
        <v/>
      </c>
      <c r="H10" s="14">
        <f>COUNTIFS('架電リスト'!$C$5:$C$17,$A10,'架電リスト'!$J$5:$J$17,"アポ獲得")</f>
        <v/>
      </c>
      <c r="I10" s="14">
        <f>COUNTIFS('架電リスト'!$C$5:$C$17,$A10,'架電リスト'!$J$5:$J$17,"検討中")</f>
        <v/>
      </c>
      <c r="J10" s="14">
        <f>COUNTIFS('架電リスト'!$C$5:$C$17,$A10,'架電リスト'!$J$5:$J$17,"NG")</f>
        <v/>
      </c>
      <c r="K10" s="14">
        <f>COUNTIFS('架電リスト'!$C$5:$C$17,$A10,'架電リスト'!$J$5:$J$17,"番号不明")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・出典：ご提供いただいた学校ネットの検索結果（私立高校・群馬県、13校）の貼り付けデータ。並び順は都道府県ごとに元データの掲載順です。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2026-10-09T02:12:11Z</dcterms:created>
  <dcterms:modified xsi:type="dcterms:W3CDTF">2026-10-09T02:12:11Z</dcterms:modified>
</cp:coreProperties>
</file>