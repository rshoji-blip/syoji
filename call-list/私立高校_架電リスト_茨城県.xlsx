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'架電リスト'!$A$4:$O$34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1036.html" TargetMode="External" Id="rId1" /><Relationship Type="http://schemas.openxmlformats.org/officeDocument/2006/relationships/hyperlink" Target="https://www.gakkou.net/kou/view/index_301141.html" TargetMode="External" Id="rId2" /><Relationship Type="http://schemas.openxmlformats.org/officeDocument/2006/relationships/hyperlink" Target="https://www.gakkou.net/kou/view/index_301083.html" TargetMode="External" Id="rId3" /><Relationship Type="http://schemas.openxmlformats.org/officeDocument/2006/relationships/hyperlink" Target="https://www.gakkou.net/kou/view/index_306416.html" TargetMode="External" Id="rId4" /><Relationship Type="http://schemas.openxmlformats.org/officeDocument/2006/relationships/hyperlink" Target="https://www.gakkou.net/kou/view/index_306781.html" TargetMode="External" Id="rId5" /><Relationship Type="http://schemas.openxmlformats.org/officeDocument/2006/relationships/hyperlink" Target="https://www.gakkou.net/kou/view/index_301042.html" TargetMode="External" Id="rId6" /><Relationship Type="http://schemas.openxmlformats.org/officeDocument/2006/relationships/hyperlink" Target="https://www.gakkou.net/kou/view/index_301120.html" TargetMode="External" Id="rId7" /><Relationship Type="http://schemas.openxmlformats.org/officeDocument/2006/relationships/hyperlink" Target="https://www.gakkou.net/kou/view/index_301013.html" TargetMode="External" Id="rId8" /><Relationship Type="http://schemas.openxmlformats.org/officeDocument/2006/relationships/hyperlink" Target="https://www.gakkou.net/kou/view/index_306484.html" TargetMode="External" Id="rId9" /><Relationship Type="http://schemas.openxmlformats.org/officeDocument/2006/relationships/hyperlink" Target="https://www.gakkou.net/kou/view/index_306434.html" TargetMode="External" Id="rId10" /><Relationship Type="http://schemas.openxmlformats.org/officeDocument/2006/relationships/hyperlink" Target="https://www.gakkou.net/kou/view/index_301018.html" TargetMode="External" Id="rId11" /><Relationship Type="http://schemas.openxmlformats.org/officeDocument/2006/relationships/hyperlink" Target="https://www.gakkou.net/kou/view/index_301085.html" TargetMode="External" Id="rId12" /><Relationship Type="http://schemas.openxmlformats.org/officeDocument/2006/relationships/hyperlink" Target="https://www.gakkou.net/kou/view/index_301118.html" TargetMode="External" Id="rId13" /><Relationship Type="http://schemas.openxmlformats.org/officeDocument/2006/relationships/hyperlink" Target="https://www.gakkou.net/kou/view/index_301025.html" TargetMode="External" Id="rId14" /><Relationship Type="http://schemas.openxmlformats.org/officeDocument/2006/relationships/hyperlink" Target="https://www.gakkou.net/kou/view/index_301082.html" TargetMode="External" Id="rId15" /><Relationship Type="http://schemas.openxmlformats.org/officeDocument/2006/relationships/hyperlink" Target="https://www.gakkou.net/kou/view/index_306493.html" TargetMode="External" Id="rId16" /><Relationship Type="http://schemas.openxmlformats.org/officeDocument/2006/relationships/hyperlink" Target="https://www.gakkou.net/kou/view/index_306473.html" TargetMode="External" Id="rId17" /><Relationship Type="http://schemas.openxmlformats.org/officeDocument/2006/relationships/hyperlink" Target="https://www.gakkou.net/kou/view/index_301012.html" TargetMode="External" Id="rId18" /><Relationship Type="http://schemas.openxmlformats.org/officeDocument/2006/relationships/hyperlink" Target="https://www.gakkou.net/kou/view/index_306694.html" TargetMode="External" Id="rId19" /><Relationship Type="http://schemas.openxmlformats.org/officeDocument/2006/relationships/hyperlink" Target="https://www.gakkou.net/kou/view/index_301028.html" TargetMode="External" Id="rId20" /><Relationship Type="http://schemas.openxmlformats.org/officeDocument/2006/relationships/hyperlink" Target="https://www.gakkou.net/kou/view/index_301016.html" TargetMode="External" Id="rId21" /><Relationship Type="http://schemas.openxmlformats.org/officeDocument/2006/relationships/hyperlink" Target="https://www.gakkou.net/kou/view/index_301021.html" TargetMode="External" Id="rId22" /><Relationship Type="http://schemas.openxmlformats.org/officeDocument/2006/relationships/hyperlink" Target="https://www.gakkou.net/kou/view/index_301079.html" TargetMode="External" Id="rId23" /><Relationship Type="http://schemas.openxmlformats.org/officeDocument/2006/relationships/hyperlink" Target="https://www.gakkou.net/kou/view/index_301088.html" TargetMode="External" Id="rId24" /><Relationship Type="http://schemas.openxmlformats.org/officeDocument/2006/relationships/hyperlink" Target="https://www.gakkou.net/kou/view/index_301087.html" TargetMode="External" Id="rId25" /><Relationship Type="http://schemas.openxmlformats.org/officeDocument/2006/relationships/hyperlink" Target="https://www.gakkou.net/kou/view/index_301080.html" TargetMode="External" Id="rId26" /><Relationship Type="http://schemas.openxmlformats.org/officeDocument/2006/relationships/hyperlink" Target="https://www.gakkou.net/kou/view/index_306542.html" TargetMode="External" Id="rId27" /><Relationship Type="http://schemas.openxmlformats.org/officeDocument/2006/relationships/hyperlink" Target="https://www.gakkou.net/kou/view/index_301051.html" TargetMode="External" Id="rId28" /><Relationship Type="http://schemas.openxmlformats.org/officeDocument/2006/relationships/hyperlink" Target="https://www.gakkou.net/kou/view/index_301132.html" TargetMode="External" Id="rId29" /><Relationship Type="http://schemas.openxmlformats.org/officeDocument/2006/relationships/hyperlink" Target="https://www.gakkou.net/kou/view/index_306545.html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架電リスト（茨城県／30校）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茨城県</t>
        </is>
      </c>
      <c r="C5" s="5" t="inlineStr">
        <is>
          <t>龍ケ崎市</t>
        </is>
      </c>
      <c r="D5" s="5" t="inlineStr">
        <is>
          <t>愛国学園大学附属龍ヶ崎高等学校</t>
        </is>
      </c>
      <c r="E5" s="6" t="inlineStr">
        <is>
          <t>0297-66-0757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茨城県の名簿と龍ケ崎市の資料で一致。女子校</t>
        </is>
      </c>
      <c r="N5" s="11" t="inlineStr">
        <is>
          <t>https://kyoiku.pref.ibaraki.jp/private-school/school-16/ ; https://www.city.ryugasaki.ibaraki.jp/shisei/SDGs/SDGspartner.files/aikoku.syoukai.pdf</t>
        </is>
      </c>
      <c r="O5" s="12" t="inlineStr">
        <is>
          <t>開く</t>
        </is>
      </c>
    </row>
    <row r="6">
      <c r="A6" s="4" t="n">
        <v>2</v>
      </c>
      <c r="B6" s="5" t="inlineStr">
        <is>
          <t>茨城県</t>
        </is>
      </c>
      <c r="C6" s="5" t="inlineStr">
        <is>
          <t>日立市</t>
        </is>
      </c>
      <c r="D6" s="5" t="inlineStr">
        <is>
          <t>茨城キリスト教学園高等学校</t>
        </is>
      </c>
      <c r="E6" s="6" t="inlineStr">
        <is>
          <t>0294-52-3215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学園の代表番号。一部サイトではFAX（0294-53-9927）が電話番号として誤って載っているので注意</t>
        </is>
      </c>
      <c r="N6" s="11" t="inlineStr">
        <is>
          <t>https://kyoiku.pref.ibaraki.jp/private-school/school-9/ ; https://school.js88.com/scl_h/22001120</t>
        </is>
      </c>
      <c r="O6" s="12" t="inlineStr">
        <is>
          <t>開く</t>
        </is>
      </c>
    </row>
    <row r="7">
      <c r="A7" s="4" t="n">
        <v>3</v>
      </c>
      <c r="B7" s="5" t="inlineStr">
        <is>
          <t>茨城県</t>
        </is>
      </c>
      <c r="C7" s="5" t="inlineStr">
        <is>
          <t>水戸市</t>
        </is>
      </c>
      <c r="D7" s="5" t="inlineStr">
        <is>
          <t>茨城高等学校</t>
        </is>
      </c>
      <c r="E7" s="6" t="inlineStr">
        <is>
          <t>029-221-4936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公式サイトで確認。中学校と共通</t>
        </is>
      </c>
      <c r="N7" s="11" t="inlineStr">
        <is>
          <t>https://www.ibaraki-jsh.ed.jp/access ; https://kyoiku.pref.ibaraki.jp/private-school/school-1/</t>
        </is>
      </c>
      <c r="O7" s="12" t="inlineStr">
        <is>
          <t>開く</t>
        </is>
      </c>
    </row>
    <row r="8">
      <c r="A8" s="4" t="n">
        <v>4</v>
      </c>
      <c r="B8" s="5" t="inlineStr">
        <is>
          <t>茨城県</t>
        </is>
      </c>
      <c r="C8" s="5" t="inlineStr">
        <is>
          <t>桜川市</t>
        </is>
      </c>
      <c r="D8" s="5" t="inlineStr">
        <is>
          <t>岩瀬日本大学高等学校</t>
        </is>
      </c>
      <c r="E8" s="6" t="inlineStr">
        <is>
          <t>0296-75-2242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公式サイトに「代表」と記載。入試広報直通は0296-75-6467</t>
        </is>
      </c>
      <c r="N8" s="11" t="inlineStr">
        <is>
          <t>https://www.tng.ac.jp/iwase/ ; https://kyoiku.pref.ibaraki.jp/private-school/school-13/</t>
        </is>
      </c>
      <c r="O8" s="12" t="inlineStr">
        <is>
          <t>開く</t>
        </is>
      </c>
    </row>
    <row r="9">
      <c r="A9" s="4" t="n">
        <v>5</v>
      </c>
      <c r="B9" s="5" t="inlineStr">
        <is>
          <t>茨城県</t>
        </is>
      </c>
      <c r="C9" s="5" t="inlineStr">
        <is>
          <t>つくば市</t>
        </is>
      </c>
      <c r="D9" s="5" t="inlineStr">
        <is>
          <t>Ｓ高等学校</t>
        </is>
      </c>
      <c r="E9" s="6" t="inlineStr">
        <is>
          <t>029-879-5801</t>
        </is>
      </c>
      <c r="F9" s="13" t="inlineStr">
        <is>
          <t>中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茨城県の名簿に載っているつくば本校の番号（広域通信制、N高グループ）。公式の窓口は入学相談のフリーダイヤル0120-025-215</t>
        </is>
      </c>
      <c r="N9" s="11" t="inlineStr">
        <is>
          <t>https://kyoiku.pref.ibaraki.jp/private-school/school-32/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茨城県</t>
        </is>
      </c>
      <c r="C10" s="5" t="inlineStr">
        <is>
          <t>取手市</t>
        </is>
      </c>
      <c r="D10" s="5" t="inlineStr">
        <is>
          <t>江戸川学園取手高等学校</t>
        </is>
      </c>
      <c r="E10" s="6" t="inlineStr">
        <is>
          <t>0297-74-8771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公式サイトに「代表」と記載。中高共通。一部サイトの0297-74-0111は公式と異なる</t>
        </is>
      </c>
      <c r="N10" s="11" t="inlineStr">
        <is>
          <t>https://www2.e-t.ed.jp/ ; https://kyoiku.pref.ibaraki.jp/private-school/school-18/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茨城県</t>
        </is>
      </c>
      <c r="C11" s="5" t="inlineStr">
        <is>
          <t>鹿嶋市</t>
        </is>
      </c>
      <c r="D11" s="5" t="inlineStr">
        <is>
          <t>鹿島学園高等学校</t>
        </is>
      </c>
      <c r="E11" s="6" t="inlineStr">
        <is>
          <t>0299-83-3211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全日制の代表（公式サイト）。入試部直通は0299-83-3215。通信制の本部は0299-85-2020</t>
        </is>
      </c>
      <c r="N11" s="11" t="inlineStr">
        <is>
          <t>https://kgh.ed.jp/contact/main.html ; https://kyoiku.pref.ibaraki.jp/private-school/school-29/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茨城県</t>
        </is>
      </c>
      <c r="C12" s="5" t="inlineStr">
        <is>
          <t>阿見町</t>
        </is>
      </c>
      <c r="D12" s="5" t="inlineStr">
        <is>
          <t>霞ヶ浦高等学校</t>
        </is>
      </c>
      <c r="E12" s="6" t="inlineStr">
        <is>
          <t>029-887-0013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公式サイトで確認（029-887-4755も併記）。附属中学校は別番号（029-888-8208）</t>
        </is>
      </c>
      <c r="N12" s="11" t="inlineStr">
        <is>
          <t>https://www.kasumi.ed.jp/%E3%81%8A%E5%95%8F%E3%81%84%E5%90%88%E3%82%8F%E3%81%9B/ ; https://www.town.ami.lg.jp/cmsfiles/contents/0000015/15073/kasumigaurashi.pdf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茨城県</t>
        </is>
      </c>
      <c r="C13" s="5" t="inlineStr">
        <is>
          <t>古河市</t>
        </is>
      </c>
      <c r="D13" s="5" t="inlineStr">
        <is>
          <t>晃陽学園高等学校</t>
        </is>
      </c>
      <c r="E13" s="6" t="inlineStr">
        <is>
          <t>0280-31-5455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公式サイトで確認（通信制・古河本校）</t>
        </is>
      </c>
      <c r="N13" s="11" t="inlineStr">
        <is>
          <t>https://www.koyo-gakuen.ac.jp/hs/access.html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茨城県</t>
        </is>
      </c>
      <c r="C14" s="5" t="inlineStr">
        <is>
          <t>日立市</t>
        </is>
      </c>
      <c r="D14" s="5" t="inlineStr">
        <is>
          <t>翔洋学園高等学校</t>
        </is>
      </c>
      <c r="E14" s="6" t="inlineStr">
        <is>
          <t>0294-27-1101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公式サイトで確認（通信制・日立本校）。入学相談は別番号（04-7199-3171）</t>
        </is>
      </c>
      <c r="N14" s="11" t="inlineStr">
        <is>
          <t>https://www.shoyo.ac.jp/school/hitachi/ ; https://www.mapion.co.jp/phonebook/M11004/08202/ILSP0000041005_ipclm/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茨城県</t>
        </is>
      </c>
      <c r="C15" s="5" t="inlineStr">
        <is>
          <t>土浦市</t>
        </is>
      </c>
      <c r="D15" s="5" t="inlineStr">
        <is>
          <t>常総学院高等学校</t>
        </is>
      </c>
      <c r="E15" s="6" t="inlineStr">
        <is>
          <t>029-842-8771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公式サイトで確認。中学校は別番号（029-842-0708）</t>
        </is>
      </c>
      <c r="N15" s="11" t="inlineStr">
        <is>
          <t>https://joso.ac.jp/information-disclosure ; https://kyoiku.pref.ibaraki.jp/private-school/school-20/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茨城県</t>
        </is>
      </c>
      <c r="C16" s="5" t="inlineStr">
        <is>
          <t>水戸市</t>
        </is>
      </c>
      <c r="D16" s="5" t="inlineStr">
        <is>
          <t>水城高等学校</t>
        </is>
      </c>
      <c r="E16" s="6" t="inlineStr">
        <is>
          <t>029-247-6509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茨城県教育委員会の一覧ほか複数の資料で一致</t>
        </is>
      </c>
      <c r="N16" s="11" t="inlineStr">
        <is>
          <t>https://kyoiku.pref.ibaraki.jp/gakko/private-schools/high-school/ ; https://school.js88.com/scl_h/22001180/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茨城県</t>
        </is>
      </c>
      <c r="C17" s="5" t="inlineStr">
        <is>
          <t>鹿嶋市</t>
        </is>
      </c>
      <c r="D17" s="5" t="inlineStr">
        <is>
          <t>清真学園高等学校</t>
        </is>
      </c>
      <c r="E17" s="6" t="inlineStr">
        <is>
          <t>0299-83-1811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茨城県教育委員会の一覧と学校情報サイトで一致。中高一貫校</t>
        </is>
      </c>
      <c r="N17" s="11" t="inlineStr">
        <is>
          <t>https://kyoiku.pref.ibaraki.jp/gakko/private-schools/high-school/ ; https://school.js88.com/scl_h/22001240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茨城県</t>
        </is>
      </c>
      <c r="C18" s="5" t="inlineStr">
        <is>
          <t>取手市</t>
        </is>
      </c>
      <c r="D18" s="5" t="inlineStr">
        <is>
          <t>聖徳大学附属取手聖徳女子高等学校</t>
        </is>
      </c>
      <c r="E18" s="6" t="inlineStr">
        <is>
          <t>0297-83-8111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学校の資料に「代表」と記載</t>
        </is>
      </c>
      <c r="N18" s="11" t="inlineStr">
        <is>
          <t>https://www.torideseitoku.ed.jp/wp/wp-content/uploads/2023/08/2461bcab6ee07475a751ced6d068d203.pdf ; https://kyoiku.pref.ibaraki.jp/gakko/private-schools/high-school/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茨城県</t>
        </is>
      </c>
      <c r="C19" s="5" t="inlineStr">
        <is>
          <t>水戸市</t>
        </is>
      </c>
      <c r="D19" s="5" t="inlineStr">
        <is>
          <t>大成女子高等学校</t>
        </is>
      </c>
      <c r="E19" s="6" t="inlineStr">
        <is>
          <t>029-221-4888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茨城県教育委員会の一覧と学校情報サイトで一致</t>
        </is>
      </c>
      <c r="N19" s="11" t="inlineStr">
        <is>
          <t>https://kyoiku.pref.ibaraki.jp/gakko/private-schools/high-school/ ; https://school.js88.com/scl_h/22001140/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茨城県</t>
        </is>
      </c>
      <c r="C20" s="5" t="inlineStr">
        <is>
          <t>高萩市</t>
        </is>
      </c>
      <c r="D20" s="5" t="inlineStr">
        <is>
          <t>第一学院高等学校 高萩本校</t>
        </is>
      </c>
      <c r="E20" s="6" t="inlineStr">
        <is>
          <t>0293-20-5800</t>
        </is>
      </c>
      <c r="F20" s="7" t="inlineStr">
        <is>
          <t>高</t>
        </is>
      </c>
      <c r="G20" s="5" t="inlineStr">
        <is>
          <t>総合学科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高萩校（通信制）の番号。公式サイトと茨城県教育委員会のページで一致</t>
        </is>
      </c>
      <c r="N20" s="11" t="inlineStr">
        <is>
          <t>https://www.daiichigakuin.ed.jp/about/outline/ ; https://kyoiku.pref.ibaraki.jp/private-school/school-35/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茨城県</t>
        </is>
      </c>
      <c r="C21" s="5" t="inlineStr">
        <is>
          <t>牛久市</t>
        </is>
      </c>
      <c r="D21" s="5" t="inlineStr">
        <is>
          <t>つくば開成高等学校</t>
        </is>
      </c>
      <c r="E21" s="6" t="inlineStr">
        <is>
          <t>029-872-5532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牛久本校（通信制）の番号。土浦・守谷の学習センターは別番号</t>
        </is>
      </c>
      <c r="N21" s="11" t="inlineStr">
        <is>
          <t>https://kyoiku.pref.ibaraki.jp/private-school/school-27/ ; https://t-kaisei.ed.jp/ibaraki/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茨城県</t>
        </is>
      </c>
      <c r="C22" s="5" t="inlineStr">
        <is>
          <t>土浦市</t>
        </is>
      </c>
      <c r="D22" s="5" t="inlineStr">
        <is>
          <t>つくば国際大学高等学校</t>
        </is>
      </c>
      <c r="E22" s="6" t="inlineStr">
        <is>
          <t>029-821-0670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公式サイトで確認。029-826-6000は大学の番号なので注意</t>
        </is>
      </c>
      <c r="N22" s="11" t="inlineStr">
        <is>
          <t>https://www.tiuh.ed.jp/ ; https://kyoiku.pref.ibaraki.jp/private-school/school-10/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茨城県</t>
        </is>
      </c>
      <c r="C23" s="5" t="inlineStr">
        <is>
          <t>かすみがうら市</t>
        </is>
      </c>
      <c r="D23" s="5" t="inlineStr">
        <is>
          <t>つくば国際大学東風高等学校</t>
        </is>
      </c>
      <c r="E23" s="6" t="inlineStr">
        <is>
          <t>0299-59-7516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公式サイトで確認</t>
        </is>
      </c>
      <c r="N23" s="11" t="inlineStr">
        <is>
          <t>https://www.harukaze.ed.jp/ ; https://kyoiku.pref.ibaraki.jp/private-school/school-11/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茨城県</t>
        </is>
      </c>
      <c r="C24" s="5" t="inlineStr">
        <is>
          <t>つくば市</t>
        </is>
      </c>
      <c r="D24" s="5" t="inlineStr">
        <is>
          <t>つくば秀英高等学校</t>
        </is>
      </c>
      <c r="E24" s="6" t="inlineStr">
        <is>
          <t>029-847-1611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公式サイトで確認</t>
        </is>
      </c>
      <c r="N24" s="11" t="inlineStr">
        <is>
          <t>https://tsukubashuei.com/contact.html ; https://kyoiku.pref.ibaraki.jp/private-school/school-23/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茨城県</t>
        </is>
      </c>
      <c r="C25" s="5" t="inlineStr">
        <is>
          <t>土浦市</t>
        </is>
      </c>
      <c r="D25" s="5" t="inlineStr">
        <is>
          <t>土浦日本大学高等学校</t>
        </is>
      </c>
      <c r="E25" s="6" t="inlineStr">
        <is>
          <t>029-822-3382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公式の募集要項に「代表」と記載。土浦日本大学中等教育学校（029-835-3907）は別の学校</t>
        </is>
      </c>
      <c r="N25" s="11" t="inlineStr">
        <is>
          <t>https://tng.ac.jp/tsuchiura/files/items/2756/File/2026_AO.pdf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茨城県</t>
        </is>
      </c>
      <c r="C26" s="5" t="inlineStr">
        <is>
          <t>牛久市</t>
        </is>
      </c>
      <c r="D26" s="5" t="inlineStr">
        <is>
          <t>東洋大学附属牛久高等学校</t>
        </is>
      </c>
      <c r="E26" s="6" t="inlineStr">
        <is>
          <t>029-872-0350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公式の募集要項に「代表」と記載</t>
        </is>
      </c>
      <c r="N26" s="11" t="inlineStr">
        <is>
          <t>https://www.toyo.ac.jp/ushiku/assets/2026boshuyoko.pdf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茨城県</t>
        </is>
      </c>
      <c r="C27" s="5" t="inlineStr">
        <is>
          <t>水戸市</t>
        </is>
      </c>
      <c r="D27" s="5" t="inlineStr">
        <is>
          <t>常磐大学高等学校</t>
        </is>
      </c>
      <c r="E27" s="6" t="inlineStr">
        <is>
          <t>029-224-1707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茨城労働局の資料と学校情報サイトで一致</t>
        </is>
      </c>
      <c r="N27" s="11" t="inlineStr">
        <is>
          <t>https://jsite.mhlw.go.jp/ibaraki-roudoukyoku/content/contents/002658628.pdf ; https://school.js88.com/scl_h/22001150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茨城県</t>
        </is>
      </c>
      <c r="C28" s="5" t="inlineStr">
        <is>
          <t>水戸市</t>
        </is>
      </c>
      <c r="D28" s="5" t="inlineStr">
        <is>
          <t>水戸葵陵高等学校</t>
        </is>
      </c>
      <c r="E28" s="6" t="inlineStr">
        <is>
          <t>029-243-7718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茨城労働局の資料と学校情報サイトで一致。募集室直通は029-243-7750</t>
        </is>
      </c>
      <c r="N28" s="11" t="inlineStr">
        <is>
          <t>https://jsite.mhlw.go.jp/ibaraki-roudoukyoku/content/contents/002658628.pdf ; https://school.js88.com/scl_h/22001290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茨城県</t>
        </is>
      </c>
      <c r="C29" s="5" t="inlineStr">
        <is>
          <t>水戸市</t>
        </is>
      </c>
      <c r="D29" s="5" t="inlineStr">
        <is>
          <t>水戸啓明高等学校</t>
        </is>
      </c>
      <c r="E29" s="6" t="inlineStr">
        <is>
          <t>029-241-1573</t>
        </is>
      </c>
      <c r="F29" s="7" t="inlineStr">
        <is>
          <t>高</t>
        </is>
      </c>
      <c r="G29" s="5" t="inlineStr">
        <is>
          <t>普通科・専門学科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公式サイトと茨城県教育委員会のページで一致</t>
        </is>
      </c>
      <c r="N29" s="11" t="inlineStr">
        <is>
          <t>https://www.mito-keimei.ed.jp/ ; https://kyoiku.pref.ibaraki.jp/private-school/school-5/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茨城県</t>
        </is>
      </c>
      <c r="C30" s="5" t="inlineStr">
        <is>
          <t>水戸市</t>
        </is>
      </c>
      <c r="D30" s="5" t="inlineStr">
        <is>
          <t>水戸女子高等学校</t>
        </is>
      </c>
      <c r="E30" s="6" t="inlineStr">
        <is>
          <t>029-224-4124</t>
        </is>
      </c>
      <c r="F30" s="7" t="inlineStr">
        <is>
          <t>高</t>
        </is>
      </c>
      <c r="G30" s="5" t="inlineStr">
        <is>
          <t>普通科・専門学科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複数の資料で一致</t>
        </is>
      </c>
      <c r="N30" s="11" t="inlineStr">
        <is>
          <t>https://school.js88.com/scl_h/22001160 ; https://jsite.mhlw.go.jp/ibaraki-roudoukyoku/content/contents/002658632.pdf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茨城県</t>
        </is>
      </c>
      <c r="C31" s="5" t="inlineStr">
        <is>
          <t>水戸市</t>
        </is>
      </c>
      <c r="D31" s="5" t="inlineStr">
        <is>
          <t>水戸平成学園高等学校</t>
        </is>
      </c>
      <c r="E31" s="6" t="inlineStr">
        <is>
          <t>029-300-5777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通信制。公式サイトと茨城県教育委員会のページで一致</t>
        </is>
      </c>
      <c r="N31" s="11" t="inlineStr">
        <is>
          <t>https://www.mitoheisei.ac.jp/ ; https://kyoiku.pref.ibaraki.jp/private-school/school-30/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茨城県</t>
        </is>
      </c>
      <c r="C32" s="5" t="inlineStr">
        <is>
          <t>つくば市</t>
        </is>
      </c>
      <c r="D32" s="5" t="inlineStr">
        <is>
          <t>茗溪学園高等学校</t>
        </is>
      </c>
      <c r="E32" s="6" t="inlineStr">
        <is>
          <t>029-851-6611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中高共通の代表番号</t>
        </is>
      </c>
      <c r="N32" s="11" t="inlineStr">
        <is>
          <t>https://www.inter-edu.com/schools/school/43 ; https://meikei.ac.jp/uploads/2026/06/462f5bd1d8b7360a3fcc191d581fa4f4.pdf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茨城県</t>
        </is>
      </c>
      <c r="C33" s="5" t="inlineStr">
        <is>
          <t>日立市</t>
        </is>
      </c>
      <c r="D33" s="5" t="inlineStr">
        <is>
          <t>明秀学園日立高等学校</t>
        </is>
      </c>
      <c r="E33" s="6" t="inlineStr">
        <is>
          <t>0294-21-6328</t>
        </is>
      </c>
      <c r="F33" s="13" t="inlineStr">
        <is>
          <t>中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学校情報サイトのみで確認、公式サイトでは未確認</t>
        </is>
      </c>
      <c r="N33" s="11" t="inlineStr">
        <is>
          <t>https://school.js88.com/scl_h/22001110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茨城県</t>
        </is>
      </c>
      <c r="C34" s="5" t="inlineStr">
        <is>
          <t>大子町</t>
        </is>
      </c>
      <c r="D34" s="5" t="inlineStr">
        <is>
          <t>ルネサンス高等学校</t>
        </is>
      </c>
      <c r="E34" s="6" t="inlineStr">
        <is>
          <t>0295-76-8031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大子町の本校（広域通信制）。本校は移転済みで、電話帳サイトに残る旧番号（0295-79-1151）は使わない</t>
        </is>
      </c>
      <c r="N34" s="11" t="inlineStr">
        <is>
          <t>https://www.r-ac.jp/campus/daigo/ ; https://kyoiku.pref.ibaraki.jp/private-school/school-36/</t>
        </is>
      </c>
      <c r="O34" s="12" t="inlineStr">
        <is>
          <t>開く</t>
        </is>
      </c>
    </row>
  </sheetData>
  <autoFilter ref="A4:O34"/>
  <conditionalFormatting sqref="A5:O3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34" showDropDown="0" showInputMessage="0" showErrorMessage="0" allowBlank="1" type="list">
      <formula1>"未架電,不在・折返し待ち,担当者不在,資料送付,アポ獲得,検討中,NG,番号不明"</formula1>
    </dataValidation>
    <dataValidation sqref="H5:H34 K5:K3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水戸市</t>
        </is>
      </c>
      <c r="B4" s="14">
        <f>COUNTIF('架電リスト'!$C$5:$C$34,A4)</f>
        <v/>
      </c>
      <c r="C4" s="14">
        <f>COUNTIFS('架電リスト'!$C$5:$C$34,A4,'架電リスト'!$E$5:$E$34,"&lt;&gt;")</f>
        <v/>
      </c>
      <c r="D4" s="14">
        <f>B4-COUNTIFS('架電リスト'!$C$5:$C$34,A4,'架電リスト'!$J$5:$J$34,"未架電")-COUNTIFS('架電リスト'!$C$5:$C$34,A4,'架電リスト'!$J$5:$J$34,"")</f>
        <v/>
      </c>
      <c r="E4" s="14">
        <f>COUNTIFS('架電リスト'!$C$5:$C$34,$A4,'架電リスト'!$J$5:$J$34,"不在・折返し待ち")</f>
        <v/>
      </c>
      <c r="F4" s="14">
        <f>COUNTIFS('架電リスト'!$C$5:$C$34,$A4,'架電リスト'!$J$5:$J$34,"担当者不在")</f>
        <v/>
      </c>
      <c r="G4" s="14">
        <f>COUNTIFS('架電リスト'!$C$5:$C$34,$A4,'架電リスト'!$J$5:$J$34,"資料送付")</f>
        <v/>
      </c>
      <c r="H4" s="14">
        <f>COUNTIFS('架電リスト'!$C$5:$C$34,$A4,'架電リスト'!$J$5:$J$34,"アポ獲得")</f>
        <v/>
      </c>
      <c r="I4" s="14">
        <f>COUNTIFS('架電リスト'!$C$5:$C$34,$A4,'架電リスト'!$J$5:$J$34,"検討中")</f>
        <v/>
      </c>
      <c r="J4" s="14">
        <f>COUNTIFS('架電リスト'!$C$5:$C$34,$A4,'架電リスト'!$J$5:$J$34,"NG")</f>
        <v/>
      </c>
      <c r="K4" s="14">
        <f>COUNTIFS('架電リスト'!$C$5:$C$34,$A4,'架電リスト'!$J$5:$J$34,"番号不明")</f>
        <v/>
      </c>
    </row>
    <row r="5">
      <c r="A5" s="14" t="inlineStr">
        <is>
          <t>日立市</t>
        </is>
      </c>
      <c r="B5" s="14">
        <f>COUNTIF('架電リスト'!$C$5:$C$34,A5)</f>
        <v/>
      </c>
      <c r="C5" s="14">
        <f>COUNTIFS('架電リスト'!$C$5:$C$34,A5,'架電リスト'!$E$5:$E$34,"&lt;&gt;")</f>
        <v/>
      </c>
      <c r="D5" s="14">
        <f>B5-COUNTIFS('架電リスト'!$C$5:$C$34,A5,'架電リスト'!$J$5:$J$34,"未架電")-COUNTIFS('架電リスト'!$C$5:$C$34,A5,'架電リスト'!$J$5:$J$34,"")</f>
        <v/>
      </c>
      <c r="E5" s="14">
        <f>COUNTIFS('架電リスト'!$C$5:$C$34,$A5,'架電リスト'!$J$5:$J$34,"不在・折返し待ち")</f>
        <v/>
      </c>
      <c r="F5" s="14">
        <f>COUNTIFS('架電リスト'!$C$5:$C$34,$A5,'架電リスト'!$J$5:$J$34,"担当者不在")</f>
        <v/>
      </c>
      <c r="G5" s="14">
        <f>COUNTIFS('架電リスト'!$C$5:$C$34,$A5,'架電リスト'!$J$5:$J$34,"資料送付")</f>
        <v/>
      </c>
      <c r="H5" s="14">
        <f>COUNTIFS('架電リスト'!$C$5:$C$34,$A5,'架電リスト'!$J$5:$J$34,"アポ獲得")</f>
        <v/>
      </c>
      <c r="I5" s="14">
        <f>COUNTIFS('架電リスト'!$C$5:$C$34,$A5,'架電リスト'!$J$5:$J$34,"検討中")</f>
        <v/>
      </c>
      <c r="J5" s="14">
        <f>COUNTIFS('架電リスト'!$C$5:$C$34,$A5,'架電リスト'!$J$5:$J$34,"NG")</f>
        <v/>
      </c>
      <c r="K5" s="14">
        <f>COUNTIFS('架電リスト'!$C$5:$C$34,$A5,'架電リスト'!$J$5:$J$34,"番号不明")</f>
        <v/>
      </c>
    </row>
    <row r="6">
      <c r="A6" s="14" t="inlineStr">
        <is>
          <t>つくば市</t>
        </is>
      </c>
      <c r="B6" s="14">
        <f>COUNTIF('架電リスト'!$C$5:$C$34,A6)</f>
        <v/>
      </c>
      <c r="C6" s="14">
        <f>COUNTIFS('架電リスト'!$C$5:$C$34,A6,'架電リスト'!$E$5:$E$34,"&lt;&gt;")</f>
        <v/>
      </c>
      <c r="D6" s="14">
        <f>B6-COUNTIFS('架電リスト'!$C$5:$C$34,A6,'架電リスト'!$J$5:$J$34,"未架電")-COUNTIFS('架電リスト'!$C$5:$C$34,A6,'架電リスト'!$J$5:$J$34,"")</f>
        <v/>
      </c>
      <c r="E6" s="14">
        <f>COUNTIFS('架電リスト'!$C$5:$C$34,$A6,'架電リスト'!$J$5:$J$34,"不在・折返し待ち")</f>
        <v/>
      </c>
      <c r="F6" s="14">
        <f>COUNTIFS('架電リスト'!$C$5:$C$34,$A6,'架電リスト'!$J$5:$J$34,"担当者不在")</f>
        <v/>
      </c>
      <c r="G6" s="14">
        <f>COUNTIFS('架電リスト'!$C$5:$C$34,$A6,'架電リスト'!$J$5:$J$34,"資料送付")</f>
        <v/>
      </c>
      <c r="H6" s="14">
        <f>COUNTIFS('架電リスト'!$C$5:$C$34,$A6,'架電リスト'!$J$5:$J$34,"アポ獲得")</f>
        <v/>
      </c>
      <c r="I6" s="14">
        <f>COUNTIFS('架電リスト'!$C$5:$C$34,$A6,'架電リスト'!$J$5:$J$34,"検討中")</f>
        <v/>
      </c>
      <c r="J6" s="14">
        <f>COUNTIFS('架電リスト'!$C$5:$C$34,$A6,'架電リスト'!$J$5:$J$34,"NG")</f>
        <v/>
      </c>
      <c r="K6" s="14">
        <f>COUNTIFS('架電リスト'!$C$5:$C$34,$A6,'架電リスト'!$J$5:$J$34,"番号不明")</f>
        <v/>
      </c>
    </row>
    <row r="7">
      <c r="A7" s="14" t="inlineStr">
        <is>
          <t>土浦市</t>
        </is>
      </c>
      <c r="B7" s="14">
        <f>COUNTIF('架電リスト'!$C$5:$C$34,A7)</f>
        <v/>
      </c>
      <c r="C7" s="14">
        <f>COUNTIFS('架電リスト'!$C$5:$C$34,A7,'架電リスト'!$E$5:$E$34,"&lt;&gt;")</f>
        <v/>
      </c>
      <c r="D7" s="14">
        <f>B7-COUNTIFS('架電リスト'!$C$5:$C$34,A7,'架電リスト'!$J$5:$J$34,"未架電")-COUNTIFS('架電リスト'!$C$5:$C$34,A7,'架電リスト'!$J$5:$J$34,"")</f>
        <v/>
      </c>
      <c r="E7" s="14">
        <f>COUNTIFS('架電リスト'!$C$5:$C$34,$A7,'架電リスト'!$J$5:$J$34,"不在・折返し待ち")</f>
        <v/>
      </c>
      <c r="F7" s="14">
        <f>COUNTIFS('架電リスト'!$C$5:$C$34,$A7,'架電リスト'!$J$5:$J$34,"担当者不在")</f>
        <v/>
      </c>
      <c r="G7" s="14">
        <f>COUNTIFS('架電リスト'!$C$5:$C$34,$A7,'架電リスト'!$J$5:$J$34,"資料送付")</f>
        <v/>
      </c>
      <c r="H7" s="14">
        <f>COUNTIFS('架電リスト'!$C$5:$C$34,$A7,'架電リスト'!$J$5:$J$34,"アポ獲得")</f>
        <v/>
      </c>
      <c r="I7" s="14">
        <f>COUNTIFS('架電リスト'!$C$5:$C$34,$A7,'架電リスト'!$J$5:$J$34,"検討中")</f>
        <v/>
      </c>
      <c r="J7" s="14">
        <f>COUNTIFS('架電リスト'!$C$5:$C$34,$A7,'架電リスト'!$J$5:$J$34,"NG")</f>
        <v/>
      </c>
      <c r="K7" s="14">
        <f>COUNTIFS('架電リスト'!$C$5:$C$34,$A7,'架電リスト'!$J$5:$J$34,"番号不明")</f>
        <v/>
      </c>
    </row>
    <row r="8">
      <c r="A8" s="14" t="inlineStr">
        <is>
          <t>取手市</t>
        </is>
      </c>
      <c r="B8" s="14">
        <f>COUNTIF('架電リスト'!$C$5:$C$34,A8)</f>
        <v/>
      </c>
      <c r="C8" s="14">
        <f>COUNTIFS('架電リスト'!$C$5:$C$34,A8,'架電リスト'!$E$5:$E$34,"&lt;&gt;")</f>
        <v/>
      </c>
      <c r="D8" s="14">
        <f>B8-COUNTIFS('架電リスト'!$C$5:$C$34,A8,'架電リスト'!$J$5:$J$34,"未架電")-COUNTIFS('架電リスト'!$C$5:$C$34,A8,'架電リスト'!$J$5:$J$34,"")</f>
        <v/>
      </c>
      <c r="E8" s="14">
        <f>COUNTIFS('架電リスト'!$C$5:$C$34,$A8,'架電リスト'!$J$5:$J$34,"不在・折返し待ち")</f>
        <v/>
      </c>
      <c r="F8" s="14">
        <f>COUNTIFS('架電リスト'!$C$5:$C$34,$A8,'架電リスト'!$J$5:$J$34,"担当者不在")</f>
        <v/>
      </c>
      <c r="G8" s="14">
        <f>COUNTIFS('架電リスト'!$C$5:$C$34,$A8,'架電リスト'!$J$5:$J$34,"資料送付")</f>
        <v/>
      </c>
      <c r="H8" s="14">
        <f>COUNTIFS('架電リスト'!$C$5:$C$34,$A8,'架電リスト'!$J$5:$J$34,"アポ獲得")</f>
        <v/>
      </c>
      <c r="I8" s="14">
        <f>COUNTIFS('架電リスト'!$C$5:$C$34,$A8,'架電リスト'!$J$5:$J$34,"検討中")</f>
        <v/>
      </c>
      <c r="J8" s="14">
        <f>COUNTIFS('架電リスト'!$C$5:$C$34,$A8,'架電リスト'!$J$5:$J$34,"NG")</f>
        <v/>
      </c>
      <c r="K8" s="14">
        <f>COUNTIFS('架電リスト'!$C$5:$C$34,$A8,'架電リスト'!$J$5:$J$34,"番号不明")</f>
        <v/>
      </c>
    </row>
    <row r="9">
      <c r="A9" s="14" t="inlineStr">
        <is>
          <t>鹿嶋市</t>
        </is>
      </c>
      <c r="B9" s="14">
        <f>COUNTIF('架電リスト'!$C$5:$C$34,A9)</f>
        <v/>
      </c>
      <c r="C9" s="14">
        <f>COUNTIFS('架電リスト'!$C$5:$C$34,A9,'架電リスト'!$E$5:$E$34,"&lt;&gt;")</f>
        <v/>
      </c>
      <c r="D9" s="14">
        <f>B9-COUNTIFS('架電リスト'!$C$5:$C$34,A9,'架電リスト'!$J$5:$J$34,"未架電")-COUNTIFS('架電リスト'!$C$5:$C$34,A9,'架電リスト'!$J$5:$J$34,"")</f>
        <v/>
      </c>
      <c r="E9" s="14">
        <f>COUNTIFS('架電リスト'!$C$5:$C$34,$A9,'架電リスト'!$J$5:$J$34,"不在・折返し待ち")</f>
        <v/>
      </c>
      <c r="F9" s="14">
        <f>COUNTIFS('架電リスト'!$C$5:$C$34,$A9,'架電リスト'!$J$5:$J$34,"担当者不在")</f>
        <v/>
      </c>
      <c r="G9" s="14">
        <f>COUNTIFS('架電リスト'!$C$5:$C$34,$A9,'架電リスト'!$J$5:$J$34,"資料送付")</f>
        <v/>
      </c>
      <c r="H9" s="14">
        <f>COUNTIFS('架電リスト'!$C$5:$C$34,$A9,'架電リスト'!$J$5:$J$34,"アポ獲得")</f>
        <v/>
      </c>
      <c r="I9" s="14">
        <f>COUNTIFS('架電リスト'!$C$5:$C$34,$A9,'架電リスト'!$J$5:$J$34,"検討中")</f>
        <v/>
      </c>
      <c r="J9" s="14">
        <f>COUNTIFS('架電リスト'!$C$5:$C$34,$A9,'架電リスト'!$J$5:$J$34,"NG")</f>
        <v/>
      </c>
      <c r="K9" s="14">
        <f>COUNTIFS('架電リスト'!$C$5:$C$34,$A9,'架電リスト'!$J$5:$J$34,"番号不明")</f>
        <v/>
      </c>
    </row>
    <row r="10">
      <c r="A10" s="14" t="inlineStr">
        <is>
          <t>牛久市</t>
        </is>
      </c>
      <c r="B10" s="14">
        <f>COUNTIF('架電リスト'!$C$5:$C$34,A10)</f>
        <v/>
      </c>
      <c r="C10" s="14">
        <f>COUNTIFS('架電リスト'!$C$5:$C$34,A10,'架電リスト'!$E$5:$E$34,"&lt;&gt;")</f>
        <v/>
      </c>
      <c r="D10" s="14">
        <f>B10-COUNTIFS('架電リスト'!$C$5:$C$34,A10,'架電リスト'!$J$5:$J$34,"未架電")-COUNTIFS('架電リスト'!$C$5:$C$34,A10,'架電リスト'!$J$5:$J$34,"")</f>
        <v/>
      </c>
      <c r="E10" s="14">
        <f>COUNTIFS('架電リスト'!$C$5:$C$34,$A10,'架電リスト'!$J$5:$J$34,"不在・折返し待ち")</f>
        <v/>
      </c>
      <c r="F10" s="14">
        <f>COUNTIFS('架電リスト'!$C$5:$C$34,$A10,'架電リスト'!$J$5:$J$34,"担当者不在")</f>
        <v/>
      </c>
      <c r="G10" s="14">
        <f>COUNTIFS('架電リスト'!$C$5:$C$34,$A10,'架電リスト'!$J$5:$J$34,"資料送付")</f>
        <v/>
      </c>
      <c r="H10" s="14">
        <f>COUNTIFS('架電リスト'!$C$5:$C$34,$A10,'架電リスト'!$J$5:$J$34,"アポ獲得")</f>
        <v/>
      </c>
      <c r="I10" s="14">
        <f>COUNTIFS('架電リスト'!$C$5:$C$34,$A10,'架電リスト'!$J$5:$J$34,"検討中")</f>
        <v/>
      </c>
      <c r="J10" s="14">
        <f>COUNTIFS('架電リスト'!$C$5:$C$34,$A10,'架電リスト'!$J$5:$J$34,"NG")</f>
        <v/>
      </c>
      <c r="K10" s="14">
        <f>COUNTIFS('架電リスト'!$C$5:$C$34,$A10,'架電リスト'!$J$5:$J$34,"番号不明")</f>
        <v/>
      </c>
    </row>
    <row r="11">
      <c r="A11" s="14" t="inlineStr">
        <is>
          <t>龍ケ崎市</t>
        </is>
      </c>
      <c r="B11" s="14">
        <f>COUNTIF('架電リスト'!$C$5:$C$34,A11)</f>
        <v/>
      </c>
      <c r="C11" s="14">
        <f>COUNTIFS('架電リスト'!$C$5:$C$34,A11,'架電リスト'!$E$5:$E$34,"&lt;&gt;")</f>
        <v/>
      </c>
      <c r="D11" s="14">
        <f>B11-COUNTIFS('架電リスト'!$C$5:$C$34,A11,'架電リスト'!$J$5:$J$34,"未架電")-COUNTIFS('架電リスト'!$C$5:$C$34,A11,'架電リスト'!$J$5:$J$34,"")</f>
        <v/>
      </c>
      <c r="E11" s="14">
        <f>COUNTIFS('架電リスト'!$C$5:$C$34,$A11,'架電リスト'!$J$5:$J$34,"不在・折返し待ち")</f>
        <v/>
      </c>
      <c r="F11" s="14">
        <f>COUNTIFS('架電リスト'!$C$5:$C$34,$A11,'架電リスト'!$J$5:$J$34,"担当者不在")</f>
        <v/>
      </c>
      <c r="G11" s="14">
        <f>COUNTIFS('架電リスト'!$C$5:$C$34,$A11,'架電リスト'!$J$5:$J$34,"資料送付")</f>
        <v/>
      </c>
      <c r="H11" s="14">
        <f>COUNTIFS('架電リスト'!$C$5:$C$34,$A11,'架電リスト'!$J$5:$J$34,"アポ獲得")</f>
        <v/>
      </c>
      <c r="I11" s="14">
        <f>COUNTIFS('架電リスト'!$C$5:$C$34,$A11,'架電リスト'!$J$5:$J$34,"検討中")</f>
        <v/>
      </c>
      <c r="J11" s="14">
        <f>COUNTIFS('架電リスト'!$C$5:$C$34,$A11,'架電リスト'!$J$5:$J$34,"NG")</f>
        <v/>
      </c>
      <c r="K11" s="14">
        <f>COUNTIFS('架電リスト'!$C$5:$C$34,$A11,'架電リスト'!$J$5:$J$34,"番号不明")</f>
        <v/>
      </c>
    </row>
    <row r="12">
      <c r="A12" s="14" t="inlineStr">
        <is>
          <t>桜川市</t>
        </is>
      </c>
      <c r="B12" s="14">
        <f>COUNTIF('架電リスト'!$C$5:$C$34,A12)</f>
        <v/>
      </c>
      <c r="C12" s="14">
        <f>COUNTIFS('架電リスト'!$C$5:$C$34,A12,'架電リスト'!$E$5:$E$34,"&lt;&gt;")</f>
        <v/>
      </c>
      <c r="D12" s="14">
        <f>B12-COUNTIFS('架電リスト'!$C$5:$C$34,A12,'架電リスト'!$J$5:$J$34,"未架電")-COUNTIFS('架電リスト'!$C$5:$C$34,A12,'架電リスト'!$J$5:$J$34,"")</f>
        <v/>
      </c>
      <c r="E12" s="14">
        <f>COUNTIFS('架電リスト'!$C$5:$C$34,$A12,'架電リスト'!$J$5:$J$34,"不在・折返し待ち")</f>
        <v/>
      </c>
      <c r="F12" s="14">
        <f>COUNTIFS('架電リスト'!$C$5:$C$34,$A12,'架電リスト'!$J$5:$J$34,"担当者不在")</f>
        <v/>
      </c>
      <c r="G12" s="14">
        <f>COUNTIFS('架電リスト'!$C$5:$C$34,$A12,'架電リスト'!$J$5:$J$34,"資料送付")</f>
        <v/>
      </c>
      <c r="H12" s="14">
        <f>COUNTIFS('架電リスト'!$C$5:$C$34,$A12,'架電リスト'!$J$5:$J$34,"アポ獲得")</f>
        <v/>
      </c>
      <c r="I12" s="14">
        <f>COUNTIFS('架電リスト'!$C$5:$C$34,$A12,'架電リスト'!$J$5:$J$34,"検討中")</f>
        <v/>
      </c>
      <c r="J12" s="14">
        <f>COUNTIFS('架電リスト'!$C$5:$C$34,$A12,'架電リスト'!$J$5:$J$34,"NG")</f>
        <v/>
      </c>
      <c r="K12" s="14">
        <f>COUNTIFS('架電リスト'!$C$5:$C$34,$A12,'架電リスト'!$J$5:$J$34,"番号不明")</f>
        <v/>
      </c>
    </row>
    <row r="13">
      <c r="A13" s="14" t="inlineStr">
        <is>
          <t>阿見町</t>
        </is>
      </c>
      <c r="B13" s="14">
        <f>COUNTIF('架電リスト'!$C$5:$C$34,A13)</f>
        <v/>
      </c>
      <c r="C13" s="14">
        <f>COUNTIFS('架電リスト'!$C$5:$C$34,A13,'架電リスト'!$E$5:$E$34,"&lt;&gt;")</f>
        <v/>
      </c>
      <c r="D13" s="14">
        <f>B13-COUNTIFS('架電リスト'!$C$5:$C$34,A13,'架電リスト'!$J$5:$J$34,"未架電")-COUNTIFS('架電リスト'!$C$5:$C$34,A13,'架電リスト'!$J$5:$J$34,"")</f>
        <v/>
      </c>
      <c r="E13" s="14">
        <f>COUNTIFS('架電リスト'!$C$5:$C$34,$A13,'架電リスト'!$J$5:$J$34,"不在・折返し待ち")</f>
        <v/>
      </c>
      <c r="F13" s="14">
        <f>COUNTIFS('架電リスト'!$C$5:$C$34,$A13,'架電リスト'!$J$5:$J$34,"担当者不在")</f>
        <v/>
      </c>
      <c r="G13" s="14">
        <f>COUNTIFS('架電リスト'!$C$5:$C$34,$A13,'架電リスト'!$J$5:$J$34,"資料送付")</f>
        <v/>
      </c>
      <c r="H13" s="14">
        <f>COUNTIFS('架電リスト'!$C$5:$C$34,$A13,'架電リスト'!$J$5:$J$34,"アポ獲得")</f>
        <v/>
      </c>
      <c r="I13" s="14">
        <f>COUNTIFS('架電リスト'!$C$5:$C$34,$A13,'架電リスト'!$J$5:$J$34,"検討中")</f>
        <v/>
      </c>
      <c r="J13" s="14">
        <f>COUNTIFS('架電リスト'!$C$5:$C$34,$A13,'架電リスト'!$J$5:$J$34,"NG")</f>
        <v/>
      </c>
      <c r="K13" s="14">
        <f>COUNTIFS('架電リスト'!$C$5:$C$34,$A13,'架電リスト'!$J$5:$J$34,"番号不明")</f>
        <v/>
      </c>
    </row>
    <row r="14">
      <c r="A14" s="14" t="inlineStr">
        <is>
          <t>古河市</t>
        </is>
      </c>
      <c r="B14" s="14">
        <f>COUNTIF('架電リスト'!$C$5:$C$34,A14)</f>
        <v/>
      </c>
      <c r="C14" s="14">
        <f>COUNTIFS('架電リスト'!$C$5:$C$34,A14,'架電リスト'!$E$5:$E$34,"&lt;&gt;")</f>
        <v/>
      </c>
      <c r="D14" s="14">
        <f>B14-COUNTIFS('架電リスト'!$C$5:$C$34,A14,'架電リスト'!$J$5:$J$34,"未架電")-COUNTIFS('架電リスト'!$C$5:$C$34,A14,'架電リスト'!$J$5:$J$34,"")</f>
        <v/>
      </c>
      <c r="E14" s="14">
        <f>COUNTIFS('架電リスト'!$C$5:$C$34,$A14,'架電リスト'!$J$5:$J$34,"不在・折返し待ち")</f>
        <v/>
      </c>
      <c r="F14" s="14">
        <f>COUNTIFS('架電リスト'!$C$5:$C$34,$A14,'架電リスト'!$J$5:$J$34,"担当者不在")</f>
        <v/>
      </c>
      <c r="G14" s="14">
        <f>COUNTIFS('架電リスト'!$C$5:$C$34,$A14,'架電リスト'!$J$5:$J$34,"資料送付")</f>
        <v/>
      </c>
      <c r="H14" s="14">
        <f>COUNTIFS('架電リスト'!$C$5:$C$34,$A14,'架電リスト'!$J$5:$J$34,"アポ獲得")</f>
        <v/>
      </c>
      <c r="I14" s="14">
        <f>COUNTIFS('架電リスト'!$C$5:$C$34,$A14,'架電リスト'!$J$5:$J$34,"検討中")</f>
        <v/>
      </c>
      <c r="J14" s="14">
        <f>COUNTIFS('架電リスト'!$C$5:$C$34,$A14,'架電リスト'!$J$5:$J$34,"NG")</f>
        <v/>
      </c>
      <c r="K14" s="14">
        <f>COUNTIFS('架電リスト'!$C$5:$C$34,$A14,'架電リスト'!$J$5:$J$34,"番号不明")</f>
        <v/>
      </c>
    </row>
    <row r="15">
      <c r="A15" s="14" t="inlineStr">
        <is>
          <t>高萩市</t>
        </is>
      </c>
      <c r="B15" s="14">
        <f>COUNTIF('架電リスト'!$C$5:$C$34,A15)</f>
        <v/>
      </c>
      <c r="C15" s="14">
        <f>COUNTIFS('架電リスト'!$C$5:$C$34,A15,'架電リスト'!$E$5:$E$34,"&lt;&gt;")</f>
        <v/>
      </c>
      <c r="D15" s="14">
        <f>B15-COUNTIFS('架電リスト'!$C$5:$C$34,A15,'架電リスト'!$J$5:$J$34,"未架電")-COUNTIFS('架電リスト'!$C$5:$C$34,A15,'架電リスト'!$J$5:$J$34,"")</f>
        <v/>
      </c>
      <c r="E15" s="14">
        <f>COUNTIFS('架電リスト'!$C$5:$C$34,$A15,'架電リスト'!$J$5:$J$34,"不在・折返し待ち")</f>
        <v/>
      </c>
      <c r="F15" s="14">
        <f>COUNTIFS('架電リスト'!$C$5:$C$34,$A15,'架電リスト'!$J$5:$J$34,"担当者不在")</f>
        <v/>
      </c>
      <c r="G15" s="14">
        <f>COUNTIFS('架電リスト'!$C$5:$C$34,$A15,'架電リスト'!$J$5:$J$34,"資料送付")</f>
        <v/>
      </c>
      <c r="H15" s="14">
        <f>COUNTIFS('架電リスト'!$C$5:$C$34,$A15,'架電リスト'!$J$5:$J$34,"アポ獲得")</f>
        <v/>
      </c>
      <c r="I15" s="14">
        <f>COUNTIFS('架電リスト'!$C$5:$C$34,$A15,'架電リスト'!$J$5:$J$34,"検討中")</f>
        <v/>
      </c>
      <c r="J15" s="14">
        <f>COUNTIFS('架電リスト'!$C$5:$C$34,$A15,'架電リスト'!$J$5:$J$34,"NG")</f>
        <v/>
      </c>
      <c r="K15" s="14">
        <f>COUNTIFS('架電リスト'!$C$5:$C$34,$A15,'架電リスト'!$J$5:$J$34,"番号不明")</f>
        <v/>
      </c>
    </row>
    <row r="16">
      <c r="A16" s="14" t="inlineStr">
        <is>
          <t>かすみがうら市</t>
        </is>
      </c>
      <c r="B16" s="14">
        <f>COUNTIF('架電リスト'!$C$5:$C$34,A16)</f>
        <v/>
      </c>
      <c r="C16" s="14">
        <f>COUNTIFS('架電リスト'!$C$5:$C$34,A16,'架電リスト'!$E$5:$E$34,"&lt;&gt;")</f>
        <v/>
      </c>
      <c r="D16" s="14">
        <f>B16-COUNTIFS('架電リスト'!$C$5:$C$34,A16,'架電リスト'!$J$5:$J$34,"未架電")-COUNTIFS('架電リスト'!$C$5:$C$34,A16,'架電リスト'!$J$5:$J$34,"")</f>
        <v/>
      </c>
      <c r="E16" s="14">
        <f>COUNTIFS('架電リスト'!$C$5:$C$34,$A16,'架電リスト'!$J$5:$J$34,"不在・折返し待ち")</f>
        <v/>
      </c>
      <c r="F16" s="14">
        <f>COUNTIFS('架電リスト'!$C$5:$C$34,$A16,'架電リスト'!$J$5:$J$34,"担当者不在")</f>
        <v/>
      </c>
      <c r="G16" s="14">
        <f>COUNTIFS('架電リスト'!$C$5:$C$34,$A16,'架電リスト'!$J$5:$J$34,"資料送付")</f>
        <v/>
      </c>
      <c r="H16" s="14">
        <f>COUNTIFS('架電リスト'!$C$5:$C$34,$A16,'架電リスト'!$J$5:$J$34,"アポ獲得")</f>
        <v/>
      </c>
      <c r="I16" s="14">
        <f>COUNTIFS('架電リスト'!$C$5:$C$34,$A16,'架電リスト'!$J$5:$J$34,"検討中")</f>
        <v/>
      </c>
      <c r="J16" s="14">
        <f>COUNTIFS('架電リスト'!$C$5:$C$34,$A16,'架電リスト'!$J$5:$J$34,"NG")</f>
        <v/>
      </c>
      <c r="K16" s="14">
        <f>COUNTIFS('架電リスト'!$C$5:$C$34,$A16,'架電リスト'!$J$5:$J$34,"番号不明")</f>
        <v/>
      </c>
    </row>
    <row r="17">
      <c r="A17" s="14" t="inlineStr">
        <is>
          <t>大子町</t>
        </is>
      </c>
      <c r="B17" s="14">
        <f>COUNTIF('架電リスト'!$C$5:$C$34,A17)</f>
        <v/>
      </c>
      <c r="C17" s="14">
        <f>COUNTIFS('架電リスト'!$C$5:$C$34,A17,'架電リスト'!$E$5:$E$34,"&lt;&gt;")</f>
        <v/>
      </c>
      <c r="D17" s="14">
        <f>B17-COUNTIFS('架電リスト'!$C$5:$C$34,A17,'架電リスト'!$J$5:$J$34,"未架電")-COUNTIFS('架電リスト'!$C$5:$C$34,A17,'架電リスト'!$J$5:$J$34,"")</f>
        <v/>
      </c>
      <c r="E17" s="14">
        <f>COUNTIFS('架電リスト'!$C$5:$C$34,$A17,'架電リスト'!$J$5:$J$34,"不在・折返し待ち")</f>
        <v/>
      </c>
      <c r="F17" s="14">
        <f>COUNTIFS('架電リスト'!$C$5:$C$34,$A17,'架電リスト'!$J$5:$J$34,"担当者不在")</f>
        <v/>
      </c>
      <c r="G17" s="14">
        <f>COUNTIFS('架電リスト'!$C$5:$C$34,$A17,'架電リスト'!$J$5:$J$34,"資料送付")</f>
        <v/>
      </c>
      <c r="H17" s="14">
        <f>COUNTIFS('架電リスト'!$C$5:$C$34,$A17,'架電リスト'!$J$5:$J$34,"アポ獲得")</f>
        <v/>
      </c>
      <c r="I17" s="14">
        <f>COUNTIFS('架電リスト'!$C$5:$C$34,$A17,'架電リスト'!$J$5:$J$34,"検討中")</f>
        <v/>
      </c>
      <c r="J17" s="14">
        <f>COUNTIFS('架電リスト'!$C$5:$C$34,$A17,'架電リスト'!$J$5:$J$34,"NG")</f>
        <v/>
      </c>
      <c r="K17" s="14">
        <f>COUNTIFS('架電リスト'!$C$5:$C$34,$A17,'架電リスト'!$J$5:$J$34,"番号不明")</f>
        <v/>
      </c>
    </row>
    <row r="18">
      <c r="A18" s="15" t="inlineStr">
        <is>
          <t>合計</t>
        </is>
      </c>
      <c r="B18" s="15">
        <f>SUM(B4:B17)</f>
        <v/>
      </c>
      <c r="C18" s="15">
        <f>SUM(C4:C17)</f>
        <v/>
      </c>
      <c r="D18" s="15">
        <f>SUM(D4:D17)</f>
        <v/>
      </c>
      <c r="E18" s="15">
        <f>SUM(E4:E17)</f>
        <v/>
      </c>
      <c r="F18" s="15">
        <f>SUM(F4:F17)</f>
        <v/>
      </c>
      <c r="G18" s="15">
        <f>SUM(G4:G17)</f>
        <v/>
      </c>
      <c r="H18" s="15">
        <f>SUM(H4:H17)</f>
        <v/>
      </c>
      <c r="I18" s="15">
        <f>SUM(I4:I17)</f>
        <v/>
      </c>
      <c r="J18" s="15">
        <f>SUM(J4:J17)</f>
        <v/>
      </c>
      <c r="K18" s="15">
        <f>SUM(K4:K17)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・出典：ご提供いただいた学校ネットの検索結果（私立高校・茨城県、30校）の貼り付けデータ。並び順は都道府県ごとに元データの掲載順です。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2026-10-09T02:55:32Z</dcterms:created>
  <dcterms:modified xsi:type="dcterms:W3CDTF">2026-10-09T02:55:32Z</dcterms:modified>
</cp:coreProperties>
</file>