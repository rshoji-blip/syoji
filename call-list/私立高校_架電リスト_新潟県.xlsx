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'架電リスト'!$A$4:$O$22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436.html" TargetMode="External" Id="rId1" /><Relationship Type="http://schemas.openxmlformats.org/officeDocument/2006/relationships/hyperlink" Target="https://www.gakkou.net/kou/view/index_302804.html" TargetMode="External" Id="rId2" /><Relationship Type="http://schemas.openxmlformats.org/officeDocument/2006/relationships/hyperlink" Target="https://www.gakkou.net/kou/view/index_302758.html" TargetMode="External" Id="rId3" /><Relationship Type="http://schemas.openxmlformats.org/officeDocument/2006/relationships/hyperlink" Target="https://www.gakkou.net/kou/view/index_302793.html" TargetMode="External" Id="rId4" /><Relationship Type="http://schemas.openxmlformats.org/officeDocument/2006/relationships/hyperlink" Target="https://www.gakkou.net/kou/view/index_302705.html" TargetMode="External" Id="rId5" /><Relationship Type="http://schemas.openxmlformats.org/officeDocument/2006/relationships/hyperlink" Target="https://www.gakkou.net/kou/view/index_302706.html" TargetMode="External" Id="rId6" /><Relationship Type="http://schemas.openxmlformats.org/officeDocument/2006/relationships/hyperlink" Target="https://www.gakkou.net/kou/view/index_306472.html" TargetMode="External" Id="rId7" /><Relationship Type="http://schemas.openxmlformats.org/officeDocument/2006/relationships/hyperlink" Target="https://www.gakkou.net/kou/view/index_302687.html" TargetMode="External" Id="rId8" /><Relationship Type="http://schemas.openxmlformats.org/officeDocument/2006/relationships/hyperlink" Target="https://www.gakkou.net/kou/view/index_302679.html" TargetMode="External" Id="rId9" /><Relationship Type="http://schemas.openxmlformats.org/officeDocument/2006/relationships/hyperlink" Target="https://www.gakkou.net/kou/view/index_302752.html" TargetMode="External" Id="rId10" /><Relationship Type="http://schemas.openxmlformats.org/officeDocument/2006/relationships/hyperlink" Target="https://www.gakkou.net/kou/view/index_306509.html" TargetMode="External" Id="rId11" /><Relationship Type="http://schemas.openxmlformats.org/officeDocument/2006/relationships/hyperlink" Target="https://www.gakkou.net/kou/view/index_302715.html" TargetMode="External" Id="rId12" /><Relationship Type="http://schemas.openxmlformats.org/officeDocument/2006/relationships/hyperlink" Target="https://www.gakkou.net/kou/view/index_302756.html" TargetMode="External" Id="rId13" /><Relationship Type="http://schemas.openxmlformats.org/officeDocument/2006/relationships/hyperlink" Target="https://www.gakkou.net/kou/view/index_302760.html" TargetMode="External" Id="rId14" /><Relationship Type="http://schemas.openxmlformats.org/officeDocument/2006/relationships/hyperlink" Target="https://www.gakkou.net/kou/view/index_302766.html" TargetMode="External" Id="rId15" /><Relationship Type="http://schemas.openxmlformats.org/officeDocument/2006/relationships/hyperlink" Target="https://www.gakkou.net/kou/view/index_302765.html" TargetMode="External" Id="rId16" /><Relationship Type="http://schemas.openxmlformats.org/officeDocument/2006/relationships/hyperlink" Target="https://www.gakkou.net/kou/view/index_302755.html" TargetMode="External" Id="rId17" /><Relationship Type="http://schemas.openxmlformats.org/officeDocument/2006/relationships/hyperlink" Target="https://www.gakkou.net/kou/view/index_302746.html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架電リスト（新潟県／18校）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新潟県</t>
        </is>
      </c>
      <c r="C5" s="5" t="inlineStr">
        <is>
          <t>新潟市中央区</t>
        </is>
      </c>
      <c r="D5" s="5" t="inlineStr">
        <is>
          <t>開志学園高等学校</t>
        </is>
      </c>
      <c r="E5" s="6" t="inlineStr">
        <is>
          <t>025-287-3390</t>
        </is>
      </c>
      <c r="F5" s="7" t="inlineStr">
        <is>
          <t>中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通信制。学校情報サイトのみで確認</t>
        </is>
      </c>
      <c r="N5" s="11" t="inlineStr">
        <is>
          <t>https://school.js88.com/scl_h/34024908 ; https://www.minkou.jp/hischool/school/1045/</t>
        </is>
      </c>
      <c r="O5" s="12" t="inlineStr">
        <is>
          <t>開く</t>
        </is>
      </c>
    </row>
    <row r="6">
      <c r="A6" s="4" t="n">
        <v>2</v>
      </c>
      <c r="B6" s="5" t="inlineStr">
        <is>
          <t>新潟県</t>
        </is>
      </c>
      <c r="C6" s="5" t="inlineStr">
        <is>
          <t>加茂市</t>
        </is>
      </c>
      <c r="D6" s="5" t="inlineStr">
        <is>
          <t>加茂暁星高等学校</t>
        </is>
      </c>
      <c r="E6" s="6" t="inlineStr">
        <is>
          <t>0256-52-2000</t>
        </is>
      </c>
      <c r="F6" s="13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公式サイトと電話帳で一致（代表）</t>
        </is>
      </c>
      <c r="N6" s="11" t="inlineStr">
        <is>
          <t>https://www.gyosei.ac.jp/ ; https://www.mapion.co.jp/phonebook/M11004/15209/ILSP0000041397_ipclm/</t>
        </is>
      </c>
      <c r="O6" s="12" t="inlineStr">
        <is>
          <t>開く</t>
        </is>
      </c>
    </row>
    <row r="7">
      <c r="A7" s="4" t="n">
        <v>3</v>
      </c>
      <c r="B7" s="5" t="inlineStr">
        <is>
          <t>新潟県</t>
        </is>
      </c>
      <c r="C7" s="5" t="inlineStr">
        <is>
          <t>新潟市北区</t>
        </is>
      </c>
      <c r="D7" s="5" t="inlineStr">
        <is>
          <t>敬和学園高等学校</t>
        </is>
      </c>
      <c r="E7" s="6" t="inlineStr">
        <is>
          <t>025-259-2391</t>
        </is>
      </c>
      <c r="F7" s="13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法人の公式報告書に高校の番号として記載。大学・法人本部とは別番号</t>
        </is>
      </c>
      <c r="N7" s="11" t="inlineStr">
        <is>
          <t>https://www.keiwa-c.ac.jp/wp2021/wp-content/uploads/2025/06/hokoku2024.pdf</t>
        </is>
      </c>
      <c r="O7" s="12" t="inlineStr">
        <is>
          <t>開く</t>
        </is>
      </c>
    </row>
    <row r="8">
      <c r="A8" s="4" t="n">
        <v>4</v>
      </c>
      <c r="B8" s="5" t="inlineStr">
        <is>
          <t>新潟県</t>
        </is>
      </c>
      <c r="C8" s="5" t="inlineStr">
        <is>
          <t>新発田市</t>
        </is>
      </c>
      <c r="D8" s="5" t="inlineStr">
        <is>
          <t>新発田中央高等学校</t>
        </is>
      </c>
      <c r="E8" s="6" t="inlineStr">
        <is>
          <t>0254-27-2466</t>
        </is>
      </c>
      <c r="F8" s="7" t="inlineStr">
        <is>
          <t>中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学校情報サイト1件のみで確認</t>
        </is>
      </c>
      <c r="N8" s="11" t="inlineStr">
        <is>
          <t>https://school.js88.com/scl_h/22023970</t>
        </is>
      </c>
      <c r="O8" s="12" t="inlineStr">
        <is>
          <t>開く</t>
        </is>
      </c>
    </row>
    <row r="9">
      <c r="A9" s="4" t="n">
        <v>5</v>
      </c>
      <c r="B9" s="5" t="inlineStr">
        <is>
          <t>新潟県</t>
        </is>
      </c>
      <c r="C9" s="5" t="inlineStr">
        <is>
          <t>上越市</t>
        </is>
      </c>
      <c r="D9" s="5" t="inlineStr">
        <is>
          <t>上越高等学校</t>
        </is>
      </c>
      <c r="E9" s="6" t="inlineStr">
        <is>
          <t>025-523-2601</t>
        </is>
      </c>
      <c r="F9" s="13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公式サイトの事務室の番号。教務室は025-524-1249（上越市のサイトはこちらを掲載）</t>
        </is>
      </c>
      <c r="N9" s="11" t="inlineStr">
        <is>
          <t>https://www.joetsu-hs.com/access/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新潟県</t>
        </is>
      </c>
      <c r="C10" s="5" t="inlineStr">
        <is>
          <t>上越市</t>
        </is>
      </c>
      <c r="D10" s="5" t="inlineStr">
        <is>
          <t>関根学園高等学校</t>
        </is>
      </c>
      <c r="E10" s="6" t="inlineStr">
        <is>
          <t>025-523-2702</t>
        </is>
      </c>
      <c r="F10" s="13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学校作成の募集要項と学校情報サイトで一致</t>
        </is>
      </c>
      <c r="N10" s="11" t="inlineStr">
        <is>
          <t>https://school.js88.com/scl_h/22024010 ; https://www.kandagaigo.ac.jp/kuis/alumni/wp-content/uploads/2025/12/R8関根学園高校英語募集要項.pdf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新潟県</t>
        </is>
      </c>
      <c r="C11" s="5" t="inlineStr">
        <is>
          <t>見附市</t>
        </is>
      </c>
      <c r="D11" s="5" t="inlineStr">
        <is>
          <t>創進高等学校</t>
        </is>
      </c>
      <c r="E11" s="6" t="inlineStr">
        <is>
          <t>0258-62-0703</t>
        </is>
      </c>
      <c r="F11" s="7" t="inlineStr">
        <is>
          <t>中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通信制。学校情報サイト1件のみで確認（「創進学園高等学校」の表記もあり）</t>
        </is>
      </c>
      <c r="N11" s="11" t="inlineStr">
        <is>
          <t>https://www.minkou.jp/hischool/school/3587/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新潟県</t>
        </is>
      </c>
      <c r="C12" s="5" t="inlineStr">
        <is>
          <t>長岡市</t>
        </is>
      </c>
      <c r="D12" s="5" t="inlineStr">
        <is>
          <t>中越高等学校</t>
        </is>
      </c>
      <c r="E12" s="6" t="inlineStr">
        <is>
          <t>0258-24-0203</t>
        </is>
      </c>
      <c r="F12" s="13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公式サイトとマピオンで一致</t>
        </is>
      </c>
      <c r="N12" s="11" t="inlineStr">
        <is>
          <t>https://www.chuetsu-h.ed.jp/about/access/ ; https://www.mapion.co.jp/phonebook/M11004/15202/ILSP0000040646_ipclm/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新潟県</t>
        </is>
      </c>
      <c r="C13" s="5" t="inlineStr">
        <is>
          <t>長岡市</t>
        </is>
      </c>
      <c r="D13" s="5" t="inlineStr">
        <is>
          <t>帝京長岡高等学校</t>
        </is>
      </c>
      <c r="E13" s="6" t="inlineStr">
        <is>
          <t>0258-36-4800</t>
        </is>
      </c>
      <c r="F13" s="7" t="inlineStr">
        <is>
          <t>中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電話帳サイト複数で一致、公式サイトでは未確認。進路指導部は0258-34-6765</t>
        </is>
      </c>
      <c r="N13" s="11" t="inlineStr">
        <is>
          <t>https://www.mapion.co.jp/phonebook/M11004/15202/ILSP0000041523_ipclm/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新潟県</t>
        </is>
      </c>
      <c r="C14" s="5" t="inlineStr">
        <is>
          <t>新潟市中央区</t>
        </is>
      </c>
      <c r="D14" s="5" t="inlineStr">
        <is>
          <t>東京学館新潟高等学校</t>
        </is>
      </c>
      <c r="E14" s="6" t="inlineStr">
        <is>
          <t>025-283-8857</t>
        </is>
      </c>
      <c r="F14" s="13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学校案内に「代表」と記載</t>
        </is>
      </c>
      <c r="N14" s="11" t="inlineStr">
        <is>
          <t>https://school.js88.com/scl_h/22024030/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新潟県</t>
        </is>
      </c>
      <c r="C15" s="5" t="inlineStr">
        <is>
          <t>長岡市</t>
        </is>
      </c>
      <c r="D15" s="5" t="inlineStr">
        <is>
          <t>長岡英智高等学校</t>
        </is>
      </c>
      <c r="E15" s="6" t="inlineStr">
        <is>
          <t>0258-31-6771</t>
        </is>
      </c>
      <c r="F15" s="13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通信制。【校名変更予定】2026年4月に「新潟英智高等学校」へ改称予定との情報あり</t>
        </is>
      </c>
      <c r="N15" s="11" t="inlineStr">
        <is>
          <t>https://school.js88.com/scl_h/34028502 ; https://studychain.jp/media/guide-172-2/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新潟県</t>
        </is>
      </c>
      <c r="C16" s="5" t="inlineStr">
        <is>
          <t>柏崎市</t>
        </is>
      </c>
      <c r="D16" s="5" t="inlineStr">
        <is>
          <t>新潟産業大学附属高等学校</t>
        </is>
      </c>
      <c r="E16" s="6" t="inlineStr">
        <is>
          <t>0257-24-6644</t>
        </is>
      </c>
      <c r="F16" s="13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公式サイトに「代表」と記載。0257-24-6655は大学の番号</t>
        </is>
      </c>
      <c r="N16" s="11" t="inlineStr">
        <is>
          <t>https://www.nsf-h.ed.jp/schoolintroduction.html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新潟県</t>
        </is>
      </c>
      <c r="C17" s="5" t="inlineStr">
        <is>
          <t>新潟市西区</t>
        </is>
      </c>
      <c r="D17" s="5" t="inlineStr">
        <is>
          <t>新潟清心女子高等学校</t>
        </is>
      </c>
      <c r="E17" s="6" t="inlineStr">
        <is>
          <t>025-269-2041</t>
        </is>
      </c>
      <c r="F17" s="13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中学校と共通</t>
        </is>
      </c>
      <c r="N17" s="11" t="inlineStr">
        <is>
          <t>https://school.js88.com/scl_h/22023990 ; https://school.js88.com/scl_j/31150033/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新潟県</t>
        </is>
      </c>
      <c r="C18" s="5" t="inlineStr">
        <is>
          <t>新潟市中央区</t>
        </is>
      </c>
      <c r="D18" s="5" t="inlineStr">
        <is>
          <t>新潟青陵高等学校</t>
        </is>
      </c>
      <c r="E18" s="6" t="inlineStr">
        <is>
          <t>025-266-8131</t>
        </is>
      </c>
      <c r="F18" s="13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公式サイトとタウンページで一致。025-266-8674は幼稚園の番号</t>
        </is>
      </c>
      <c r="N18" s="11" t="inlineStr">
        <is>
          <t>https://www.seiryo-high.ed.jp/ ; https://townpage.goo.ne.jp/shopdetail.php?matomeid=159094796000000899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新潟県</t>
        </is>
      </c>
      <c r="C19" s="5" t="inlineStr">
        <is>
          <t>新潟市中央区</t>
        </is>
      </c>
      <c r="D19" s="5" t="inlineStr">
        <is>
          <t>新潟第一高等学校</t>
        </is>
      </c>
      <c r="E19" s="6" t="inlineStr">
        <is>
          <t>025-231-5643</t>
        </is>
      </c>
      <c r="F19" s="13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2つのサイトで一致</t>
        </is>
      </c>
      <c r="N19" s="11" t="inlineStr">
        <is>
          <t>https://school.js88.com/scl_h/22024020?page=10 ; https://www.minkou.jp/hischool/school/3557/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新潟県</t>
        </is>
      </c>
      <c r="C20" s="5" t="inlineStr">
        <is>
          <t>新潟市江南区</t>
        </is>
      </c>
      <c r="D20" s="5" t="inlineStr">
        <is>
          <t>新潟明訓高等学校</t>
        </is>
      </c>
      <c r="E20" s="6" t="inlineStr">
        <is>
          <t>025-257-2131</t>
        </is>
      </c>
      <c r="F20" s="7" t="inlineStr">
        <is>
          <t>中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学校情報サイト1件のみで確認</t>
        </is>
      </c>
      <c r="N20" s="11" t="inlineStr">
        <is>
          <t>https://www.zyuken.net/school_page/11520131166/search/%E7%94%9F%E5%BE%92%E6%95%B0/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新潟県</t>
        </is>
      </c>
      <c r="C21" s="5" t="inlineStr">
        <is>
          <t>新潟市西区</t>
        </is>
      </c>
      <c r="D21" s="5" t="inlineStr">
        <is>
          <t>日本文理高等学校</t>
        </is>
      </c>
      <c r="E21" s="6" t="inlineStr">
        <is>
          <t>025-260-1000</t>
        </is>
      </c>
      <c r="F21" s="7" t="inlineStr">
        <is>
          <t>中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学校情報サイトのみで確認</t>
        </is>
      </c>
      <c r="N21" s="11" t="inlineStr">
        <is>
          <t>https://school.js88.com/scl_h/22024040?page=9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新潟県</t>
        </is>
      </c>
      <c r="C22" s="5" t="inlineStr">
        <is>
          <t>新潟市中央区</t>
        </is>
      </c>
      <c r="D22" s="5" t="inlineStr">
        <is>
          <t>北越高等学校</t>
        </is>
      </c>
      <c r="E22" s="6" t="inlineStr">
        <is>
          <t>025-245-5681</t>
        </is>
      </c>
      <c r="F22" s="13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複数の電話帳・地図サイトで一致</t>
        </is>
      </c>
      <c r="N22" s="11" t="inlineStr">
        <is>
          <t>https://www.mapion.co.jp/phonebook/M11004/15103/ILSP0000041961_ipclm/ ; https://www.navita.co.jp/s/11040479/</t>
        </is>
      </c>
      <c r="O22" s="12" t="inlineStr">
        <is>
          <t>開く</t>
        </is>
      </c>
    </row>
  </sheetData>
  <autoFilter ref="A4:O22"/>
  <conditionalFormatting sqref="A5:O22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2" showDropDown="0" showInputMessage="0" showErrorMessage="0" allowBlank="1" type="list">
      <formula1>"未架電,不在・折返し待ち,担当者不在,資料送付,アポ獲得,検討中,NG,番号不明"</formula1>
    </dataValidation>
    <dataValidation sqref="H5:H22 K5:K22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新潟市中央区</t>
        </is>
      </c>
      <c r="B4" s="14">
        <f>COUNTIF('架電リスト'!$C$5:$C$22,A4)</f>
        <v/>
      </c>
      <c r="C4" s="14">
        <f>COUNTIFS('架電リスト'!$C$5:$C$22,A4,'架電リスト'!$E$5:$E$22,"&lt;&gt;")</f>
        <v/>
      </c>
      <c r="D4" s="14">
        <f>B4-COUNTIFS('架電リスト'!$C$5:$C$22,A4,'架電リスト'!$J$5:$J$22,"未架電")-COUNTIFS('架電リスト'!$C$5:$C$22,A4,'架電リスト'!$J$5:$J$22,"")</f>
        <v/>
      </c>
      <c r="E4" s="14">
        <f>COUNTIFS('架電リスト'!$C$5:$C$22,$A4,'架電リスト'!$J$5:$J$22,"不在・折返し待ち")</f>
        <v/>
      </c>
      <c r="F4" s="14">
        <f>COUNTIFS('架電リスト'!$C$5:$C$22,$A4,'架電リスト'!$J$5:$J$22,"担当者不在")</f>
        <v/>
      </c>
      <c r="G4" s="14">
        <f>COUNTIFS('架電リスト'!$C$5:$C$22,$A4,'架電リスト'!$J$5:$J$22,"資料送付")</f>
        <v/>
      </c>
      <c r="H4" s="14">
        <f>COUNTIFS('架電リスト'!$C$5:$C$22,$A4,'架電リスト'!$J$5:$J$22,"アポ獲得")</f>
        <v/>
      </c>
      <c r="I4" s="14">
        <f>COUNTIFS('架電リスト'!$C$5:$C$22,$A4,'架電リスト'!$J$5:$J$22,"検討中")</f>
        <v/>
      </c>
      <c r="J4" s="14">
        <f>COUNTIFS('架電リスト'!$C$5:$C$22,$A4,'架電リスト'!$J$5:$J$22,"NG")</f>
        <v/>
      </c>
      <c r="K4" s="14">
        <f>COUNTIFS('架電リスト'!$C$5:$C$22,$A4,'架電リスト'!$J$5:$J$22,"番号不明")</f>
        <v/>
      </c>
    </row>
    <row r="5">
      <c r="A5" s="14" t="inlineStr">
        <is>
          <t>長岡市</t>
        </is>
      </c>
      <c r="B5" s="14">
        <f>COUNTIF('架電リスト'!$C$5:$C$22,A5)</f>
        <v/>
      </c>
      <c r="C5" s="14">
        <f>COUNTIFS('架電リスト'!$C$5:$C$22,A5,'架電リスト'!$E$5:$E$22,"&lt;&gt;")</f>
        <v/>
      </c>
      <c r="D5" s="14">
        <f>B5-COUNTIFS('架電リスト'!$C$5:$C$22,A5,'架電リスト'!$J$5:$J$22,"未架電")-COUNTIFS('架電リスト'!$C$5:$C$22,A5,'架電リスト'!$J$5:$J$22,"")</f>
        <v/>
      </c>
      <c r="E5" s="14">
        <f>COUNTIFS('架電リスト'!$C$5:$C$22,$A5,'架電リスト'!$J$5:$J$22,"不在・折返し待ち")</f>
        <v/>
      </c>
      <c r="F5" s="14">
        <f>COUNTIFS('架電リスト'!$C$5:$C$22,$A5,'架電リスト'!$J$5:$J$22,"担当者不在")</f>
        <v/>
      </c>
      <c r="G5" s="14">
        <f>COUNTIFS('架電リスト'!$C$5:$C$22,$A5,'架電リスト'!$J$5:$J$22,"資料送付")</f>
        <v/>
      </c>
      <c r="H5" s="14">
        <f>COUNTIFS('架電リスト'!$C$5:$C$22,$A5,'架電リスト'!$J$5:$J$22,"アポ獲得")</f>
        <v/>
      </c>
      <c r="I5" s="14">
        <f>COUNTIFS('架電リスト'!$C$5:$C$22,$A5,'架電リスト'!$J$5:$J$22,"検討中")</f>
        <v/>
      </c>
      <c r="J5" s="14">
        <f>COUNTIFS('架電リスト'!$C$5:$C$22,$A5,'架電リスト'!$J$5:$J$22,"NG")</f>
        <v/>
      </c>
      <c r="K5" s="14">
        <f>COUNTIFS('架電リスト'!$C$5:$C$22,$A5,'架電リスト'!$J$5:$J$22,"番号不明")</f>
        <v/>
      </c>
    </row>
    <row r="6">
      <c r="A6" s="14" t="inlineStr">
        <is>
          <t>上越市</t>
        </is>
      </c>
      <c r="B6" s="14">
        <f>COUNTIF('架電リスト'!$C$5:$C$22,A6)</f>
        <v/>
      </c>
      <c r="C6" s="14">
        <f>COUNTIFS('架電リスト'!$C$5:$C$22,A6,'架電リスト'!$E$5:$E$22,"&lt;&gt;")</f>
        <v/>
      </c>
      <c r="D6" s="14">
        <f>B6-COUNTIFS('架電リスト'!$C$5:$C$22,A6,'架電リスト'!$J$5:$J$22,"未架電")-COUNTIFS('架電リスト'!$C$5:$C$22,A6,'架電リスト'!$J$5:$J$22,"")</f>
        <v/>
      </c>
      <c r="E6" s="14">
        <f>COUNTIFS('架電リスト'!$C$5:$C$22,$A6,'架電リスト'!$J$5:$J$22,"不在・折返し待ち")</f>
        <v/>
      </c>
      <c r="F6" s="14">
        <f>COUNTIFS('架電リスト'!$C$5:$C$22,$A6,'架電リスト'!$J$5:$J$22,"担当者不在")</f>
        <v/>
      </c>
      <c r="G6" s="14">
        <f>COUNTIFS('架電リスト'!$C$5:$C$22,$A6,'架電リスト'!$J$5:$J$22,"資料送付")</f>
        <v/>
      </c>
      <c r="H6" s="14">
        <f>COUNTIFS('架電リスト'!$C$5:$C$22,$A6,'架電リスト'!$J$5:$J$22,"アポ獲得")</f>
        <v/>
      </c>
      <c r="I6" s="14">
        <f>COUNTIFS('架電リスト'!$C$5:$C$22,$A6,'架電リスト'!$J$5:$J$22,"検討中")</f>
        <v/>
      </c>
      <c r="J6" s="14">
        <f>COUNTIFS('架電リスト'!$C$5:$C$22,$A6,'架電リスト'!$J$5:$J$22,"NG")</f>
        <v/>
      </c>
      <c r="K6" s="14">
        <f>COUNTIFS('架電リスト'!$C$5:$C$22,$A6,'架電リスト'!$J$5:$J$22,"番号不明")</f>
        <v/>
      </c>
    </row>
    <row r="7">
      <c r="A7" s="14" t="inlineStr">
        <is>
          <t>新潟市西区</t>
        </is>
      </c>
      <c r="B7" s="14">
        <f>COUNTIF('架電リスト'!$C$5:$C$22,A7)</f>
        <v/>
      </c>
      <c r="C7" s="14">
        <f>COUNTIFS('架電リスト'!$C$5:$C$22,A7,'架電リスト'!$E$5:$E$22,"&lt;&gt;")</f>
        <v/>
      </c>
      <c r="D7" s="14">
        <f>B7-COUNTIFS('架電リスト'!$C$5:$C$22,A7,'架電リスト'!$J$5:$J$22,"未架電")-COUNTIFS('架電リスト'!$C$5:$C$22,A7,'架電リスト'!$J$5:$J$22,"")</f>
        <v/>
      </c>
      <c r="E7" s="14">
        <f>COUNTIFS('架電リスト'!$C$5:$C$22,$A7,'架電リスト'!$J$5:$J$22,"不在・折返し待ち")</f>
        <v/>
      </c>
      <c r="F7" s="14">
        <f>COUNTIFS('架電リスト'!$C$5:$C$22,$A7,'架電リスト'!$J$5:$J$22,"担当者不在")</f>
        <v/>
      </c>
      <c r="G7" s="14">
        <f>COUNTIFS('架電リスト'!$C$5:$C$22,$A7,'架電リスト'!$J$5:$J$22,"資料送付")</f>
        <v/>
      </c>
      <c r="H7" s="14">
        <f>COUNTIFS('架電リスト'!$C$5:$C$22,$A7,'架電リスト'!$J$5:$J$22,"アポ獲得")</f>
        <v/>
      </c>
      <c r="I7" s="14">
        <f>COUNTIFS('架電リスト'!$C$5:$C$22,$A7,'架電リスト'!$J$5:$J$22,"検討中")</f>
        <v/>
      </c>
      <c r="J7" s="14">
        <f>COUNTIFS('架電リスト'!$C$5:$C$22,$A7,'架電リスト'!$J$5:$J$22,"NG")</f>
        <v/>
      </c>
      <c r="K7" s="14">
        <f>COUNTIFS('架電リスト'!$C$5:$C$22,$A7,'架電リスト'!$J$5:$J$22,"番号不明")</f>
        <v/>
      </c>
    </row>
    <row r="8">
      <c r="A8" s="14" t="inlineStr">
        <is>
          <t>加茂市</t>
        </is>
      </c>
      <c r="B8" s="14">
        <f>COUNTIF('架電リスト'!$C$5:$C$22,A8)</f>
        <v/>
      </c>
      <c r="C8" s="14">
        <f>COUNTIFS('架電リスト'!$C$5:$C$22,A8,'架電リスト'!$E$5:$E$22,"&lt;&gt;")</f>
        <v/>
      </c>
      <c r="D8" s="14">
        <f>B8-COUNTIFS('架電リスト'!$C$5:$C$22,A8,'架電リスト'!$J$5:$J$22,"未架電")-COUNTIFS('架電リスト'!$C$5:$C$22,A8,'架電リスト'!$J$5:$J$22,"")</f>
        <v/>
      </c>
      <c r="E8" s="14">
        <f>COUNTIFS('架電リスト'!$C$5:$C$22,$A8,'架電リスト'!$J$5:$J$22,"不在・折返し待ち")</f>
        <v/>
      </c>
      <c r="F8" s="14">
        <f>COUNTIFS('架電リスト'!$C$5:$C$22,$A8,'架電リスト'!$J$5:$J$22,"担当者不在")</f>
        <v/>
      </c>
      <c r="G8" s="14">
        <f>COUNTIFS('架電リスト'!$C$5:$C$22,$A8,'架電リスト'!$J$5:$J$22,"資料送付")</f>
        <v/>
      </c>
      <c r="H8" s="14">
        <f>COUNTIFS('架電リスト'!$C$5:$C$22,$A8,'架電リスト'!$J$5:$J$22,"アポ獲得")</f>
        <v/>
      </c>
      <c r="I8" s="14">
        <f>COUNTIFS('架電リスト'!$C$5:$C$22,$A8,'架電リスト'!$J$5:$J$22,"検討中")</f>
        <v/>
      </c>
      <c r="J8" s="14">
        <f>COUNTIFS('架電リスト'!$C$5:$C$22,$A8,'架電リスト'!$J$5:$J$22,"NG")</f>
        <v/>
      </c>
      <c r="K8" s="14">
        <f>COUNTIFS('架電リスト'!$C$5:$C$22,$A8,'架電リスト'!$J$5:$J$22,"番号不明")</f>
        <v/>
      </c>
    </row>
    <row r="9">
      <c r="A9" s="14" t="inlineStr">
        <is>
          <t>新潟市北区</t>
        </is>
      </c>
      <c r="B9" s="14">
        <f>COUNTIF('架電リスト'!$C$5:$C$22,A9)</f>
        <v/>
      </c>
      <c r="C9" s="14">
        <f>COUNTIFS('架電リスト'!$C$5:$C$22,A9,'架電リスト'!$E$5:$E$22,"&lt;&gt;")</f>
        <v/>
      </c>
      <c r="D9" s="14">
        <f>B9-COUNTIFS('架電リスト'!$C$5:$C$22,A9,'架電リスト'!$J$5:$J$22,"未架電")-COUNTIFS('架電リスト'!$C$5:$C$22,A9,'架電リスト'!$J$5:$J$22,"")</f>
        <v/>
      </c>
      <c r="E9" s="14">
        <f>COUNTIFS('架電リスト'!$C$5:$C$22,$A9,'架電リスト'!$J$5:$J$22,"不在・折返し待ち")</f>
        <v/>
      </c>
      <c r="F9" s="14">
        <f>COUNTIFS('架電リスト'!$C$5:$C$22,$A9,'架電リスト'!$J$5:$J$22,"担当者不在")</f>
        <v/>
      </c>
      <c r="G9" s="14">
        <f>COUNTIFS('架電リスト'!$C$5:$C$22,$A9,'架電リスト'!$J$5:$J$22,"資料送付")</f>
        <v/>
      </c>
      <c r="H9" s="14">
        <f>COUNTIFS('架電リスト'!$C$5:$C$22,$A9,'架電リスト'!$J$5:$J$22,"アポ獲得")</f>
        <v/>
      </c>
      <c r="I9" s="14">
        <f>COUNTIFS('架電リスト'!$C$5:$C$22,$A9,'架電リスト'!$J$5:$J$22,"検討中")</f>
        <v/>
      </c>
      <c r="J9" s="14">
        <f>COUNTIFS('架電リスト'!$C$5:$C$22,$A9,'架電リスト'!$J$5:$J$22,"NG")</f>
        <v/>
      </c>
      <c r="K9" s="14">
        <f>COUNTIFS('架電リスト'!$C$5:$C$22,$A9,'架電リスト'!$J$5:$J$22,"番号不明")</f>
        <v/>
      </c>
    </row>
    <row r="10">
      <c r="A10" s="14" t="inlineStr">
        <is>
          <t>新発田市</t>
        </is>
      </c>
      <c r="B10" s="14">
        <f>COUNTIF('架電リスト'!$C$5:$C$22,A10)</f>
        <v/>
      </c>
      <c r="C10" s="14">
        <f>COUNTIFS('架電リスト'!$C$5:$C$22,A10,'架電リスト'!$E$5:$E$22,"&lt;&gt;")</f>
        <v/>
      </c>
      <c r="D10" s="14">
        <f>B10-COUNTIFS('架電リスト'!$C$5:$C$22,A10,'架電リスト'!$J$5:$J$22,"未架電")-COUNTIFS('架電リスト'!$C$5:$C$22,A10,'架電リスト'!$J$5:$J$22,"")</f>
        <v/>
      </c>
      <c r="E10" s="14">
        <f>COUNTIFS('架電リスト'!$C$5:$C$22,$A10,'架電リスト'!$J$5:$J$22,"不在・折返し待ち")</f>
        <v/>
      </c>
      <c r="F10" s="14">
        <f>COUNTIFS('架電リスト'!$C$5:$C$22,$A10,'架電リスト'!$J$5:$J$22,"担当者不在")</f>
        <v/>
      </c>
      <c r="G10" s="14">
        <f>COUNTIFS('架電リスト'!$C$5:$C$22,$A10,'架電リスト'!$J$5:$J$22,"資料送付")</f>
        <v/>
      </c>
      <c r="H10" s="14">
        <f>COUNTIFS('架電リスト'!$C$5:$C$22,$A10,'架電リスト'!$J$5:$J$22,"アポ獲得")</f>
        <v/>
      </c>
      <c r="I10" s="14">
        <f>COUNTIFS('架電リスト'!$C$5:$C$22,$A10,'架電リスト'!$J$5:$J$22,"検討中")</f>
        <v/>
      </c>
      <c r="J10" s="14">
        <f>COUNTIFS('架電リスト'!$C$5:$C$22,$A10,'架電リスト'!$J$5:$J$22,"NG")</f>
        <v/>
      </c>
      <c r="K10" s="14">
        <f>COUNTIFS('架電リスト'!$C$5:$C$22,$A10,'架電リスト'!$J$5:$J$22,"番号不明")</f>
        <v/>
      </c>
    </row>
    <row r="11">
      <c r="A11" s="14" t="inlineStr">
        <is>
          <t>見附市</t>
        </is>
      </c>
      <c r="B11" s="14">
        <f>COUNTIF('架電リスト'!$C$5:$C$22,A11)</f>
        <v/>
      </c>
      <c r="C11" s="14">
        <f>COUNTIFS('架電リスト'!$C$5:$C$22,A11,'架電リスト'!$E$5:$E$22,"&lt;&gt;")</f>
        <v/>
      </c>
      <c r="D11" s="14">
        <f>B11-COUNTIFS('架電リスト'!$C$5:$C$22,A11,'架電リスト'!$J$5:$J$22,"未架電")-COUNTIFS('架電リスト'!$C$5:$C$22,A11,'架電リスト'!$J$5:$J$22,"")</f>
        <v/>
      </c>
      <c r="E11" s="14">
        <f>COUNTIFS('架電リスト'!$C$5:$C$22,$A11,'架電リスト'!$J$5:$J$22,"不在・折返し待ち")</f>
        <v/>
      </c>
      <c r="F11" s="14">
        <f>COUNTIFS('架電リスト'!$C$5:$C$22,$A11,'架電リスト'!$J$5:$J$22,"担当者不在")</f>
        <v/>
      </c>
      <c r="G11" s="14">
        <f>COUNTIFS('架電リスト'!$C$5:$C$22,$A11,'架電リスト'!$J$5:$J$22,"資料送付")</f>
        <v/>
      </c>
      <c r="H11" s="14">
        <f>COUNTIFS('架電リスト'!$C$5:$C$22,$A11,'架電リスト'!$J$5:$J$22,"アポ獲得")</f>
        <v/>
      </c>
      <c r="I11" s="14">
        <f>COUNTIFS('架電リスト'!$C$5:$C$22,$A11,'架電リスト'!$J$5:$J$22,"検討中")</f>
        <v/>
      </c>
      <c r="J11" s="14">
        <f>COUNTIFS('架電リスト'!$C$5:$C$22,$A11,'架電リスト'!$J$5:$J$22,"NG")</f>
        <v/>
      </c>
      <c r="K11" s="14">
        <f>COUNTIFS('架電リスト'!$C$5:$C$22,$A11,'架電リスト'!$J$5:$J$22,"番号不明")</f>
        <v/>
      </c>
    </row>
    <row r="12">
      <c r="A12" s="14" t="inlineStr">
        <is>
          <t>柏崎市</t>
        </is>
      </c>
      <c r="B12" s="14">
        <f>COUNTIF('架電リスト'!$C$5:$C$22,A12)</f>
        <v/>
      </c>
      <c r="C12" s="14">
        <f>COUNTIFS('架電リスト'!$C$5:$C$22,A12,'架電リスト'!$E$5:$E$22,"&lt;&gt;")</f>
        <v/>
      </c>
      <c r="D12" s="14">
        <f>B12-COUNTIFS('架電リスト'!$C$5:$C$22,A12,'架電リスト'!$J$5:$J$22,"未架電")-COUNTIFS('架電リスト'!$C$5:$C$22,A12,'架電リスト'!$J$5:$J$22,"")</f>
        <v/>
      </c>
      <c r="E12" s="14">
        <f>COUNTIFS('架電リスト'!$C$5:$C$22,$A12,'架電リスト'!$J$5:$J$22,"不在・折返し待ち")</f>
        <v/>
      </c>
      <c r="F12" s="14">
        <f>COUNTIFS('架電リスト'!$C$5:$C$22,$A12,'架電リスト'!$J$5:$J$22,"担当者不在")</f>
        <v/>
      </c>
      <c r="G12" s="14">
        <f>COUNTIFS('架電リスト'!$C$5:$C$22,$A12,'架電リスト'!$J$5:$J$22,"資料送付")</f>
        <v/>
      </c>
      <c r="H12" s="14">
        <f>COUNTIFS('架電リスト'!$C$5:$C$22,$A12,'架電リスト'!$J$5:$J$22,"アポ獲得")</f>
        <v/>
      </c>
      <c r="I12" s="14">
        <f>COUNTIFS('架電リスト'!$C$5:$C$22,$A12,'架電リスト'!$J$5:$J$22,"検討中")</f>
        <v/>
      </c>
      <c r="J12" s="14">
        <f>COUNTIFS('架電リスト'!$C$5:$C$22,$A12,'架電リスト'!$J$5:$J$22,"NG")</f>
        <v/>
      </c>
      <c r="K12" s="14">
        <f>COUNTIFS('架電リスト'!$C$5:$C$22,$A12,'架電リスト'!$J$5:$J$22,"番号不明")</f>
        <v/>
      </c>
    </row>
    <row r="13">
      <c r="A13" s="14" t="inlineStr">
        <is>
          <t>新潟市江南区</t>
        </is>
      </c>
      <c r="B13" s="14">
        <f>COUNTIF('架電リスト'!$C$5:$C$22,A13)</f>
        <v/>
      </c>
      <c r="C13" s="14">
        <f>COUNTIFS('架電リスト'!$C$5:$C$22,A13,'架電リスト'!$E$5:$E$22,"&lt;&gt;")</f>
        <v/>
      </c>
      <c r="D13" s="14">
        <f>B13-COUNTIFS('架電リスト'!$C$5:$C$22,A13,'架電リスト'!$J$5:$J$22,"未架電")-COUNTIFS('架電リスト'!$C$5:$C$22,A13,'架電リスト'!$J$5:$J$22,"")</f>
        <v/>
      </c>
      <c r="E13" s="14">
        <f>COUNTIFS('架電リスト'!$C$5:$C$22,$A13,'架電リスト'!$J$5:$J$22,"不在・折返し待ち")</f>
        <v/>
      </c>
      <c r="F13" s="14">
        <f>COUNTIFS('架電リスト'!$C$5:$C$22,$A13,'架電リスト'!$J$5:$J$22,"担当者不在")</f>
        <v/>
      </c>
      <c r="G13" s="14">
        <f>COUNTIFS('架電リスト'!$C$5:$C$22,$A13,'架電リスト'!$J$5:$J$22,"資料送付")</f>
        <v/>
      </c>
      <c r="H13" s="14">
        <f>COUNTIFS('架電リスト'!$C$5:$C$22,$A13,'架電リスト'!$J$5:$J$22,"アポ獲得")</f>
        <v/>
      </c>
      <c r="I13" s="14">
        <f>COUNTIFS('架電リスト'!$C$5:$C$22,$A13,'架電リスト'!$J$5:$J$22,"検討中")</f>
        <v/>
      </c>
      <c r="J13" s="14">
        <f>COUNTIFS('架電リスト'!$C$5:$C$22,$A13,'架電リスト'!$J$5:$J$22,"NG")</f>
        <v/>
      </c>
      <c r="K13" s="14">
        <f>COUNTIFS('架電リスト'!$C$5:$C$22,$A13,'架電リスト'!$J$5:$J$22,"番号不明")</f>
        <v/>
      </c>
    </row>
    <row r="14">
      <c r="A14" s="15" t="inlineStr">
        <is>
          <t>合計</t>
        </is>
      </c>
      <c r="B14" s="15">
        <f>SUM(B4:B13)</f>
        <v/>
      </c>
      <c r="C14" s="15">
        <f>SUM(C4:C13)</f>
        <v/>
      </c>
      <c r="D14" s="15">
        <f>SUM(D4:D13)</f>
        <v/>
      </c>
      <c r="E14" s="15">
        <f>SUM(E4:E13)</f>
        <v/>
      </c>
      <c r="F14" s="15">
        <f>SUM(F4:F13)</f>
        <v/>
      </c>
      <c r="G14" s="15">
        <f>SUM(G4:G13)</f>
        <v/>
      </c>
      <c r="H14" s="15">
        <f>SUM(H4:H13)</f>
        <v/>
      </c>
      <c r="I14" s="15">
        <f>SUM(I4:I13)</f>
        <v/>
      </c>
      <c r="J14" s="15">
        <f>SUM(J4:J13)</f>
        <v/>
      </c>
      <c r="K14" s="15">
        <f>SUM(K4:K13)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・出典：ご提供いただいた学校ネットの検索結果（私立高校・新潟県、18校）の貼り付けデータ。並び順は都道府県ごとに元データの掲載順です。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2026-10-13T05:10:00Z</dcterms:created>
  <dcterms:modified xsi:type="dcterms:W3CDTF">2026-10-13T05:10:00Z</dcterms:modified>
</cp:coreProperties>
</file>