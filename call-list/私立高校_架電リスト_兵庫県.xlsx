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'架電リスト'!$A$4:$O$58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617.html" TargetMode="External" Id="rId1" /><Relationship Type="http://schemas.openxmlformats.org/officeDocument/2006/relationships/hyperlink" Target="https://www.gakkou.net/kou/view/index_304392.html" TargetMode="External" Id="rId2" /><Relationship Type="http://schemas.openxmlformats.org/officeDocument/2006/relationships/hyperlink" Target="https://www.gakkou.net/kou/view/index_304420.html" TargetMode="External" Id="rId3" /><Relationship Type="http://schemas.openxmlformats.org/officeDocument/2006/relationships/hyperlink" Target="https://www.gakkou.net/kou/view/index_304378.html" TargetMode="External" Id="rId4" /><Relationship Type="http://schemas.openxmlformats.org/officeDocument/2006/relationships/hyperlink" Target="https://www.gakkou.net/kou/view/index_304582.html" TargetMode="External" Id="rId5" /><Relationship Type="http://schemas.openxmlformats.org/officeDocument/2006/relationships/hyperlink" Target="https://www.gakkou.net/kou/view/index_304579.html" TargetMode="External" Id="rId6" /><Relationship Type="http://schemas.openxmlformats.org/officeDocument/2006/relationships/hyperlink" Target="https://www.gakkou.net/kou/view/index_304450.html" TargetMode="External" Id="rId7" /><Relationship Type="http://schemas.openxmlformats.org/officeDocument/2006/relationships/hyperlink" Target="https://www.gakkou.net/kou/view/index_304484.html" TargetMode="External" Id="rId8" /><Relationship Type="http://schemas.openxmlformats.org/officeDocument/2006/relationships/hyperlink" Target="https://www.gakkou.net/kou/view/index_304385.html" TargetMode="External" Id="rId9" /><Relationship Type="http://schemas.openxmlformats.org/officeDocument/2006/relationships/hyperlink" Target="https://www.gakkou.net/kou/view/index_304507.html" TargetMode="External" Id="rId10" /><Relationship Type="http://schemas.openxmlformats.org/officeDocument/2006/relationships/hyperlink" Target="https://www.gakkou.net/kou/view/index_304453.html" TargetMode="External" Id="rId11" /><Relationship Type="http://schemas.openxmlformats.org/officeDocument/2006/relationships/hyperlink" Target="https://www.gakkou.net/kou/view/index_304424.html" TargetMode="External" Id="rId12" /><Relationship Type="http://schemas.openxmlformats.org/officeDocument/2006/relationships/hyperlink" Target="https://www.gakkou.net/kou/view/index_304411.html" TargetMode="External" Id="rId13" /><Relationship Type="http://schemas.openxmlformats.org/officeDocument/2006/relationships/hyperlink" Target="https://www.gakkou.net/kou/view/index_304410.html" TargetMode="External" Id="rId14" /><Relationship Type="http://schemas.openxmlformats.org/officeDocument/2006/relationships/hyperlink" Target="https://www.gakkou.net/kou/view/index_304363.html" TargetMode="External" Id="rId15" /><Relationship Type="http://schemas.openxmlformats.org/officeDocument/2006/relationships/hyperlink" Target="https://www.gakkou.net/kou/view/index_304352.html" TargetMode="External" Id="rId16" /><Relationship Type="http://schemas.openxmlformats.org/officeDocument/2006/relationships/hyperlink" Target="https://www.gakkou.net/kou/view/index_304383.html" TargetMode="External" Id="rId17" /><Relationship Type="http://schemas.openxmlformats.org/officeDocument/2006/relationships/hyperlink" Target="https://www.gakkou.net/kou/view/index_304391.html" TargetMode="External" Id="rId18" /><Relationship Type="http://schemas.openxmlformats.org/officeDocument/2006/relationships/hyperlink" Target="https://www.gakkou.net/kou/view/index_304448.html" TargetMode="External" Id="rId19" /><Relationship Type="http://schemas.openxmlformats.org/officeDocument/2006/relationships/hyperlink" Target="https://www.gakkou.net/kou/view/index_304384.html" TargetMode="External" Id="rId20" /><Relationship Type="http://schemas.openxmlformats.org/officeDocument/2006/relationships/hyperlink" Target="https://www.gakkou.net/kou/view/index_304351.html" TargetMode="External" Id="rId21" /><Relationship Type="http://schemas.openxmlformats.org/officeDocument/2006/relationships/hyperlink" Target="https://www.gakkou.net/kou/view/index_304375.html" TargetMode="External" Id="rId22" /><Relationship Type="http://schemas.openxmlformats.org/officeDocument/2006/relationships/hyperlink" Target="https://www.gakkou.net/kou/view/index_304369.html" TargetMode="External" Id="rId23" /><Relationship Type="http://schemas.openxmlformats.org/officeDocument/2006/relationships/hyperlink" Target="https://www.gakkou.net/kou/view/index_304347.html" TargetMode="External" Id="rId24" /><Relationship Type="http://schemas.openxmlformats.org/officeDocument/2006/relationships/hyperlink" Target="https://www.gakkou.net/kou/view/index_304349.html" TargetMode="External" Id="rId25" /><Relationship Type="http://schemas.openxmlformats.org/officeDocument/2006/relationships/hyperlink" Target="https://www.gakkou.net/kou/view/index_304445.html" TargetMode="External" Id="rId26" /><Relationship Type="http://schemas.openxmlformats.org/officeDocument/2006/relationships/hyperlink" Target="https://www.gakkou.net/kou/view/index_304467.html" TargetMode="External" Id="rId27" /><Relationship Type="http://schemas.openxmlformats.org/officeDocument/2006/relationships/hyperlink" Target="https://www.gakkou.net/kou/view/index_304368.html" TargetMode="External" Id="rId28" /><Relationship Type="http://schemas.openxmlformats.org/officeDocument/2006/relationships/hyperlink" Target="https://www.gakkou.net/kou/view/index_304490.html" TargetMode="External" Id="rId29" /><Relationship Type="http://schemas.openxmlformats.org/officeDocument/2006/relationships/hyperlink" Target="https://www.gakkou.net/kou/view/index_304487.html" TargetMode="External" Id="rId30" /><Relationship Type="http://schemas.openxmlformats.org/officeDocument/2006/relationships/hyperlink" Target="https://www.gakkou.net/kou/view/index_304443.html" TargetMode="External" Id="rId31" /><Relationship Type="http://schemas.openxmlformats.org/officeDocument/2006/relationships/hyperlink" Target="https://www.gakkou.net/kou/view/index_304409.html" TargetMode="External" Id="rId32" /><Relationship Type="http://schemas.openxmlformats.org/officeDocument/2006/relationships/hyperlink" Target="https://www.gakkou.net/kou/view/index_304346.html" TargetMode="External" Id="rId33" /><Relationship Type="http://schemas.openxmlformats.org/officeDocument/2006/relationships/hyperlink" Target="https://www.gakkou.net/kou/view/index_304406.html" TargetMode="External" Id="rId34" /><Relationship Type="http://schemas.openxmlformats.org/officeDocument/2006/relationships/hyperlink" Target="https://www.gakkou.net/kou/view/index_304508.html" TargetMode="External" Id="rId35" /><Relationship Type="http://schemas.openxmlformats.org/officeDocument/2006/relationships/hyperlink" Target="https://www.gakkou.net/kou/view/index_304380.html" TargetMode="External" Id="rId36" /><Relationship Type="http://schemas.openxmlformats.org/officeDocument/2006/relationships/hyperlink" Target="https://www.gakkou.net/kou/view/index_306785.html" TargetMode="External" Id="rId37" /><Relationship Type="http://schemas.openxmlformats.org/officeDocument/2006/relationships/hyperlink" Target="https://www.gakkou.net/kou/view/index_304396.html" TargetMode="External" Id="rId38" /><Relationship Type="http://schemas.openxmlformats.org/officeDocument/2006/relationships/hyperlink" Target="https://www.gakkou.net/kou/view/index_304435.html" TargetMode="External" Id="rId39" /><Relationship Type="http://schemas.openxmlformats.org/officeDocument/2006/relationships/hyperlink" Target="https://www.gakkou.net/kou/view/index_304379.html" TargetMode="External" Id="rId40" /><Relationship Type="http://schemas.openxmlformats.org/officeDocument/2006/relationships/hyperlink" Target="https://www.gakkou.net/kou/view/index_304360.html" TargetMode="External" Id="rId41" /><Relationship Type="http://schemas.openxmlformats.org/officeDocument/2006/relationships/hyperlink" Target="https://www.gakkou.net/kou/view/index_306594.html" TargetMode="External" Id="rId42" /><Relationship Type="http://schemas.openxmlformats.org/officeDocument/2006/relationships/hyperlink" Target="https://www.gakkou.net/kou/view/index_304523.html" TargetMode="External" Id="rId43" /><Relationship Type="http://schemas.openxmlformats.org/officeDocument/2006/relationships/hyperlink" Target="https://www.gakkou.net/kou/view/index_304418.html" TargetMode="External" Id="rId44" /><Relationship Type="http://schemas.openxmlformats.org/officeDocument/2006/relationships/hyperlink" Target="https://www.gakkou.net/kou/view/index_304446.html" TargetMode="External" Id="rId45" /><Relationship Type="http://schemas.openxmlformats.org/officeDocument/2006/relationships/hyperlink" Target="https://www.gakkou.net/kou/view/index_304564.html" TargetMode="External" Id="rId46" /><Relationship Type="http://schemas.openxmlformats.org/officeDocument/2006/relationships/hyperlink" Target="https://www.gakkou.net/kou/view/index_304576.html" TargetMode="External" Id="rId47" /><Relationship Type="http://schemas.openxmlformats.org/officeDocument/2006/relationships/hyperlink" Target="https://www.gakkou.net/kou/view/index_304468.html" TargetMode="External" Id="rId48" /><Relationship Type="http://schemas.openxmlformats.org/officeDocument/2006/relationships/hyperlink" Target="https://www.gakkou.net/kou/view/index_304515.html" TargetMode="External" Id="rId49" /><Relationship Type="http://schemas.openxmlformats.org/officeDocument/2006/relationships/hyperlink" Target="https://www.gakkou.net/kou/view/index_304382.html" TargetMode="External" Id="rId50" /><Relationship Type="http://schemas.openxmlformats.org/officeDocument/2006/relationships/hyperlink" Target="https://www.gakkou.net/kou/view/index_304452.html" TargetMode="External" Id="rId51" /><Relationship Type="http://schemas.openxmlformats.org/officeDocument/2006/relationships/hyperlink" Target="https://www.gakkou.net/kou/view/index_304455.html" TargetMode="External" Id="rId52" /><Relationship Type="http://schemas.openxmlformats.org/officeDocument/2006/relationships/hyperlink" Target="https://www.gakkou.net/kou/view/index_304439.html" TargetMode="External" Id="rId53" /><Relationship Type="http://schemas.openxmlformats.org/officeDocument/2006/relationships/hyperlink" Target="https://www.gakkou.net/kou/view/index_304405.html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架電リスト（兵庫県／54校）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兵庫県</t>
        </is>
      </c>
      <c r="C5" s="5" t="inlineStr">
        <is>
          <t>相生市</t>
        </is>
      </c>
      <c r="D5" s="5" t="inlineStr">
        <is>
          <t>相生学院高等学校</t>
        </is>
      </c>
      <c r="E5" s="6" t="inlineStr">
        <is>
          <t>0791-24-0100</t>
        </is>
      </c>
      <c r="F5" s="7" t="inlineStr">
        <is>
          <t>中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通信制・相生市の本校。公式未確認、複数サイトで一致。学習センターは別番号</t>
        </is>
      </c>
      <c r="N5" s="11" t="inlineStr">
        <is>
          <t>https://www.mapion.co.jp/phonebook/M11004/28208/ILSP0000041756_ipclm/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兵庫県</t>
        </is>
      </c>
      <c r="C6" s="5" t="inlineStr">
        <is>
          <t>神戸市垂水区</t>
        </is>
      </c>
      <c r="D6" s="5" t="inlineStr">
        <is>
          <t>愛徳学園高等学校</t>
        </is>
      </c>
      <c r="E6" s="6" t="inlineStr">
        <is>
          <t>078-708-5353</t>
        </is>
      </c>
      <c r="F6" s="13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中高共通番号</t>
        </is>
      </c>
      <c r="N6" s="11" t="inlineStr">
        <is>
          <t>https://www.aitokugakuen.ed.jp/contact</t>
        </is>
      </c>
      <c r="O6" s="12" t="inlineStr">
        <is>
          <t>開く</t>
        </is>
      </c>
    </row>
    <row r="7">
      <c r="A7" s="4" t="n">
        <v>3</v>
      </c>
      <c r="B7" s="5" t="inlineStr">
        <is>
          <t>兵庫県</t>
        </is>
      </c>
      <c r="C7" s="5" t="inlineStr">
        <is>
          <t>芦屋市</t>
        </is>
      </c>
      <c r="D7" s="5" t="inlineStr">
        <is>
          <t>芦屋学園高等学校</t>
        </is>
      </c>
      <c r="E7" s="6" t="inlineStr">
        <is>
          <t>0797-31-0666</t>
        </is>
      </c>
      <c r="F7" s="13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代表番号。入試対策室フリーダイヤル0120-898-075</t>
        </is>
      </c>
      <c r="N7" s="11" t="inlineStr">
        <is>
          <t>https://www.ashiya.ed.jp/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兵庫県</t>
        </is>
      </c>
      <c r="C8" s="5" t="inlineStr">
        <is>
          <t>神戸市長田区</t>
        </is>
      </c>
      <c r="D8" s="5" t="inlineStr">
        <is>
          <t>育英高等学校</t>
        </is>
      </c>
      <c r="E8" s="6" t="inlineStr">
        <is>
          <t>078-611-6001</t>
        </is>
      </c>
      <c r="F8" s="13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n"/>
      <c r="N8" s="11" t="inlineStr">
        <is>
          <t>https://www.ikuei.ac.jp/access/</t>
        </is>
      </c>
      <c r="O8" s="12" t="inlineStr">
        <is>
          <t>開く</t>
        </is>
      </c>
    </row>
    <row r="9">
      <c r="A9" s="4" t="n">
        <v>5</v>
      </c>
      <c r="B9" s="5" t="inlineStr">
        <is>
          <t>兵庫県</t>
        </is>
      </c>
      <c r="C9" s="5" t="inlineStr">
        <is>
          <t>朝来市</t>
        </is>
      </c>
      <c r="D9" s="5" t="inlineStr">
        <is>
          <t>生野学園高等学校</t>
        </is>
      </c>
      <c r="E9" s="6" t="inlineStr">
        <is>
          <t>079-679-3451</t>
        </is>
      </c>
      <c r="F9" s="13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https://www.ikuno.ed.jp/highschool/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兵庫県</t>
        </is>
      </c>
      <c r="C10" s="5" t="inlineStr">
        <is>
          <t>市川町</t>
        </is>
      </c>
      <c r="D10" s="5" t="inlineStr">
        <is>
          <t>市川高等学校（兵庫県）</t>
        </is>
      </c>
      <c r="E10" s="6" t="inlineStr">
        <is>
          <t>0790-26-0751</t>
        </is>
      </c>
      <c r="F10" s="13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代表番号</t>
        </is>
      </c>
      <c r="N10" s="11" t="inlineStr">
        <is>
          <t>https://ichikawa.ed.jp/other/access/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兵庫県</t>
        </is>
      </c>
      <c r="C11" s="5" t="inlineStr">
        <is>
          <t>西宮市</t>
        </is>
      </c>
      <c r="D11" s="5" t="inlineStr">
        <is>
          <t>関西学院高等部</t>
        </is>
      </c>
      <c r="E11" s="6" t="inlineStr">
        <is>
          <t>0798-51-0975</t>
        </is>
      </c>
      <c r="F11" s="13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高等部事務室</t>
        </is>
      </c>
      <c r="N11" s="11" t="inlineStr">
        <is>
          <t>https://sh.kwansei.ac.jp/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兵庫県</t>
        </is>
      </c>
      <c r="C12" s="5" t="inlineStr">
        <is>
          <t>豊岡市</t>
        </is>
      </c>
      <c r="D12" s="5" t="inlineStr">
        <is>
          <t>近畿大学附属豊岡高等学校</t>
        </is>
      </c>
      <c r="E12" s="6" t="inlineStr">
        <is>
          <t>0796-22-4305</t>
        </is>
      </c>
      <c r="F12" s="13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中高共通番号</t>
        </is>
      </c>
      <c r="N12" s="11" t="inlineStr">
        <is>
          <t>https://www.kindai-toyooka.ed.jp/contact/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兵庫県</t>
        </is>
      </c>
      <c r="C13" s="5" t="inlineStr">
        <is>
          <t>神戸市須磨区</t>
        </is>
      </c>
      <c r="D13" s="5" t="inlineStr">
        <is>
          <t>啓明学院高等学校</t>
        </is>
      </c>
      <c r="E13" s="6" t="inlineStr">
        <is>
          <t>078-741-1501</t>
        </is>
      </c>
      <c r="F13" s="13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1サイトのみ078-741-1506と記載（誤記とみられる）</t>
        </is>
      </c>
      <c r="N13" s="11" t="inlineStr">
        <is>
          <t>https://www.keimei.ed.jp/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兵庫県</t>
        </is>
      </c>
      <c r="C14" s="5" t="inlineStr">
        <is>
          <t>姫路市</t>
        </is>
      </c>
      <c r="D14" s="5" t="inlineStr">
        <is>
          <t>賢明女子学院高等学校</t>
        </is>
      </c>
      <c r="E14" s="6" t="inlineStr">
        <is>
          <t>079-223-8456</t>
        </is>
      </c>
      <c r="F14" s="13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079-223-8458はFAX</t>
        </is>
      </c>
      <c r="N14" s="11" t="inlineStr">
        <is>
          <t>https://www.himejikenmei.ac.jp/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兵庫県</t>
        </is>
      </c>
      <c r="C15" s="5" t="inlineStr">
        <is>
          <t>西宮市</t>
        </is>
      </c>
      <c r="D15" s="5" t="inlineStr">
        <is>
          <t>甲子園学院高等学校</t>
        </is>
      </c>
      <c r="E15" s="6" t="inlineStr">
        <is>
          <t>0798-65-6100</t>
        </is>
      </c>
      <c r="F15" s="13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中高直通。法人本部は0798-67-2100</t>
        </is>
      </c>
      <c r="N15" s="11" t="inlineStr">
        <is>
          <t>http://www.koshiengakuin-h.ed.jp/about_us/access.html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兵庫県</t>
        </is>
      </c>
      <c r="C16" s="5" t="inlineStr">
        <is>
          <t>芦屋市</t>
        </is>
      </c>
      <c r="D16" s="5" t="inlineStr">
        <is>
          <t>甲南高等学校</t>
        </is>
      </c>
      <c r="E16" s="6" t="inlineStr">
        <is>
          <t>0797-31-0551</t>
        </is>
      </c>
      <c r="F16" s="13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中高共通番号</t>
        </is>
      </c>
      <c r="N16" s="11" t="inlineStr">
        <is>
          <t>https://www.konan.ed.jp/information/access.html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兵庫県</t>
        </is>
      </c>
      <c r="C17" s="5" t="inlineStr">
        <is>
          <t>神戸市東灘区</t>
        </is>
      </c>
      <c r="D17" s="5" t="inlineStr">
        <is>
          <t>甲南女子高等学校</t>
        </is>
      </c>
      <c r="E17" s="6" t="inlineStr">
        <is>
          <t>078-411-2531</t>
        </is>
      </c>
      <c r="F17" s="13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中高共通番号</t>
        </is>
      </c>
      <c r="N17" s="11" t="inlineStr">
        <is>
          <t>https://gakuen.konan-wu.ac.jp/contact/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兵庫県</t>
        </is>
      </c>
      <c r="C18" s="5" t="inlineStr">
        <is>
          <t>神戸市灘区</t>
        </is>
      </c>
      <c r="D18" s="5" t="inlineStr">
        <is>
          <t>神戸海星女子学院高等学校</t>
        </is>
      </c>
      <c r="E18" s="6" t="inlineStr">
        <is>
          <t>078-801-5601</t>
        </is>
      </c>
      <c r="F18" s="13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代表番号</t>
        </is>
      </c>
      <c r="N18" s="11" t="inlineStr">
        <is>
          <t>https://www.kobekaisei.ed.jp/jr-high/contact/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兵庫県</t>
        </is>
      </c>
      <c r="C19" s="5" t="inlineStr">
        <is>
          <t>神戸市中央区</t>
        </is>
      </c>
      <c r="D19" s="5" t="inlineStr">
        <is>
          <t>神戸学院大学附属高等学校</t>
        </is>
      </c>
      <c r="E19" s="6" t="inlineStr">
        <is>
          <t>078-302-2016</t>
        </is>
      </c>
      <c r="F19" s="13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2016年に中央区ポートアイランドへ移転済み（旧番号078-511-6004）</t>
        </is>
      </c>
      <c r="N19" s="11" t="inlineStr">
        <is>
          <t>https://www.kobegakuin-f.ed.jp/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兵庫県</t>
        </is>
      </c>
      <c r="C20" s="5" t="inlineStr">
        <is>
          <t>神戸市北区</t>
        </is>
      </c>
      <c r="D20" s="5" t="inlineStr">
        <is>
          <t>神戸弘陵学園高等学校</t>
        </is>
      </c>
      <c r="E20" s="6" t="inlineStr">
        <is>
          <t>078-593-3535</t>
        </is>
      </c>
      <c r="F20" s="13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n"/>
      <c r="N20" s="11" t="inlineStr">
        <is>
          <t>https://www.kobe-koryo.com/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兵庫県</t>
        </is>
      </c>
      <c r="C21" s="5" t="inlineStr">
        <is>
          <t>神戸市須磨区</t>
        </is>
      </c>
      <c r="D21" s="5" t="inlineStr">
        <is>
          <t>神戸国際高等学校</t>
        </is>
      </c>
      <c r="E21" s="6" t="inlineStr">
        <is>
          <t>078-731-4665</t>
        </is>
      </c>
      <c r="F21" s="13" t="inlineStr">
        <is>
          <t>高</t>
        </is>
      </c>
      <c r="G21" s="5" t="inlineStr">
        <is>
          <t>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n"/>
      <c r="N21" s="11" t="inlineStr">
        <is>
          <t>https://kis.ed.jp/06info/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兵庫県</t>
        </is>
      </c>
      <c r="C22" s="5" t="inlineStr">
        <is>
          <t>神戸市垂水区</t>
        </is>
      </c>
      <c r="D22" s="5" t="inlineStr">
        <is>
          <t>神戸国際大学附属高等学校</t>
        </is>
      </c>
      <c r="E22" s="6" t="inlineStr">
        <is>
          <t>078-707-1001</t>
        </is>
      </c>
      <c r="F22" s="13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代表番号</t>
        </is>
      </c>
      <c r="N22" s="11" t="inlineStr">
        <is>
          <t>https://www.kobe-michael.ac.jp/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兵庫県</t>
        </is>
      </c>
      <c r="C23" s="5" t="inlineStr">
        <is>
          <t>西宮市</t>
        </is>
      </c>
      <c r="D23" s="5" t="inlineStr">
        <is>
          <t>神戸女学院高等学部</t>
        </is>
      </c>
      <c r="E23" s="6" t="inlineStr">
        <is>
          <t>0798-51-8570</t>
        </is>
      </c>
      <c r="F23" s="13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中高共通の事務室代表（大学とは別番号）</t>
        </is>
      </c>
      <c r="N23" s="11" t="inlineStr">
        <is>
          <t>https://www.kobejogakuin-h.ed.jp/info/toiawase.html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兵庫県</t>
        </is>
      </c>
      <c r="C24" s="5" t="inlineStr">
        <is>
          <t>神戸市須磨区</t>
        </is>
      </c>
      <c r="D24" s="5" t="inlineStr">
        <is>
          <t>神戸星城高等学校</t>
        </is>
      </c>
      <c r="E24" s="6" t="inlineStr">
        <is>
          <t>078-741-1860</t>
        </is>
      </c>
      <c r="F24" s="13" t="inlineStr">
        <is>
          <t>高</t>
        </is>
      </c>
      <c r="G24" s="5" t="inlineStr">
        <is>
          <t>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n"/>
      <c r="N24" s="11" t="inlineStr">
        <is>
          <t>https://www.seijoh.ac.jp/06_01contact.html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兵庫県</t>
        </is>
      </c>
      <c r="C25" s="5" t="inlineStr">
        <is>
          <t>神戸市中央区</t>
        </is>
      </c>
      <c r="D25" s="5" t="inlineStr">
        <is>
          <t>神戸第一高等学校</t>
        </is>
      </c>
      <c r="E25" s="6" t="inlineStr">
        <is>
          <t>078-242-4811</t>
        </is>
      </c>
      <c r="F25" s="13" t="inlineStr">
        <is>
          <t>高</t>
        </is>
      </c>
      <c r="G25" s="5" t="inlineStr">
        <is>
          <t>普通科・専門学科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n"/>
      <c r="N25" s="11" t="inlineStr">
        <is>
          <t>https://kobedai1.ed.jp/school-guide/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兵庫県</t>
        </is>
      </c>
      <c r="C26" s="5" t="inlineStr">
        <is>
          <t>神戸市長田区</t>
        </is>
      </c>
      <c r="D26" s="5" t="inlineStr">
        <is>
          <t>神戸常盤女子高等学校</t>
        </is>
      </c>
      <c r="E26" s="6" t="inlineStr">
        <is>
          <t>078-691-0561</t>
        </is>
      </c>
      <c r="F26" s="13" t="inlineStr">
        <is>
          <t>高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n"/>
      <c r="N26" s="11" t="inlineStr">
        <is>
          <t>https://www.kobe-tokiwa.ed.jp/about/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兵庫県</t>
        </is>
      </c>
      <c r="C27" s="5" t="inlineStr">
        <is>
          <t>神戸市長田区</t>
        </is>
      </c>
      <c r="D27" s="5" t="inlineStr">
        <is>
          <t>神戸野田高等学校</t>
        </is>
      </c>
      <c r="E27" s="6" t="inlineStr">
        <is>
          <t>078-731-8015</t>
        </is>
      </c>
      <c r="F27" s="13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n"/>
      <c r="N27" s="11" t="inlineStr">
        <is>
          <t>https://kobenoda-h.ed.jp/jh-access/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兵庫県</t>
        </is>
      </c>
      <c r="C28" s="5" t="inlineStr">
        <is>
          <t>神戸市中央区</t>
        </is>
      </c>
      <c r="D28" s="5" t="inlineStr">
        <is>
          <t>神戸山手グローバル高等学校</t>
        </is>
      </c>
      <c r="E28" s="6" t="inlineStr">
        <is>
          <t>078-341-2133</t>
        </is>
      </c>
      <c r="F28" s="13" t="inlineStr">
        <is>
          <t>高</t>
        </is>
      </c>
      <c r="G28" s="5" t="inlineStr">
        <is>
          <t>普通科・専門学科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旧・神戸山手女子。2025年4月から共学化。中高共通番号</t>
        </is>
      </c>
      <c r="N28" s="11" t="inlineStr">
        <is>
          <t>https://www.kobeyamate.ed.jp/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兵庫県</t>
        </is>
      </c>
      <c r="C29" s="5" t="inlineStr">
        <is>
          <t>神戸市中央区</t>
        </is>
      </c>
      <c r="D29" s="5" t="inlineStr">
        <is>
          <t>神戸龍谷高等学校</t>
        </is>
      </c>
      <c r="E29" s="6" t="inlineStr">
        <is>
          <t>078-241-0076</t>
        </is>
      </c>
      <c r="F29" s="13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事務室の番号</t>
        </is>
      </c>
      <c r="N29" s="11" t="inlineStr">
        <is>
          <t>https://www.koberyukoku.ed.jp/graduate/certificate/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兵庫県</t>
        </is>
      </c>
      <c r="C30" s="5" t="inlineStr">
        <is>
          <t>西宮市</t>
        </is>
      </c>
      <c r="D30" s="5" t="inlineStr">
        <is>
          <t>甲陽学院高等学校</t>
        </is>
      </c>
      <c r="E30" s="6" t="inlineStr">
        <is>
          <t>0798-73-3011</t>
        </is>
      </c>
      <c r="F30" s="13" t="inlineStr">
        <is>
          <t>高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中学校は別キャンパス（0798-33-5012）</t>
        </is>
      </c>
      <c r="N30" s="11" t="inlineStr">
        <is>
          <t>https://www.koyo.ac.jp/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兵庫県</t>
        </is>
      </c>
      <c r="C31" s="5" t="inlineStr">
        <is>
          <t>宝塚市</t>
        </is>
      </c>
      <c r="D31" s="5" t="inlineStr">
        <is>
          <t>小林聖心女子学院高等学校</t>
        </is>
      </c>
      <c r="E31" s="6" t="inlineStr">
        <is>
          <t>0797-71-7321</t>
        </is>
      </c>
      <c r="F31" s="13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小中高の代表番号</t>
        </is>
      </c>
      <c r="N31" s="11" t="inlineStr">
        <is>
          <t>https://www.oby-sacred-heart.ed.jp/contact/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兵庫県</t>
        </is>
      </c>
      <c r="C32" s="5" t="inlineStr">
        <is>
          <t>神戸市長田区</t>
        </is>
      </c>
      <c r="D32" s="5" t="inlineStr">
        <is>
          <t>彩星工科高等学校</t>
        </is>
      </c>
      <c r="E32" s="6" t="inlineStr">
        <is>
          <t>078-575-0230</t>
        </is>
      </c>
      <c r="F32" s="13" t="inlineStr">
        <is>
          <t>高</t>
        </is>
      </c>
      <c r="G32" s="5" t="inlineStr">
        <is>
          <t>普通科・専門学科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n"/>
      <c r="N32" s="11" t="inlineStr">
        <is>
          <t>https://saiseikoka.ed.jp/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兵庫県</t>
        </is>
      </c>
      <c r="C33" s="5" t="inlineStr">
        <is>
          <t>三田市</t>
        </is>
      </c>
      <c r="D33" s="5" t="inlineStr">
        <is>
          <t>三田学園高等学校</t>
        </is>
      </c>
      <c r="E33" s="6" t="inlineStr">
        <is>
          <t>079-564-2291</t>
        </is>
      </c>
      <c r="F33" s="13" t="inlineStr">
        <is>
          <t>高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n"/>
      <c r="N33" s="11" t="inlineStr">
        <is>
          <t>https://www.sandagakuen.ed.jp/access/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兵庫県</t>
        </is>
      </c>
      <c r="C34" s="5" t="inlineStr">
        <is>
          <t>三田市</t>
        </is>
      </c>
      <c r="D34" s="5" t="inlineStr">
        <is>
          <t>三田松聖高等学校</t>
        </is>
      </c>
      <c r="E34" s="6" t="inlineStr">
        <is>
          <t>079-568-1001</t>
        </is>
      </c>
      <c r="F34" s="13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n"/>
      <c r="N34" s="11" t="inlineStr">
        <is>
          <t>https://www.sandashosei.net/news/procedures/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兵庫県</t>
        </is>
      </c>
      <c r="C35" s="5" t="inlineStr">
        <is>
          <t>神戸市兵庫区</t>
        </is>
      </c>
      <c r="D35" s="5" t="inlineStr">
        <is>
          <t>夙川高等学校</t>
        </is>
      </c>
      <c r="E35" s="6" t="inlineStr">
        <is>
          <t>078-578-7226</t>
        </is>
      </c>
      <c r="F35" s="13" t="inlineStr">
        <is>
          <t>高</t>
        </is>
      </c>
      <c r="G35" s="5" t="inlineStr">
        <is>
          <t>普通科・専門学科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旧・夙川学院。2019年から須磨学園が運営、神戸市兵庫区に移転（西宮の旧番号0798-74-5061とは別）</t>
        </is>
      </c>
      <c r="N35" s="11" t="inlineStr">
        <is>
          <t>https://www.sumashuku.jp/contact/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兵庫県</t>
        </is>
      </c>
      <c r="C36" s="5" t="inlineStr">
        <is>
          <t>神戸市灘区</t>
        </is>
      </c>
      <c r="D36" s="5" t="inlineStr">
        <is>
          <t>松蔭高等学校（兵庫県）</t>
        </is>
      </c>
      <c r="E36" s="6" t="inlineStr">
        <is>
          <t>078-861-1105</t>
        </is>
      </c>
      <c r="F36" s="13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n"/>
      <c r="N36" s="11" t="inlineStr">
        <is>
          <t>https://shoin-jhs.ac.jp/access/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兵庫県</t>
        </is>
      </c>
      <c r="C37" s="5" t="inlineStr">
        <is>
          <t>神戸市中央区</t>
        </is>
      </c>
      <c r="D37" s="5" t="inlineStr">
        <is>
          <t>神港学園高等学校</t>
        </is>
      </c>
      <c r="E37" s="6" t="inlineStr">
        <is>
          <t>078-241-3135</t>
        </is>
      </c>
      <c r="F37" s="13" t="inlineStr">
        <is>
          <t>高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「神港学園神港高等学校」表記もあり</t>
        </is>
      </c>
      <c r="N37" s="11" t="inlineStr">
        <is>
          <t>https://shinko.ed.jp/contacts/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兵庫県</t>
        </is>
      </c>
      <c r="C38" s="5" t="inlineStr">
        <is>
          <t>神戸市灘区</t>
        </is>
      </c>
      <c r="D38" s="5" t="inlineStr">
        <is>
          <t>親和女子高等学校</t>
        </is>
      </c>
      <c r="E38" s="6" t="inlineStr">
        <is>
          <t>078-854-3800</t>
        </is>
      </c>
      <c r="F38" s="13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n"/>
      <c r="N38" s="11" t="inlineStr">
        <is>
          <t>https://www.kobe-shinwa.ed.jp/access/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兵庫県</t>
        </is>
      </c>
      <c r="C39" s="5" t="inlineStr">
        <is>
          <t>姫路市</t>
        </is>
      </c>
      <c r="D39" s="5" t="inlineStr">
        <is>
          <t>淳心学院高等学校</t>
        </is>
      </c>
      <c r="E39" s="6" t="inlineStr">
        <is>
          <t>079-222-3581</t>
        </is>
      </c>
      <c r="F39" s="13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n"/>
      <c r="N39" s="11" t="inlineStr">
        <is>
          <t>https://www.junshin.ed.jp/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兵庫県</t>
        </is>
      </c>
      <c r="C40" s="5" t="inlineStr">
        <is>
          <t>神戸市須磨区</t>
        </is>
      </c>
      <c r="D40" s="5" t="inlineStr">
        <is>
          <t>須磨学園高等学校</t>
        </is>
      </c>
      <c r="E40" s="6" t="inlineStr">
        <is>
          <t>078-732-1968</t>
        </is>
      </c>
      <c r="F40" s="13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n"/>
      <c r="N40" s="11" t="inlineStr">
        <is>
          <t>https://www.suma.ac.jp/contact/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兵庫県</t>
        </is>
      </c>
      <c r="C41" s="5" t="inlineStr">
        <is>
          <t>明石市</t>
        </is>
      </c>
      <c r="D41" s="5" t="inlineStr">
        <is>
          <t>青楓館高等学院</t>
        </is>
      </c>
      <c r="E41" s="6" t="inlineStr">
        <is>
          <t>078-915-0775</t>
        </is>
      </c>
      <c r="F41" s="13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通信制・2023年開校。明石本校の入学・広報センター番号</t>
        </is>
      </c>
      <c r="N41" s="11" t="inlineStr">
        <is>
          <t>https://seifukan-gakuin.com/session/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兵庫県</t>
        </is>
      </c>
      <c r="C42" s="5" t="inlineStr">
        <is>
          <t>洲本市</t>
        </is>
      </c>
      <c r="D42" s="5" t="inlineStr">
        <is>
          <t>蒼開高等学校</t>
        </is>
      </c>
      <c r="E42" s="6" t="inlineStr">
        <is>
          <t>0799-22-2552</t>
        </is>
      </c>
      <c r="F42" s="13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中学校は0799-22-2551</t>
        </is>
      </c>
      <c r="N42" s="11" t="inlineStr">
        <is>
          <t>https://www.soukai-school.jp/exam/admission_hi/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兵庫県</t>
        </is>
      </c>
      <c r="C43" s="5" t="inlineStr">
        <is>
          <t>尼崎市</t>
        </is>
      </c>
      <c r="D43" s="5" t="inlineStr">
        <is>
          <t>園田学園高等学校</t>
        </is>
      </c>
      <c r="E43" s="6" t="inlineStr">
        <is>
          <t>06-6428-2242</t>
        </is>
      </c>
      <c r="F43" s="13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尼崎市施設案内とも一致</t>
        </is>
      </c>
      <c r="N43" s="11" t="inlineStr">
        <is>
          <t>https://www.sonodagakuen.ed.jp/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兵庫県</t>
        </is>
      </c>
      <c r="C44" s="5" t="inlineStr">
        <is>
          <t>神戸市須磨区</t>
        </is>
      </c>
      <c r="D44" s="5" t="inlineStr">
        <is>
          <t>滝川高等学校</t>
        </is>
      </c>
      <c r="E44" s="6" t="inlineStr">
        <is>
          <t>078-732-1625</t>
        </is>
      </c>
      <c r="F44" s="13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代表番号</t>
        </is>
      </c>
      <c r="N44" s="11" t="inlineStr">
        <is>
          <t>https://www.takigawa.ac.jp/enquiry.php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兵庫県</t>
        </is>
      </c>
      <c r="C45" s="5" t="inlineStr">
        <is>
          <t>神戸市西区</t>
        </is>
      </c>
      <c r="D45" s="5" t="inlineStr">
        <is>
          <t>滝川第二高等学校</t>
        </is>
      </c>
      <c r="E45" s="6" t="inlineStr">
        <is>
          <t>078-961-2381</t>
        </is>
      </c>
      <c r="F45" s="13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代表番号</t>
        </is>
      </c>
      <c r="N45" s="11" t="inlineStr">
        <is>
          <t>https://takigawa2.ed.jp/contact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兵庫県</t>
        </is>
      </c>
      <c r="C46" s="5" t="inlineStr">
        <is>
          <t>養父市</t>
        </is>
      </c>
      <c r="D46" s="5" t="inlineStr">
        <is>
          <t>第一学院高等学校 養父本校</t>
        </is>
      </c>
      <c r="E46" s="6" t="inlineStr">
        <is>
          <t>079-663-5100</t>
        </is>
      </c>
      <c r="F46" s="13" t="inlineStr">
        <is>
          <t>高</t>
        </is>
      </c>
      <c r="G46" s="5" t="inlineStr">
        <is>
          <t>総合学科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通信制・養父本校。フリーダイヤルは別</t>
        </is>
      </c>
      <c r="N46" s="11" t="inlineStr">
        <is>
          <t>https://www.daiichigakuin.ed.jp/about/outline/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兵庫県</t>
        </is>
      </c>
      <c r="C47" s="5" t="inlineStr">
        <is>
          <t>姫路市</t>
        </is>
      </c>
      <c r="D47" s="5" t="inlineStr">
        <is>
          <t>東洋大学附属姫路高等学校</t>
        </is>
      </c>
      <c r="E47" s="6" t="inlineStr">
        <is>
          <t>079-266-2626</t>
        </is>
      </c>
      <c r="F47" s="13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中高共通番号</t>
        </is>
      </c>
      <c r="N47" s="11" t="inlineStr">
        <is>
          <t>https://www.toyo.ac.jp/himeji/yellowpage/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兵庫県</t>
        </is>
      </c>
      <c r="C48" s="5" t="inlineStr">
        <is>
          <t>神戸市東灘区</t>
        </is>
      </c>
      <c r="D48" s="5" t="inlineStr">
        <is>
          <t>灘高等学校</t>
        </is>
      </c>
      <c r="E48" s="6" t="inlineStr">
        <is>
          <t>078-411-7234</t>
        </is>
      </c>
      <c r="F48" s="13" t="inlineStr">
        <is>
          <t>高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高校事務室の番号</t>
        </is>
      </c>
      <c r="N48" s="11" t="inlineStr">
        <is>
          <t>http://www.nada.ac.jp/sotugyousyoumeisyo.html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兵庫県</t>
        </is>
      </c>
      <c r="C49" s="5" t="inlineStr">
        <is>
          <t>西宮市</t>
        </is>
      </c>
      <c r="D49" s="5" t="inlineStr">
        <is>
          <t>仁川学院高等学校</t>
        </is>
      </c>
      <c r="E49" s="6" t="inlineStr">
        <is>
          <t>0798-51-3621</t>
        </is>
      </c>
      <c r="F49" s="13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学院事務局は0798-52-0551</t>
        </is>
      </c>
      <c r="N49" s="11" t="inlineStr">
        <is>
          <t>https://www.nigawa.ac.jp/inquiry/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兵庫県</t>
        </is>
      </c>
      <c r="C50" s="5" t="inlineStr">
        <is>
          <t>高砂市</t>
        </is>
      </c>
      <c r="D50" s="5" t="inlineStr">
        <is>
          <t>白陵高等学校</t>
        </is>
      </c>
      <c r="E50" s="6" t="inlineStr">
        <is>
          <t>079-447-1675</t>
        </is>
      </c>
      <c r="F50" s="13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中高共通番号</t>
        </is>
      </c>
      <c r="N50" s="11" t="inlineStr">
        <is>
          <t>https://www.hakuryo.ed.jp/index4.html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兵庫県</t>
        </is>
      </c>
      <c r="C51" s="5" t="inlineStr">
        <is>
          <t>姫路市</t>
        </is>
      </c>
      <c r="D51" s="5" t="inlineStr">
        <is>
          <t>日ノ本学園高等学校</t>
        </is>
      </c>
      <c r="E51" s="6" t="inlineStr">
        <is>
          <t>079-232-5578</t>
        </is>
      </c>
      <c r="F51" s="13" t="inlineStr">
        <is>
          <t>高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代表番号</t>
        </is>
      </c>
      <c r="N51" s="11" t="inlineStr">
        <is>
          <t>https://www.hinomoto.ac.jp/school_life/access/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兵庫県</t>
        </is>
      </c>
      <c r="C52" s="5" t="inlineStr">
        <is>
          <t>宝塚市</t>
        </is>
      </c>
      <c r="D52" s="5" t="inlineStr">
        <is>
          <t>雲雀丘学園高等学校</t>
        </is>
      </c>
      <c r="E52" s="6" t="inlineStr">
        <is>
          <t>072-759-1300</t>
        </is>
      </c>
      <c r="F52" s="13" t="inlineStr">
        <is>
          <t>高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学園事務局は072-759-3000</t>
        </is>
      </c>
      <c r="N52" s="11" t="inlineStr">
        <is>
          <t>https://www.hibari-ho.ed.jp/inquiry.html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兵庫県</t>
        </is>
      </c>
      <c r="C53" s="5" t="inlineStr">
        <is>
          <t>姫路市</t>
        </is>
      </c>
      <c r="D53" s="5" t="inlineStr">
        <is>
          <t>姫路女学院高等学校</t>
        </is>
      </c>
      <c r="E53" s="6" t="inlineStr">
        <is>
          <t>079-224-1711</t>
        </is>
      </c>
      <c r="F53" s="13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n"/>
      <c r="N53" s="11" t="inlineStr">
        <is>
          <t>https://www.himeji-jogakuin.ed.jp/academy_information/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兵庫県</t>
        </is>
      </c>
      <c r="C54" s="5" t="inlineStr">
        <is>
          <t>神戸市須磨区</t>
        </is>
      </c>
      <c r="D54" s="5" t="inlineStr">
        <is>
          <t>兵庫大学附属須磨ノ浦高等学校</t>
        </is>
      </c>
      <c r="E54" s="6" t="inlineStr">
        <is>
          <t>078-735-7111</t>
        </is>
      </c>
      <c r="F54" s="13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n"/>
      <c r="N54" s="11" t="inlineStr">
        <is>
          <t>https://www.sumanoura.ed.jp/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兵庫県</t>
        </is>
      </c>
      <c r="C55" s="5" t="inlineStr">
        <is>
          <t>西宮市</t>
        </is>
      </c>
      <c r="D55" s="5" t="inlineStr">
        <is>
          <t>報徳学園高等学校</t>
        </is>
      </c>
      <c r="E55" s="6" t="inlineStr">
        <is>
          <t>0798-51-3021</t>
        </is>
      </c>
      <c r="F55" s="13" t="inlineStr">
        <is>
          <t>高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n"/>
      <c r="N55" s="11" t="inlineStr">
        <is>
          <t>https://www.hotoku.ac.jp/about/access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兵庫県</t>
        </is>
      </c>
      <c r="C56" s="5" t="inlineStr">
        <is>
          <t>西宮市</t>
        </is>
      </c>
      <c r="D56" s="5" t="inlineStr">
        <is>
          <t>武庫川女子大学附属高等学校</t>
        </is>
      </c>
      <c r="E56" s="6" t="inlineStr">
        <is>
          <t>0798-47-6436</t>
        </is>
      </c>
      <c r="F56" s="13" t="inlineStr">
        <is>
          <t>高</t>
        </is>
      </c>
      <c r="G56" s="5" t="inlineStr">
        <is>
          <t>普通科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2027年4月に「武庫川大学附属高等学校」へ校名変更予定（第三者情報）</t>
        </is>
      </c>
      <c r="N56" s="11" t="inlineStr">
        <is>
          <t>https://www.mukogawa-u.ac.jp/~JHS/openschool/index.html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兵庫県</t>
        </is>
      </c>
      <c r="C57" s="5" t="inlineStr">
        <is>
          <t>尼崎市</t>
        </is>
      </c>
      <c r="D57" s="5" t="inlineStr">
        <is>
          <t>百合学院高等学校</t>
        </is>
      </c>
      <c r="E57" s="6" t="inlineStr">
        <is>
          <t>06-6491-6298</t>
        </is>
      </c>
      <c r="F57" s="7" t="inlineStr">
        <is>
          <t>中</t>
        </is>
      </c>
      <c r="G57" s="5" t="inlineStr">
        <is>
          <t>普通科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公式未確認、複数サイトで一致</t>
        </is>
      </c>
      <c r="N57" s="11" t="inlineStr">
        <is>
          <t>https://www.mapion.co.jp/phonebook/M11004/28202/ILSP0000041583_ipclm/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兵庫県</t>
        </is>
      </c>
      <c r="C58" s="5" t="inlineStr">
        <is>
          <t>神戸市灘区</t>
        </is>
      </c>
      <c r="D58" s="5" t="inlineStr">
        <is>
          <t>六甲学院高等学校</t>
        </is>
      </c>
      <c r="E58" s="6" t="inlineStr">
        <is>
          <t>078-871-4161</t>
        </is>
      </c>
      <c r="F58" s="13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代表番号。中高共通</t>
        </is>
      </c>
      <c r="N58" s="11" t="inlineStr">
        <is>
          <t>http://rokkogakuin.ed.jp/rblog/news/</t>
        </is>
      </c>
      <c r="O58" s="12" t="inlineStr">
        <is>
          <t>開く</t>
        </is>
      </c>
    </row>
  </sheetData>
  <autoFilter ref="A4:O58"/>
  <conditionalFormatting sqref="A5:O58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58" showDropDown="0" showInputMessage="0" showErrorMessage="0" allowBlank="1" type="list">
      <formula1>"未架電,不在・折返し待ち,担当者不在,資料送付,アポ獲得,検討中,NG,番号不明"</formula1>
    </dataValidation>
    <dataValidation sqref="H5:H58 K5:K58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西宮市</t>
        </is>
      </c>
      <c r="B4" s="14">
        <f>COUNTIF('架電リスト'!$C$5:$C$58,A4)</f>
        <v/>
      </c>
      <c r="C4" s="14">
        <f>COUNTIFS('架電リスト'!$C$5:$C$58,A4,'架電リスト'!$E$5:$E$58,"&lt;&gt;")</f>
        <v/>
      </c>
      <c r="D4" s="14">
        <f>B4-COUNTIFS('架電リスト'!$C$5:$C$58,A4,'架電リスト'!$J$5:$J$58,"未架電")-COUNTIFS('架電リスト'!$C$5:$C$58,A4,'架電リスト'!$J$5:$J$58,"")</f>
        <v/>
      </c>
      <c r="E4" s="14">
        <f>COUNTIFS('架電リスト'!$C$5:$C$58,$A4,'架電リスト'!$J$5:$J$58,"不在・折返し待ち")</f>
        <v/>
      </c>
      <c r="F4" s="14">
        <f>COUNTIFS('架電リスト'!$C$5:$C$58,$A4,'架電リスト'!$J$5:$J$58,"担当者不在")</f>
        <v/>
      </c>
      <c r="G4" s="14">
        <f>COUNTIFS('架電リスト'!$C$5:$C$58,$A4,'架電リスト'!$J$5:$J$58,"資料送付")</f>
        <v/>
      </c>
      <c r="H4" s="14">
        <f>COUNTIFS('架電リスト'!$C$5:$C$58,$A4,'架電リスト'!$J$5:$J$58,"アポ獲得")</f>
        <v/>
      </c>
      <c r="I4" s="14">
        <f>COUNTIFS('架電リスト'!$C$5:$C$58,$A4,'架電リスト'!$J$5:$J$58,"検討中")</f>
        <v/>
      </c>
      <c r="J4" s="14">
        <f>COUNTIFS('架電リスト'!$C$5:$C$58,$A4,'架電リスト'!$J$5:$J$58,"NG")</f>
        <v/>
      </c>
      <c r="K4" s="14">
        <f>COUNTIFS('架電リスト'!$C$5:$C$58,$A4,'架電リスト'!$J$5:$J$58,"番号不明")</f>
        <v/>
      </c>
    </row>
    <row r="5">
      <c r="A5" s="14" t="inlineStr">
        <is>
          <t>神戸市須磨区</t>
        </is>
      </c>
      <c r="B5" s="14">
        <f>COUNTIF('架電リスト'!$C$5:$C$58,A5)</f>
        <v/>
      </c>
      <c r="C5" s="14">
        <f>COUNTIFS('架電リスト'!$C$5:$C$58,A5,'架電リスト'!$E$5:$E$58,"&lt;&gt;")</f>
        <v/>
      </c>
      <c r="D5" s="14">
        <f>B5-COUNTIFS('架電リスト'!$C$5:$C$58,A5,'架電リスト'!$J$5:$J$58,"未架電")-COUNTIFS('架電リスト'!$C$5:$C$58,A5,'架電リスト'!$J$5:$J$58,"")</f>
        <v/>
      </c>
      <c r="E5" s="14">
        <f>COUNTIFS('架電リスト'!$C$5:$C$58,$A5,'架電リスト'!$J$5:$J$58,"不在・折返し待ち")</f>
        <v/>
      </c>
      <c r="F5" s="14">
        <f>COUNTIFS('架電リスト'!$C$5:$C$58,$A5,'架電リスト'!$J$5:$J$58,"担当者不在")</f>
        <v/>
      </c>
      <c r="G5" s="14">
        <f>COUNTIFS('架電リスト'!$C$5:$C$58,$A5,'架電リスト'!$J$5:$J$58,"資料送付")</f>
        <v/>
      </c>
      <c r="H5" s="14">
        <f>COUNTIFS('架電リスト'!$C$5:$C$58,$A5,'架電リスト'!$J$5:$J$58,"アポ獲得")</f>
        <v/>
      </c>
      <c r="I5" s="14">
        <f>COUNTIFS('架電リスト'!$C$5:$C$58,$A5,'架電リスト'!$J$5:$J$58,"検討中")</f>
        <v/>
      </c>
      <c r="J5" s="14">
        <f>COUNTIFS('架電リスト'!$C$5:$C$58,$A5,'架電リスト'!$J$5:$J$58,"NG")</f>
        <v/>
      </c>
      <c r="K5" s="14">
        <f>COUNTIFS('架電リスト'!$C$5:$C$58,$A5,'架電リスト'!$J$5:$J$58,"番号不明")</f>
        <v/>
      </c>
    </row>
    <row r="6">
      <c r="A6" s="14" t="inlineStr">
        <is>
          <t>姫路市</t>
        </is>
      </c>
      <c r="B6" s="14">
        <f>COUNTIF('架電リスト'!$C$5:$C$58,A6)</f>
        <v/>
      </c>
      <c r="C6" s="14">
        <f>COUNTIFS('架電リスト'!$C$5:$C$58,A6,'架電リスト'!$E$5:$E$58,"&lt;&gt;")</f>
        <v/>
      </c>
      <c r="D6" s="14">
        <f>B6-COUNTIFS('架電リスト'!$C$5:$C$58,A6,'架電リスト'!$J$5:$J$58,"未架電")-COUNTIFS('架電リスト'!$C$5:$C$58,A6,'架電リスト'!$J$5:$J$58,"")</f>
        <v/>
      </c>
      <c r="E6" s="14">
        <f>COUNTIFS('架電リスト'!$C$5:$C$58,$A6,'架電リスト'!$J$5:$J$58,"不在・折返し待ち")</f>
        <v/>
      </c>
      <c r="F6" s="14">
        <f>COUNTIFS('架電リスト'!$C$5:$C$58,$A6,'架電リスト'!$J$5:$J$58,"担当者不在")</f>
        <v/>
      </c>
      <c r="G6" s="14">
        <f>COUNTIFS('架電リスト'!$C$5:$C$58,$A6,'架電リスト'!$J$5:$J$58,"資料送付")</f>
        <v/>
      </c>
      <c r="H6" s="14">
        <f>COUNTIFS('架電リスト'!$C$5:$C$58,$A6,'架電リスト'!$J$5:$J$58,"アポ獲得")</f>
        <v/>
      </c>
      <c r="I6" s="14">
        <f>COUNTIFS('架電リスト'!$C$5:$C$58,$A6,'架電リスト'!$J$5:$J$58,"検討中")</f>
        <v/>
      </c>
      <c r="J6" s="14">
        <f>COUNTIFS('架電リスト'!$C$5:$C$58,$A6,'架電リスト'!$J$5:$J$58,"NG")</f>
        <v/>
      </c>
      <c r="K6" s="14">
        <f>COUNTIFS('架電リスト'!$C$5:$C$58,$A6,'架電リスト'!$J$5:$J$58,"番号不明")</f>
        <v/>
      </c>
    </row>
    <row r="7">
      <c r="A7" s="14" t="inlineStr">
        <is>
          <t>神戸市中央区</t>
        </is>
      </c>
      <c r="B7" s="14">
        <f>COUNTIF('架電リスト'!$C$5:$C$58,A7)</f>
        <v/>
      </c>
      <c r="C7" s="14">
        <f>COUNTIFS('架電リスト'!$C$5:$C$58,A7,'架電リスト'!$E$5:$E$58,"&lt;&gt;")</f>
        <v/>
      </c>
      <c r="D7" s="14">
        <f>B7-COUNTIFS('架電リスト'!$C$5:$C$58,A7,'架電リスト'!$J$5:$J$58,"未架電")-COUNTIFS('架電リスト'!$C$5:$C$58,A7,'架電リスト'!$J$5:$J$58,"")</f>
        <v/>
      </c>
      <c r="E7" s="14">
        <f>COUNTIFS('架電リスト'!$C$5:$C$58,$A7,'架電リスト'!$J$5:$J$58,"不在・折返し待ち")</f>
        <v/>
      </c>
      <c r="F7" s="14">
        <f>COUNTIFS('架電リスト'!$C$5:$C$58,$A7,'架電リスト'!$J$5:$J$58,"担当者不在")</f>
        <v/>
      </c>
      <c r="G7" s="14">
        <f>COUNTIFS('架電リスト'!$C$5:$C$58,$A7,'架電リスト'!$J$5:$J$58,"資料送付")</f>
        <v/>
      </c>
      <c r="H7" s="14">
        <f>COUNTIFS('架電リスト'!$C$5:$C$58,$A7,'架電リスト'!$J$5:$J$58,"アポ獲得")</f>
        <v/>
      </c>
      <c r="I7" s="14">
        <f>COUNTIFS('架電リスト'!$C$5:$C$58,$A7,'架電リスト'!$J$5:$J$58,"検討中")</f>
        <v/>
      </c>
      <c r="J7" s="14">
        <f>COUNTIFS('架電リスト'!$C$5:$C$58,$A7,'架電リスト'!$J$5:$J$58,"NG")</f>
        <v/>
      </c>
      <c r="K7" s="14">
        <f>COUNTIFS('架電リスト'!$C$5:$C$58,$A7,'架電リスト'!$J$5:$J$58,"番号不明")</f>
        <v/>
      </c>
    </row>
    <row r="8">
      <c r="A8" s="14" t="inlineStr">
        <is>
          <t>神戸市長田区</t>
        </is>
      </c>
      <c r="B8" s="14">
        <f>COUNTIF('架電リスト'!$C$5:$C$58,A8)</f>
        <v/>
      </c>
      <c r="C8" s="14">
        <f>COUNTIFS('架電リスト'!$C$5:$C$58,A8,'架電リスト'!$E$5:$E$58,"&lt;&gt;")</f>
        <v/>
      </c>
      <c r="D8" s="14">
        <f>B8-COUNTIFS('架電リスト'!$C$5:$C$58,A8,'架電リスト'!$J$5:$J$58,"未架電")-COUNTIFS('架電リスト'!$C$5:$C$58,A8,'架電リスト'!$J$5:$J$58,"")</f>
        <v/>
      </c>
      <c r="E8" s="14">
        <f>COUNTIFS('架電リスト'!$C$5:$C$58,$A8,'架電リスト'!$J$5:$J$58,"不在・折返し待ち")</f>
        <v/>
      </c>
      <c r="F8" s="14">
        <f>COUNTIFS('架電リスト'!$C$5:$C$58,$A8,'架電リスト'!$J$5:$J$58,"担当者不在")</f>
        <v/>
      </c>
      <c r="G8" s="14">
        <f>COUNTIFS('架電リスト'!$C$5:$C$58,$A8,'架電リスト'!$J$5:$J$58,"資料送付")</f>
        <v/>
      </c>
      <c r="H8" s="14">
        <f>COUNTIFS('架電リスト'!$C$5:$C$58,$A8,'架電リスト'!$J$5:$J$58,"アポ獲得")</f>
        <v/>
      </c>
      <c r="I8" s="14">
        <f>COUNTIFS('架電リスト'!$C$5:$C$58,$A8,'架電リスト'!$J$5:$J$58,"検討中")</f>
        <v/>
      </c>
      <c r="J8" s="14">
        <f>COUNTIFS('架電リスト'!$C$5:$C$58,$A8,'架電リスト'!$J$5:$J$58,"NG")</f>
        <v/>
      </c>
      <c r="K8" s="14">
        <f>COUNTIFS('架電リスト'!$C$5:$C$58,$A8,'架電リスト'!$J$5:$J$58,"番号不明")</f>
        <v/>
      </c>
    </row>
    <row r="9">
      <c r="A9" s="14" t="inlineStr">
        <is>
          <t>神戸市灘区</t>
        </is>
      </c>
      <c r="B9" s="14">
        <f>COUNTIF('架電リスト'!$C$5:$C$58,A9)</f>
        <v/>
      </c>
      <c r="C9" s="14">
        <f>COUNTIFS('架電リスト'!$C$5:$C$58,A9,'架電リスト'!$E$5:$E$58,"&lt;&gt;")</f>
        <v/>
      </c>
      <c r="D9" s="14">
        <f>B9-COUNTIFS('架電リスト'!$C$5:$C$58,A9,'架電リスト'!$J$5:$J$58,"未架電")-COUNTIFS('架電リスト'!$C$5:$C$58,A9,'架電リスト'!$J$5:$J$58,"")</f>
        <v/>
      </c>
      <c r="E9" s="14">
        <f>COUNTIFS('架電リスト'!$C$5:$C$58,$A9,'架電リスト'!$J$5:$J$58,"不在・折返し待ち")</f>
        <v/>
      </c>
      <c r="F9" s="14">
        <f>COUNTIFS('架電リスト'!$C$5:$C$58,$A9,'架電リスト'!$J$5:$J$58,"担当者不在")</f>
        <v/>
      </c>
      <c r="G9" s="14">
        <f>COUNTIFS('架電リスト'!$C$5:$C$58,$A9,'架電リスト'!$J$5:$J$58,"資料送付")</f>
        <v/>
      </c>
      <c r="H9" s="14">
        <f>COUNTIFS('架電リスト'!$C$5:$C$58,$A9,'架電リスト'!$J$5:$J$58,"アポ獲得")</f>
        <v/>
      </c>
      <c r="I9" s="14">
        <f>COUNTIFS('架電リスト'!$C$5:$C$58,$A9,'架電リスト'!$J$5:$J$58,"検討中")</f>
        <v/>
      </c>
      <c r="J9" s="14">
        <f>COUNTIFS('架電リスト'!$C$5:$C$58,$A9,'架電リスト'!$J$5:$J$58,"NG")</f>
        <v/>
      </c>
      <c r="K9" s="14">
        <f>COUNTIFS('架電リスト'!$C$5:$C$58,$A9,'架電リスト'!$J$5:$J$58,"番号不明")</f>
        <v/>
      </c>
    </row>
    <row r="10">
      <c r="A10" s="14" t="inlineStr">
        <is>
          <t>神戸市垂水区</t>
        </is>
      </c>
      <c r="B10" s="14">
        <f>COUNTIF('架電リスト'!$C$5:$C$58,A10)</f>
        <v/>
      </c>
      <c r="C10" s="14">
        <f>COUNTIFS('架電リスト'!$C$5:$C$58,A10,'架電リスト'!$E$5:$E$58,"&lt;&gt;")</f>
        <v/>
      </c>
      <c r="D10" s="14">
        <f>B10-COUNTIFS('架電リスト'!$C$5:$C$58,A10,'架電リスト'!$J$5:$J$58,"未架電")-COUNTIFS('架電リスト'!$C$5:$C$58,A10,'架電リスト'!$J$5:$J$58,"")</f>
        <v/>
      </c>
      <c r="E10" s="14">
        <f>COUNTIFS('架電リスト'!$C$5:$C$58,$A10,'架電リスト'!$J$5:$J$58,"不在・折返し待ち")</f>
        <v/>
      </c>
      <c r="F10" s="14">
        <f>COUNTIFS('架電リスト'!$C$5:$C$58,$A10,'架電リスト'!$J$5:$J$58,"担当者不在")</f>
        <v/>
      </c>
      <c r="G10" s="14">
        <f>COUNTIFS('架電リスト'!$C$5:$C$58,$A10,'架電リスト'!$J$5:$J$58,"資料送付")</f>
        <v/>
      </c>
      <c r="H10" s="14">
        <f>COUNTIFS('架電リスト'!$C$5:$C$58,$A10,'架電リスト'!$J$5:$J$58,"アポ獲得")</f>
        <v/>
      </c>
      <c r="I10" s="14">
        <f>COUNTIFS('架電リスト'!$C$5:$C$58,$A10,'架電リスト'!$J$5:$J$58,"検討中")</f>
        <v/>
      </c>
      <c r="J10" s="14">
        <f>COUNTIFS('架電リスト'!$C$5:$C$58,$A10,'架電リスト'!$J$5:$J$58,"NG")</f>
        <v/>
      </c>
      <c r="K10" s="14">
        <f>COUNTIFS('架電リスト'!$C$5:$C$58,$A10,'架電リスト'!$J$5:$J$58,"番号不明")</f>
        <v/>
      </c>
    </row>
    <row r="11">
      <c r="A11" s="14" t="inlineStr">
        <is>
          <t>芦屋市</t>
        </is>
      </c>
      <c r="B11" s="14">
        <f>COUNTIF('架電リスト'!$C$5:$C$58,A11)</f>
        <v/>
      </c>
      <c r="C11" s="14">
        <f>COUNTIFS('架電リスト'!$C$5:$C$58,A11,'架電リスト'!$E$5:$E$58,"&lt;&gt;")</f>
        <v/>
      </c>
      <c r="D11" s="14">
        <f>B11-COUNTIFS('架電リスト'!$C$5:$C$58,A11,'架電リスト'!$J$5:$J$58,"未架電")-COUNTIFS('架電リスト'!$C$5:$C$58,A11,'架電リスト'!$J$5:$J$58,"")</f>
        <v/>
      </c>
      <c r="E11" s="14">
        <f>COUNTIFS('架電リスト'!$C$5:$C$58,$A11,'架電リスト'!$J$5:$J$58,"不在・折返し待ち")</f>
        <v/>
      </c>
      <c r="F11" s="14">
        <f>COUNTIFS('架電リスト'!$C$5:$C$58,$A11,'架電リスト'!$J$5:$J$58,"担当者不在")</f>
        <v/>
      </c>
      <c r="G11" s="14">
        <f>COUNTIFS('架電リスト'!$C$5:$C$58,$A11,'架電リスト'!$J$5:$J$58,"資料送付")</f>
        <v/>
      </c>
      <c r="H11" s="14">
        <f>COUNTIFS('架電リスト'!$C$5:$C$58,$A11,'架電リスト'!$J$5:$J$58,"アポ獲得")</f>
        <v/>
      </c>
      <c r="I11" s="14">
        <f>COUNTIFS('架電リスト'!$C$5:$C$58,$A11,'架電リスト'!$J$5:$J$58,"検討中")</f>
        <v/>
      </c>
      <c r="J11" s="14">
        <f>COUNTIFS('架電リスト'!$C$5:$C$58,$A11,'架電リスト'!$J$5:$J$58,"NG")</f>
        <v/>
      </c>
      <c r="K11" s="14">
        <f>COUNTIFS('架電リスト'!$C$5:$C$58,$A11,'架電リスト'!$J$5:$J$58,"番号不明")</f>
        <v/>
      </c>
    </row>
    <row r="12">
      <c r="A12" s="14" t="inlineStr">
        <is>
          <t>神戸市東灘区</t>
        </is>
      </c>
      <c r="B12" s="14">
        <f>COUNTIF('架電リスト'!$C$5:$C$58,A12)</f>
        <v/>
      </c>
      <c r="C12" s="14">
        <f>COUNTIFS('架電リスト'!$C$5:$C$58,A12,'架電リスト'!$E$5:$E$58,"&lt;&gt;")</f>
        <v/>
      </c>
      <c r="D12" s="14">
        <f>B12-COUNTIFS('架電リスト'!$C$5:$C$58,A12,'架電リスト'!$J$5:$J$58,"未架電")-COUNTIFS('架電リスト'!$C$5:$C$58,A12,'架電リスト'!$J$5:$J$58,"")</f>
        <v/>
      </c>
      <c r="E12" s="14">
        <f>COUNTIFS('架電リスト'!$C$5:$C$58,$A12,'架電リスト'!$J$5:$J$58,"不在・折返し待ち")</f>
        <v/>
      </c>
      <c r="F12" s="14">
        <f>COUNTIFS('架電リスト'!$C$5:$C$58,$A12,'架電リスト'!$J$5:$J$58,"担当者不在")</f>
        <v/>
      </c>
      <c r="G12" s="14">
        <f>COUNTIFS('架電リスト'!$C$5:$C$58,$A12,'架電リスト'!$J$5:$J$58,"資料送付")</f>
        <v/>
      </c>
      <c r="H12" s="14">
        <f>COUNTIFS('架電リスト'!$C$5:$C$58,$A12,'架電リスト'!$J$5:$J$58,"アポ獲得")</f>
        <v/>
      </c>
      <c r="I12" s="14">
        <f>COUNTIFS('架電リスト'!$C$5:$C$58,$A12,'架電リスト'!$J$5:$J$58,"検討中")</f>
        <v/>
      </c>
      <c r="J12" s="14">
        <f>COUNTIFS('架電リスト'!$C$5:$C$58,$A12,'架電リスト'!$J$5:$J$58,"NG")</f>
        <v/>
      </c>
      <c r="K12" s="14">
        <f>COUNTIFS('架電リスト'!$C$5:$C$58,$A12,'架電リスト'!$J$5:$J$58,"番号不明")</f>
        <v/>
      </c>
    </row>
    <row r="13">
      <c r="A13" s="14" t="inlineStr">
        <is>
          <t>宝塚市</t>
        </is>
      </c>
      <c r="B13" s="14">
        <f>COUNTIF('架電リスト'!$C$5:$C$58,A13)</f>
        <v/>
      </c>
      <c r="C13" s="14">
        <f>COUNTIFS('架電リスト'!$C$5:$C$58,A13,'架電リスト'!$E$5:$E$58,"&lt;&gt;")</f>
        <v/>
      </c>
      <c r="D13" s="14">
        <f>B13-COUNTIFS('架電リスト'!$C$5:$C$58,A13,'架電リスト'!$J$5:$J$58,"未架電")-COUNTIFS('架電リスト'!$C$5:$C$58,A13,'架電リスト'!$J$5:$J$58,"")</f>
        <v/>
      </c>
      <c r="E13" s="14">
        <f>COUNTIFS('架電リスト'!$C$5:$C$58,$A13,'架電リスト'!$J$5:$J$58,"不在・折返し待ち")</f>
        <v/>
      </c>
      <c r="F13" s="14">
        <f>COUNTIFS('架電リスト'!$C$5:$C$58,$A13,'架電リスト'!$J$5:$J$58,"担当者不在")</f>
        <v/>
      </c>
      <c r="G13" s="14">
        <f>COUNTIFS('架電リスト'!$C$5:$C$58,$A13,'架電リスト'!$J$5:$J$58,"資料送付")</f>
        <v/>
      </c>
      <c r="H13" s="14">
        <f>COUNTIFS('架電リスト'!$C$5:$C$58,$A13,'架電リスト'!$J$5:$J$58,"アポ獲得")</f>
        <v/>
      </c>
      <c r="I13" s="14">
        <f>COUNTIFS('架電リスト'!$C$5:$C$58,$A13,'架電リスト'!$J$5:$J$58,"検討中")</f>
        <v/>
      </c>
      <c r="J13" s="14">
        <f>COUNTIFS('架電リスト'!$C$5:$C$58,$A13,'架電リスト'!$J$5:$J$58,"NG")</f>
        <v/>
      </c>
      <c r="K13" s="14">
        <f>COUNTIFS('架電リスト'!$C$5:$C$58,$A13,'架電リスト'!$J$5:$J$58,"番号不明")</f>
        <v/>
      </c>
    </row>
    <row r="14">
      <c r="A14" s="14" t="inlineStr">
        <is>
          <t>三田市</t>
        </is>
      </c>
      <c r="B14" s="14">
        <f>COUNTIF('架電リスト'!$C$5:$C$58,A14)</f>
        <v/>
      </c>
      <c r="C14" s="14">
        <f>COUNTIFS('架電リスト'!$C$5:$C$58,A14,'架電リスト'!$E$5:$E$58,"&lt;&gt;")</f>
        <v/>
      </c>
      <c r="D14" s="14">
        <f>B14-COUNTIFS('架電リスト'!$C$5:$C$58,A14,'架電リスト'!$J$5:$J$58,"未架電")-COUNTIFS('架電リスト'!$C$5:$C$58,A14,'架電リスト'!$J$5:$J$58,"")</f>
        <v/>
      </c>
      <c r="E14" s="14">
        <f>COUNTIFS('架電リスト'!$C$5:$C$58,$A14,'架電リスト'!$J$5:$J$58,"不在・折返し待ち")</f>
        <v/>
      </c>
      <c r="F14" s="14">
        <f>COUNTIFS('架電リスト'!$C$5:$C$58,$A14,'架電リスト'!$J$5:$J$58,"担当者不在")</f>
        <v/>
      </c>
      <c r="G14" s="14">
        <f>COUNTIFS('架電リスト'!$C$5:$C$58,$A14,'架電リスト'!$J$5:$J$58,"資料送付")</f>
        <v/>
      </c>
      <c r="H14" s="14">
        <f>COUNTIFS('架電リスト'!$C$5:$C$58,$A14,'架電リスト'!$J$5:$J$58,"アポ獲得")</f>
        <v/>
      </c>
      <c r="I14" s="14">
        <f>COUNTIFS('架電リスト'!$C$5:$C$58,$A14,'架電リスト'!$J$5:$J$58,"検討中")</f>
        <v/>
      </c>
      <c r="J14" s="14">
        <f>COUNTIFS('架電リスト'!$C$5:$C$58,$A14,'架電リスト'!$J$5:$J$58,"NG")</f>
        <v/>
      </c>
      <c r="K14" s="14">
        <f>COUNTIFS('架電リスト'!$C$5:$C$58,$A14,'架電リスト'!$J$5:$J$58,"番号不明")</f>
        <v/>
      </c>
    </row>
    <row r="15">
      <c r="A15" s="14" t="inlineStr">
        <is>
          <t>尼崎市</t>
        </is>
      </c>
      <c r="B15" s="14">
        <f>COUNTIF('架電リスト'!$C$5:$C$58,A15)</f>
        <v/>
      </c>
      <c r="C15" s="14">
        <f>COUNTIFS('架電リスト'!$C$5:$C$58,A15,'架電リスト'!$E$5:$E$58,"&lt;&gt;")</f>
        <v/>
      </c>
      <c r="D15" s="14">
        <f>B15-COUNTIFS('架電リスト'!$C$5:$C$58,A15,'架電リスト'!$J$5:$J$58,"未架電")-COUNTIFS('架電リスト'!$C$5:$C$58,A15,'架電リスト'!$J$5:$J$58,"")</f>
        <v/>
      </c>
      <c r="E15" s="14">
        <f>COUNTIFS('架電リスト'!$C$5:$C$58,$A15,'架電リスト'!$J$5:$J$58,"不在・折返し待ち")</f>
        <v/>
      </c>
      <c r="F15" s="14">
        <f>COUNTIFS('架電リスト'!$C$5:$C$58,$A15,'架電リスト'!$J$5:$J$58,"担当者不在")</f>
        <v/>
      </c>
      <c r="G15" s="14">
        <f>COUNTIFS('架電リスト'!$C$5:$C$58,$A15,'架電リスト'!$J$5:$J$58,"資料送付")</f>
        <v/>
      </c>
      <c r="H15" s="14">
        <f>COUNTIFS('架電リスト'!$C$5:$C$58,$A15,'架電リスト'!$J$5:$J$58,"アポ獲得")</f>
        <v/>
      </c>
      <c r="I15" s="14">
        <f>COUNTIFS('架電リスト'!$C$5:$C$58,$A15,'架電リスト'!$J$5:$J$58,"検討中")</f>
        <v/>
      </c>
      <c r="J15" s="14">
        <f>COUNTIFS('架電リスト'!$C$5:$C$58,$A15,'架電リスト'!$J$5:$J$58,"NG")</f>
        <v/>
      </c>
      <c r="K15" s="14">
        <f>COUNTIFS('架電リスト'!$C$5:$C$58,$A15,'架電リスト'!$J$5:$J$58,"番号不明")</f>
        <v/>
      </c>
    </row>
    <row r="16">
      <c r="A16" s="14" t="inlineStr">
        <is>
          <t>相生市</t>
        </is>
      </c>
      <c r="B16" s="14">
        <f>COUNTIF('架電リスト'!$C$5:$C$58,A16)</f>
        <v/>
      </c>
      <c r="C16" s="14">
        <f>COUNTIFS('架電リスト'!$C$5:$C$58,A16,'架電リスト'!$E$5:$E$58,"&lt;&gt;")</f>
        <v/>
      </c>
      <c r="D16" s="14">
        <f>B16-COUNTIFS('架電リスト'!$C$5:$C$58,A16,'架電リスト'!$J$5:$J$58,"未架電")-COUNTIFS('架電リスト'!$C$5:$C$58,A16,'架電リスト'!$J$5:$J$58,"")</f>
        <v/>
      </c>
      <c r="E16" s="14">
        <f>COUNTIFS('架電リスト'!$C$5:$C$58,$A16,'架電リスト'!$J$5:$J$58,"不在・折返し待ち")</f>
        <v/>
      </c>
      <c r="F16" s="14">
        <f>COUNTIFS('架電リスト'!$C$5:$C$58,$A16,'架電リスト'!$J$5:$J$58,"担当者不在")</f>
        <v/>
      </c>
      <c r="G16" s="14">
        <f>COUNTIFS('架電リスト'!$C$5:$C$58,$A16,'架電リスト'!$J$5:$J$58,"資料送付")</f>
        <v/>
      </c>
      <c r="H16" s="14">
        <f>COUNTIFS('架電リスト'!$C$5:$C$58,$A16,'架電リスト'!$J$5:$J$58,"アポ獲得")</f>
        <v/>
      </c>
      <c r="I16" s="14">
        <f>COUNTIFS('架電リスト'!$C$5:$C$58,$A16,'架電リスト'!$J$5:$J$58,"検討中")</f>
        <v/>
      </c>
      <c r="J16" s="14">
        <f>COUNTIFS('架電リスト'!$C$5:$C$58,$A16,'架電リスト'!$J$5:$J$58,"NG")</f>
        <v/>
      </c>
      <c r="K16" s="14">
        <f>COUNTIFS('架電リスト'!$C$5:$C$58,$A16,'架電リスト'!$J$5:$J$58,"番号不明")</f>
        <v/>
      </c>
    </row>
    <row r="17">
      <c r="A17" s="14" t="inlineStr">
        <is>
          <t>朝来市</t>
        </is>
      </c>
      <c r="B17" s="14">
        <f>COUNTIF('架電リスト'!$C$5:$C$58,A17)</f>
        <v/>
      </c>
      <c r="C17" s="14">
        <f>COUNTIFS('架電リスト'!$C$5:$C$58,A17,'架電リスト'!$E$5:$E$58,"&lt;&gt;")</f>
        <v/>
      </c>
      <c r="D17" s="14">
        <f>B17-COUNTIFS('架電リスト'!$C$5:$C$58,A17,'架電リスト'!$J$5:$J$58,"未架電")-COUNTIFS('架電リスト'!$C$5:$C$58,A17,'架電リスト'!$J$5:$J$58,"")</f>
        <v/>
      </c>
      <c r="E17" s="14">
        <f>COUNTIFS('架電リスト'!$C$5:$C$58,$A17,'架電リスト'!$J$5:$J$58,"不在・折返し待ち")</f>
        <v/>
      </c>
      <c r="F17" s="14">
        <f>COUNTIFS('架電リスト'!$C$5:$C$58,$A17,'架電リスト'!$J$5:$J$58,"担当者不在")</f>
        <v/>
      </c>
      <c r="G17" s="14">
        <f>COUNTIFS('架電リスト'!$C$5:$C$58,$A17,'架電リスト'!$J$5:$J$58,"資料送付")</f>
        <v/>
      </c>
      <c r="H17" s="14">
        <f>COUNTIFS('架電リスト'!$C$5:$C$58,$A17,'架電リスト'!$J$5:$J$58,"アポ獲得")</f>
        <v/>
      </c>
      <c r="I17" s="14">
        <f>COUNTIFS('架電リスト'!$C$5:$C$58,$A17,'架電リスト'!$J$5:$J$58,"検討中")</f>
        <v/>
      </c>
      <c r="J17" s="14">
        <f>COUNTIFS('架電リスト'!$C$5:$C$58,$A17,'架電リスト'!$J$5:$J$58,"NG")</f>
        <v/>
      </c>
      <c r="K17" s="14">
        <f>COUNTIFS('架電リスト'!$C$5:$C$58,$A17,'架電リスト'!$J$5:$J$58,"番号不明")</f>
        <v/>
      </c>
    </row>
    <row r="18">
      <c r="A18" s="14" t="inlineStr">
        <is>
          <t>市川町</t>
        </is>
      </c>
      <c r="B18" s="14">
        <f>COUNTIF('架電リスト'!$C$5:$C$58,A18)</f>
        <v/>
      </c>
      <c r="C18" s="14">
        <f>COUNTIFS('架電リスト'!$C$5:$C$58,A18,'架電リスト'!$E$5:$E$58,"&lt;&gt;")</f>
        <v/>
      </c>
      <c r="D18" s="14">
        <f>B18-COUNTIFS('架電リスト'!$C$5:$C$58,A18,'架電リスト'!$J$5:$J$58,"未架電")-COUNTIFS('架電リスト'!$C$5:$C$58,A18,'架電リスト'!$J$5:$J$58,"")</f>
        <v/>
      </c>
      <c r="E18" s="14">
        <f>COUNTIFS('架電リスト'!$C$5:$C$58,$A18,'架電リスト'!$J$5:$J$58,"不在・折返し待ち")</f>
        <v/>
      </c>
      <c r="F18" s="14">
        <f>COUNTIFS('架電リスト'!$C$5:$C$58,$A18,'架電リスト'!$J$5:$J$58,"担当者不在")</f>
        <v/>
      </c>
      <c r="G18" s="14">
        <f>COUNTIFS('架電リスト'!$C$5:$C$58,$A18,'架電リスト'!$J$5:$J$58,"資料送付")</f>
        <v/>
      </c>
      <c r="H18" s="14">
        <f>COUNTIFS('架電リスト'!$C$5:$C$58,$A18,'架電リスト'!$J$5:$J$58,"アポ獲得")</f>
        <v/>
      </c>
      <c r="I18" s="14">
        <f>COUNTIFS('架電リスト'!$C$5:$C$58,$A18,'架電リスト'!$J$5:$J$58,"検討中")</f>
        <v/>
      </c>
      <c r="J18" s="14">
        <f>COUNTIFS('架電リスト'!$C$5:$C$58,$A18,'架電リスト'!$J$5:$J$58,"NG")</f>
        <v/>
      </c>
      <c r="K18" s="14">
        <f>COUNTIFS('架電リスト'!$C$5:$C$58,$A18,'架電リスト'!$J$5:$J$58,"番号不明")</f>
        <v/>
      </c>
    </row>
    <row r="19">
      <c r="A19" s="14" t="inlineStr">
        <is>
          <t>豊岡市</t>
        </is>
      </c>
      <c r="B19" s="14">
        <f>COUNTIF('架電リスト'!$C$5:$C$58,A19)</f>
        <v/>
      </c>
      <c r="C19" s="14">
        <f>COUNTIFS('架電リスト'!$C$5:$C$58,A19,'架電リスト'!$E$5:$E$58,"&lt;&gt;")</f>
        <v/>
      </c>
      <c r="D19" s="14">
        <f>B19-COUNTIFS('架電リスト'!$C$5:$C$58,A19,'架電リスト'!$J$5:$J$58,"未架電")-COUNTIFS('架電リスト'!$C$5:$C$58,A19,'架電リスト'!$J$5:$J$58,"")</f>
        <v/>
      </c>
      <c r="E19" s="14">
        <f>COUNTIFS('架電リスト'!$C$5:$C$58,$A19,'架電リスト'!$J$5:$J$58,"不在・折返し待ち")</f>
        <v/>
      </c>
      <c r="F19" s="14">
        <f>COUNTIFS('架電リスト'!$C$5:$C$58,$A19,'架電リスト'!$J$5:$J$58,"担当者不在")</f>
        <v/>
      </c>
      <c r="G19" s="14">
        <f>COUNTIFS('架電リスト'!$C$5:$C$58,$A19,'架電リスト'!$J$5:$J$58,"資料送付")</f>
        <v/>
      </c>
      <c r="H19" s="14">
        <f>COUNTIFS('架電リスト'!$C$5:$C$58,$A19,'架電リスト'!$J$5:$J$58,"アポ獲得")</f>
        <v/>
      </c>
      <c r="I19" s="14">
        <f>COUNTIFS('架電リスト'!$C$5:$C$58,$A19,'架電リスト'!$J$5:$J$58,"検討中")</f>
        <v/>
      </c>
      <c r="J19" s="14">
        <f>COUNTIFS('架電リスト'!$C$5:$C$58,$A19,'架電リスト'!$J$5:$J$58,"NG")</f>
        <v/>
      </c>
      <c r="K19" s="14">
        <f>COUNTIFS('架電リスト'!$C$5:$C$58,$A19,'架電リスト'!$J$5:$J$58,"番号不明")</f>
        <v/>
      </c>
    </row>
    <row r="20">
      <c r="A20" s="14" t="inlineStr">
        <is>
          <t>神戸市北区</t>
        </is>
      </c>
      <c r="B20" s="14">
        <f>COUNTIF('架電リスト'!$C$5:$C$58,A20)</f>
        <v/>
      </c>
      <c r="C20" s="14">
        <f>COUNTIFS('架電リスト'!$C$5:$C$58,A20,'架電リスト'!$E$5:$E$58,"&lt;&gt;")</f>
        <v/>
      </c>
      <c r="D20" s="14">
        <f>B20-COUNTIFS('架電リスト'!$C$5:$C$58,A20,'架電リスト'!$J$5:$J$58,"未架電")-COUNTIFS('架電リスト'!$C$5:$C$58,A20,'架電リスト'!$J$5:$J$58,"")</f>
        <v/>
      </c>
      <c r="E20" s="14">
        <f>COUNTIFS('架電リスト'!$C$5:$C$58,$A20,'架電リスト'!$J$5:$J$58,"不在・折返し待ち")</f>
        <v/>
      </c>
      <c r="F20" s="14">
        <f>COUNTIFS('架電リスト'!$C$5:$C$58,$A20,'架電リスト'!$J$5:$J$58,"担当者不在")</f>
        <v/>
      </c>
      <c r="G20" s="14">
        <f>COUNTIFS('架電リスト'!$C$5:$C$58,$A20,'架電リスト'!$J$5:$J$58,"資料送付")</f>
        <v/>
      </c>
      <c r="H20" s="14">
        <f>COUNTIFS('架電リスト'!$C$5:$C$58,$A20,'架電リスト'!$J$5:$J$58,"アポ獲得")</f>
        <v/>
      </c>
      <c r="I20" s="14">
        <f>COUNTIFS('架電リスト'!$C$5:$C$58,$A20,'架電リスト'!$J$5:$J$58,"検討中")</f>
        <v/>
      </c>
      <c r="J20" s="14">
        <f>COUNTIFS('架電リスト'!$C$5:$C$58,$A20,'架電リスト'!$J$5:$J$58,"NG")</f>
        <v/>
      </c>
      <c r="K20" s="14">
        <f>COUNTIFS('架電リスト'!$C$5:$C$58,$A20,'架電リスト'!$J$5:$J$58,"番号不明")</f>
        <v/>
      </c>
    </row>
    <row r="21">
      <c r="A21" s="14" t="inlineStr">
        <is>
          <t>神戸市兵庫区</t>
        </is>
      </c>
      <c r="B21" s="14">
        <f>COUNTIF('架電リスト'!$C$5:$C$58,A21)</f>
        <v/>
      </c>
      <c r="C21" s="14">
        <f>COUNTIFS('架電リスト'!$C$5:$C$58,A21,'架電リスト'!$E$5:$E$58,"&lt;&gt;")</f>
        <v/>
      </c>
      <c r="D21" s="14">
        <f>B21-COUNTIFS('架電リスト'!$C$5:$C$58,A21,'架電リスト'!$J$5:$J$58,"未架電")-COUNTIFS('架電リスト'!$C$5:$C$58,A21,'架電リスト'!$J$5:$J$58,"")</f>
        <v/>
      </c>
      <c r="E21" s="14">
        <f>COUNTIFS('架電リスト'!$C$5:$C$58,$A21,'架電リスト'!$J$5:$J$58,"不在・折返し待ち")</f>
        <v/>
      </c>
      <c r="F21" s="14">
        <f>COUNTIFS('架電リスト'!$C$5:$C$58,$A21,'架電リスト'!$J$5:$J$58,"担当者不在")</f>
        <v/>
      </c>
      <c r="G21" s="14">
        <f>COUNTIFS('架電リスト'!$C$5:$C$58,$A21,'架電リスト'!$J$5:$J$58,"資料送付")</f>
        <v/>
      </c>
      <c r="H21" s="14">
        <f>COUNTIFS('架電リスト'!$C$5:$C$58,$A21,'架電リスト'!$J$5:$J$58,"アポ獲得")</f>
        <v/>
      </c>
      <c r="I21" s="14">
        <f>COUNTIFS('架電リスト'!$C$5:$C$58,$A21,'架電リスト'!$J$5:$J$58,"検討中")</f>
        <v/>
      </c>
      <c r="J21" s="14">
        <f>COUNTIFS('架電リスト'!$C$5:$C$58,$A21,'架電リスト'!$J$5:$J$58,"NG")</f>
        <v/>
      </c>
      <c r="K21" s="14">
        <f>COUNTIFS('架電リスト'!$C$5:$C$58,$A21,'架電リスト'!$J$5:$J$58,"番号不明")</f>
        <v/>
      </c>
    </row>
    <row r="22">
      <c r="A22" s="14" t="inlineStr">
        <is>
          <t>明石市</t>
        </is>
      </c>
      <c r="B22" s="14">
        <f>COUNTIF('架電リスト'!$C$5:$C$58,A22)</f>
        <v/>
      </c>
      <c r="C22" s="14">
        <f>COUNTIFS('架電リスト'!$C$5:$C$58,A22,'架電リスト'!$E$5:$E$58,"&lt;&gt;")</f>
        <v/>
      </c>
      <c r="D22" s="14">
        <f>B22-COUNTIFS('架電リスト'!$C$5:$C$58,A22,'架電リスト'!$J$5:$J$58,"未架電")-COUNTIFS('架電リスト'!$C$5:$C$58,A22,'架電リスト'!$J$5:$J$58,"")</f>
        <v/>
      </c>
      <c r="E22" s="14">
        <f>COUNTIFS('架電リスト'!$C$5:$C$58,$A22,'架電リスト'!$J$5:$J$58,"不在・折返し待ち")</f>
        <v/>
      </c>
      <c r="F22" s="14">
        <f>COUNTIFS('架電リスト'!$C$5:$C$58,$A22,'架電リスト'!$J$5:$J$58,"担当者不在")</f>
        <v/>
      </c>
      <c r="G22" s="14">
        <f>COUNTIFS('架電リスト'!$C$5:$C$58,$A22,'架電リスト'!$J$5:$J$58,"資料送付")</f>
        <v/>
      </c>
      <c r="H22" s="14">
        <f>COUNTIFS('架電リスト'!$C$5:$C$58,$A22,'架電リスト'!$J$5:$J$58,"アポ獲得")</f>
        <v/>
      </c>
      <c r="I22" s="14">
        <f>COUNTIFS('架電リスト'!$C$5:$C$58,$A22,'架電リスト'!$J$5:$J$58,"検討中")</f>
        <v/>
      </c>
      <c r="J22" s="14">
        <f>COUNTIFS('架電リスト'!$C$5:$C$58,$A22,'架電リスト'!$J$5:$J$58,"NG")</f>
        <v/>
      </c>
      <c r="K22" s="14">
        <f>COUNTIFS('架電リスト'!$C$5:$C$58,$A22,'架電リスト'!$J$5:$J$58,"番号不明")</f>
        <v/>
      </c>
    </row>
    <row r="23">
      <c r="A23" s="14" t="inlineStr">
        <is>
          <t>洲本市</t>
        </is>
      </c>
      <c r="B23" s="14">
        <f>COUNTIF('架電リスト'!$C$5:$C$58,A23)</f>
        <v/>
      </c>
      <c r="C23" s="14">
        <f>COUNTIFS('架電リスト'!$C$5:$C$58,A23,'架電リスト'!$E$5:$E$58,"&lt;&gt;")</f>
        <v/>
      </c>
      <c r="D23" s="14">
        <f>B23-COUNTIFS('架電リスト'!$C$5:$C$58,A23,'架電リスト'!$J$5:$J$58,"未架電")-COUNTIFS('架電リスト'!$C$5:$C$58,A23,'架電リスト'!$J$5:$J$58,"")</f>
        <v/>
      </c>
      <c r="E23" s="14">
        <f>COUNTIFS('架電リスト'!$C$5:$C$58,$A23,'架電リスト'!$J$5:$J$58,"不在・折返し待ち")</f>
        <v/>
      </c>
      <c r="F23" s="14">
        <f>COUNTIFS('架電リスト'!$C$5:$C$58,$A23,'架電リスト'!$J$5:$J$58,"担当者不在")</f>
        <v/>
      </c>
      <c r="G23" s="14">
        <f>COUNTIFS('架電リスト'!$C$5:$C$58,$A23,'架電リスト'!$J$5:$J$58,"資料送付")</f>
        <v/>
      </c>
      <c r="H23" s="14">
        <f>COUNTIFS('架電リスト'!$C$5:$C$58,$A23,'架電リスト'!$J$5:$J$58,"アポ獲得")</f>
        <v/>
      </c>
      <c r="I23" s="14">
        <f>COUNTIFS('架電リスト'!$C$5:$C$58,$A23,'架電リスト'!$J$5:$J$58,"検討中")</f>
        <v/>
      </c>
      <c r="J23" s="14">
        <f>COUNTIFS('架電リスト'!$C$5:$C$58,$A23,'架電リスト'!$J$5:$J$58,"NG")</f>
        <v/>
      </c>
      <c r="K23" s="14">
        <f>COUNTIFS('架電リスト'!$C$5:$C$58,$A23,'架電リスト'!$J$5:$J$58,"番号不明")</f>
        <v/>
      </c>
    </row>
    <row r="24">
      <c r="A24" s="14" t="inlineStr">
        <is>
          <t>神戸市西区</t>
        </is>
      </c>
      <c r="B24" s="14">
        <f>COUNTIF('架電リスト'!$C$5:$C$58,A24)</f>
        <v/>
      </c>
      <c r="C24" s="14">
        <f>COUNTIFS('架電リスト'!$C$5:$C$58,A24,'架電リスト'!$E$5:$E$58,"&lt;&gt;")</f>
        <v/>
      </c>
      <c r="D24" s="14">
        <f>B24-COUNTIFS('架電リスト'!$C$5:$C$58,A24,'架電リスト'!$J$5:$J$58,"未架電")-COUNTIFS('架電リスト'!$C$5:$C$58,A24,'架電リスト'!$J$5:$J$58,"")</f>
        <v/>
      </c>
      <c r="E24" s="14">
        <f>COUNTIFS('架電リスト'!$C$5:$C$58,$A24,'架電リスト'!$J$5:$J$58,"不在・折返し待ち")</f>
        <v/>
      </c>
      <c r="F24" s="14">
        <f>COUNTIFS('架電リスト'!$C$5:$C$58,$A24,'架電リスト'!$J$5:$J$58,"担当者不在")</f>
        <v/>
      </c>
      <c r="G24" s="14">
        <f>COUNTIFS('架電リスト'!$C$5:$C$58,$A24,'架電リスト'!$J$5:$J$58,"資料送付")</f>
        <v/>
      </c>
      <c r="H24" s="14">
        <f>COUNTIFS('架電リスト'!$C$5:$C$58,$A24,'架電リスト'!$J$5:$J$58,"アポ獲得")</f>
        <v/>
      </c>
      <c r="I24" s="14">
        <f>COUNTIFS('架電リスト'!$C$5:$C$58,$A24,'架電リスト'!$J$5:$J$58,"検討中")</f>
        <v/>
      </c>
      <c r="J24" s="14">
        <f>COUNTIFS('架電リスト'!$C$5:$C$58,$A24,'架電リスト'!$J$5:$J$58,"NG")</f>
        <v/>
      </c>
      <c r="K24" s="14">
        <f>COUNTIFS('架電リスト'!$C$5:$C$58,$A24,'架電リスト'!$J$5:$J$58,"番号不明")</f>
        <v/>
      </c>
    </row>
    <row r="25">
      <c r="A25" s="14" t="inlineStr">
        <is>
          <t>養父市</t>
        </is>
      </c>
      <c r="B25" s="14">
        <f>COUNTIF('架電リスト'!$C$5:$C$58,A25)</f>
        <v/>
      </c>
      <c r="C25" s="14">
        <f>COUNTIFS('架電リスト'!$C$5:$C$58,A25,'架電リスト'!$E$5:$E$58,"&lt;&gt;")</f>
        <v/>
      </c>
      <c r="D25" s="14">
        <f>B25-COUNTIFS('架電リスト'!$C$5:$C$58,A25,'架電リスト'!$J$5:$J$58,"未架電")-COUNTIFS('架電リスト'!$C$5:$C$58,A25,'架電リスト'!$J$5:$J$58,"")</f>
        <v/>
      </c>
      <c r="E25" s="14">
        <f>COUNTIFS('架電リスト'!$C$5:$C$58,$A25,'架電リスト'!$J$5:$J$58,"不在・折返し待ち")</f>
        <v/>
      </c>
      <c r="F25" s="14">
        <f>COUNTIFS('架電リスト'!$C$5:$C$58,$A25,'架電リスト'!$J$5:$J$58,"担当者不在")</f>
        <v/>
      </c>
      <c r="G25" s="14">
        <f>COUNTIFS('架電リスト'!$C$5:$C$58,$A25,'架電リスト'!$J$5:$J$58,"資料送付")</f>
        <v/>
      </c>
      <c r="H25" s="14">
        <f>COUNTIFS('架電リスト'!$C$5:$C$58,$A25,'架電リスト'!$J$5:$J$58,"アポ獲得")</f>
        <v/>
      </c>
      <c r="I25" s="14">
        <f>COUNTIFS('架電リスト'!$C$5:$C$58,$A25,'架電リスト'!$J$5:$J$58,"検討中")</f>
        <v/>
      </c>
      <c r="J25" s="14">
        <f>COUNTIFS('架電リスト'!$C$5:$C$58,$A25,'架電リスト'!$J$5:$J$58,"NG")</f>
        <v/>
      </c>
      <c r="K25" s="14">
        <f>COUNTIFS('架電リスト'!$C$5:$C$58,$A25,'架電リスト'!$J$5:$J$58,"番号不明")</f>
        <v/>
      </c>
    </row>
    <row r="26">
      <c r="A26" s="14" t="inlineStr">
        <is>
          <t>高砂市</t>
        </is>
      </c>
      <c r="B26" s="14">
        <f>COUNTIF('架電リスト'!$C$5:$C$58,A26)</f>
        <v/>
      </c>
      <c r="C26" s="14">
        <f>COUNTIFS('架電リスト'!$C$5:$C$58,A26,'架電リスト'!$E$5:$E$58,"&lt;&gt;")</f>
        <v/>
      </c>
      <c r="D26" s="14">
        <f>B26-COUNTIFS('架電リスト'!$C$5:$C$58,A26,'架電リスト'!$J$5:$J$58,"未架電")-COUNTIFS('架電リスト'!$C$5:$C$58,A26,'架電リスト'!$J$5:$J$58,"")</f>
        <v/>
      </c>
      <c r="E26" s="14">
        <f>COUNTIFS('架電リスト'!$C$5:$C$58,$A26,'架電リスト'!$J$5:$J$58,"不在・折返し待ち")</f>
        <v/>
      </c>
      <c r="F26" s="14">
        <f>COUNTIFS('架電リスト'!$C$5:$C$58,$A26,'架電リスト'!$J$5:$J$58,"担当者不在")</f>
        <v/>
      </c>
      <c r="G26" s="14">
        <f>COUNTIFS('架電リスト'!$C$5:$C$58,$A26,'架電リスト'!$J$5:$J$58,"資料送付")</f>
        <v/>
      </c>
      <c r="H26" s="14">
        <f>COUNTIFS('架電リスト'!$C$5:$C$58,$A26,'架電リスト'!$J$5:$J$58,"アポ獲得")</f>
        <v/>
      </c>
      <c r="I26" s="14">
        <f>COUNTIFS('架電リスト'!$C$5:$C$58,$A26,'架電リスト'!$J$5:$J$58,"検討中")</f>
        <v/>
      </c>
      <c r="J26" s="14">
        <f>COUNTIFS('架電リスト'!$C$5:$C$58,$A26,'架電リスト'!$J$5:$J$58,"NG")</f>
        <v/>
      </c>
      <c r="K26" s="14">
        <f>COUNTIFS('架電リスト'!$C$5:$C$58,$A26,'架電リスト'!$J$5:$J$58,"番号不明")</f>
        <v/>
      </c>
    </row>
    <row r="27">
      <c r="A27" s="15" t="inlineStr">
        <is>
          <t>合計</t>
        </is>
      </c>
      <c r="B27" s="15">
        <f>SUM(B4:B26)</f>
        <v/>
      </c>
      <c r="C27" s="15">
        <f>SUM(C4:C26)</f>
        <v/>
      </c>
      <c r="D27" s="15">
        <f>SUM(D4:D26)</f>
        <v/>
      </c>
      <c r="E27" s="15">
        <f>SUM(E4:E26)</f>
        <v/>
      </c>
      <c r="F27" s="15">
        <f>SUM(F4:F26)</f>
        <v/>
      </c>
      <c r="G27" s="15">
        <f>SUM(G4:G26)</f>
        <v/>
      </c>
      <c r="H27" s="15">
        <f>SUM(H4:H26)</f>
        <v/>
      </c>
      <c r="I27" s="15">
        <f>SUM(I4:I26)</f>
        <v/>
      </c>
      <c r="J27" s="15">
        <f>SUM(J4:J26)</f>
        <v/>
      </c>
      <c r="K27" s="15">
        <f>SUM(K4:K26)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・出典：ご提供いただいた学校ネットの検索結果（私立高校・兵庫県、54校）の貼り付けデータ。並び順は都道府県ごとに元データの掲載順です。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2026-10-14T01:32:21Z</dcterms:created>
  <dcterms:modified xsi:type="dcterms:W3CDTF">2026-10-14T01:32:21Z</dcterms:modified>
</cp:coreProperties>
</file>