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6491.html" TargetMode="External" Id="rId1" /><Relationship Type="http://schemas.openxmlformats.org/officeDocument/2006/relationships/hyperlink" Target="https://www.gakkou.net/kou/view/index_302933.html" TargetMode="External" Id="rId2" /><Relationship Type="http://schemas.openxmlformats.org/officeDocument/2006/relationships/hyperlink" Target="https://www.gakkou.net/kou/view/index_302901.html" TargetMode="External" Id="rId3" /><Relationship Type="http://schemas.openxmlformats.org/officeDocument/2006/relationships/hyperlink" Target="https://www.gakkou.net/kou/view/index_302906.html" TargetMode="External" Id="rId4" /><Relationship Type="http://schemas.openxmlformats.org/officeDocument/2006/relationships/hyperlink" Target="https://www.gakkou.net/kou/view/index_302891.html" TargetMode="External" Id="rId5" /><Relationship Type="http://schemas.openxmlformats.org/officeDocument/2006/relationships/hyperlink" Target="https://www.gakkou.net/kou/view/index_302919.html" TargetMode="External" Id="rId6" /><Relationship Type="http://schemas.openxmlformats.org/officeDocument/2006/relationships/hyperlink" Target="https://www.gakkou.net/kou/view/index_302892.html" TargetMode="External" Id="rId7" /><Relationship Type="http://schemas.openxmlformats.org/officeDocument/2006/relationships/hyperlink" Target="https://www.gakkou.net/kou/view/index_306446.html" TargetMode="External" Id="rId8" /><Relationship Type="http://schemas.openxmlformats.org/officeDocument/2006/relationships/hyperlink" Target="https://www.gakkou.net/kou/view/index_302894.html" TargetMode="External" Id="rId9" /><Relationship Type="http://schemas.openxmlformats.org/officeDocument/2006/relationships/hyperlink" Target="https://www.gakkou.net/kou/view/index_302899.html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架電リスト（石川県／10校）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石川県</t>
        </is>
      </c>
      <c r="C5" s="5" t="inlineStr">
        <is>
          <t>白山市</t>
        </is>
      </c>
      <c r="D5" s="5" t="inlineStr">
        <is>
          <t>アットマーク国際高等学校</t>
        </is>
      </c>
      <c r="E5" s="6" t="inlineStr">
        <is>
          <t>076-278-8778</t>
        </is>
      </c>
      <c r="F5" s="7" t="inlineStr">
        <is>
          <t>中</t>
        </is>
      </c>
      <c r="G5" s="5" t="inlineStr">
        <is>
          <t>総合学科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通信制。白山市の本校の番号（電話帳サイトで一致、公式未確認）。公式の窓口は入学相談フリーダイヤル0120-5931-87。金沢学習センターは076-265-6888</t>
        </is>
      </c>
      <c r="N5" s="11" t="inlineStr">
        <is>
          <t>https://www.mapion.co.jp/phonebook/M11004/17210/ILSP0000041103_ipclm/ ; https://school.js88.com/scl_h/34028535</t>
        </is>
      </c>
      <c r="O5" s="12" t="inlineStr">
        <is>
          <t>開く</t>
        </is>
      </c>
    </row>
    <row r="6">
      <c r="A6" s="4" t="n">
        <v>2</v>
      </c>
      <c r="B6" s="5" t="inlineStr">
        <is>
          <t>石川県</t>
        </is>
      </c>
      <c r="C6" s="5" t="inlineStr">
        <is>
          <t>七尾市</t>
        </is>
      </c>
      <c r="D6" s="5" t="inlineStr">
        <is>
          <t>鵬学園高等学校</t>
        </is>
      </c>
      <c r="E6" s="6" t="inlineStr">
        <is>
          <t>0767-53-2184</t>
        </is>
      </c>
      <c r="F6" s="13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公式サイトで確認。フリーダイヤル0120-218-455もあり</t>
        </is>
      </c>
      <c r="N6" s="11" t="inlineStr">
        <is>
          <t>https://www.ohtori.ed.jp/access/</t>
        </is>
      </c>
      <c r="O6" s="12" t="inlineStr">
        <is>
          <t>開く</t>
        </is>
      </c>
    </row>
    <row r="7">
      <c r="A7" s="4" t="n">
        <v>3</v>
      </c>
      <c r="B7" s="5" t="inlineStr">
        <is>
          <t>石川県</t>
        </is>
      </c>
      <c r="C7" s="5" t="inlineStr">
        <is>
          <t>金沢市</t>
        </is>
      </c>
      <c r="D7" s="5" t="inlineStr">
        <is>
          <t>金沢学院大学附属高等学校</t>
        </is>
      </c>
      <c r="E7" s="6" t="inlineStr">
        <is>
          <t>076-229-1180</t>
        </is>
      </c>
      <c r="F7" s="13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公式サイトに「代表」と記載</t>
        </is>
      </c>
      <c r="N7" s="11" t="inlineStr">
        <is>
          <t>https://www.kanazawa-gu.ac.jp/hs/</t>
        </is>
      </c>
      <c r="O7" s="12" t="inlineStr">
        <is>
          <t>開く</t>
        </is>
      </c>
    </row>
    <row r="8">
      <c r="A8" s="4" t="n">
        <v>4</v>
      </c>
      <c r="B8" s="5" t="inlineStr">
        <is>
          <t>石川県</t>
        </is>
      </c>
      <c r="C8" s="5" t="inlineStr">
        <is>
          <t>金沢市</t>
        </is>
      </c>
      <c r="D8" s="5" t="inlineStr">
        <is>
          <t>金沢高等学校</t>
        </is>
      </c>
      <c r="E8" s="6" t="inlineStr">
        <is>
          <t>076-242-3321</t>
        </is>
      </c>
      <c r="F8" s="13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公式サイトと石川県の私立学校一覧で一致</t>
        </is>
      </c>
      <c r="N8" s="11" t="inlineStr">
        <is>
          <t>https://kanazawa-hs.jp/access/ ; https://www.pref.ishikawa.lg.jp/soumu/bunkyo/bunkyo2.html</t>
        </is>
      </c>
      <c r="O8" s="12" t="inlineStr">
        <is>
          <t>開く</t>
        </is>
      </c>
    </row>
    <row r="9">
      <c r="A9" s="4" t="n">
        <v>5</v>
      </c>
      <c r="B9" s="5" t="inlineStr">
        <is>
          <t>石川県</t>
        </is>
      </c>
      <c r="C9" s="5" t="inlineStr">
        <is>
          <t>金沢市</t>
        </is>
      </c>
      <c r="D9" s="5" t="inlineStr">
        <is>
          <t>金沢龍谷高等学校</t>
        </is>
      </c>
      <c r="E9" s="6" t="inlineStr">
        <is>
          <t>076-240-7777</t>
        </is>
      </c>
      <c r="F9" s="13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公式サイトで確認。中等部と共通</t>
        </is>
      </c>
      <c r="N9" s="11" t="inlineStr">
        <is>
          <t>https://www.kanazawa-ryukoku.jp/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石川県</t>
        </is>
      </c>
      <c r="C10" s="5" t="inlineStr">
        <is>
          <t>小松市</t>
        </is>
      </c>
      <c r="D10" s="5" t="inlineStr">
        <is>
          <t>小松大谷高等学校</t>
        </is>
      </c>
      <c r="E10" s="6" t="inlineStr">
        <is>
          <t>0761-44-2551</t>
        </is>
      </c>
      <c r="F10" s="13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公式サイトで確認。粟津学舎は0761-44-2552</t>
        </is>
      </c>
      <c r="N10" s="11" t="inlineStr">
        <is>
          <t>https://komatsu-otani.jp/category12/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石川県</t>
        </is>
      </c>
      <c r="C11" s="5" t="inlineStr">
        <is>
          <t>金沢市</t>
        </is>
      </c>
      <c r="D11" s="5" t="inlineStr">
        <is>
          <t>星稜高等学校</t>
        </is>
      </c>
      <c r="E11" s="6" t="inlineStr">
        <is>
          <t>076-252-2237</t>
        </is>
      </c>
      <c r="F11" s="13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公式サイトで確認</t>
        </is>
      </c>
      <c r="N11" s="11" t="inlineStr">
        <is>
          <t>https://www.seiryo-hs.jp/s/ ; https://www.mapion.co.jp/phonebook/M11004/17201/ILSP0000041122_ipclm/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石川県</t>
        </is>
      </c>
      <c r="C12" s="5" t="inlineStr">
        <is>
          <t>輪島市</t>
        </is>
      </c>
      <c r="D12" s="5" t="inlineStr">
        <is>
          <t>日本航空高等学校石川</t>
        </is>
      </c>
      <c r="E12" s="6" t="inlineStr">
        <is>
          <t>0768-26-2255</t>
        </is>
      </c>
      <c r="F12" s="7" t="inlineStr">
        <is>
          <t>中</t>
        </is>
      </c>
      <c r="G12" s="5" t="inlineStr">
        <is>
          <t>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【被災】能登空港キャンパスの番号（0768-26-2200の記載もあり）。2024年の地震後、一部機能を東京都青梅市へ移転（青梅キャンパス0428-27-0083）。2025年3月から一部生徒が輪島に戻っている。現状要確認</t>
        </is>
      </c>
      <c r="N12" s="11" t="inlineStr">
        <is>
          <t>https://www.jaaw-hs.net/campus/notoairport_campus/campus_info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石川県</t>
        </is>
      </c>
      <c r="C13" s="5" t="inlineStr">
        <is>
          <t>金沢市</t>
        </is>
      </c>
      <c r="D13" s="5" t="inlineStr">
        <is>
          <t>北陸学院高等学校</t>
        </is>
      </c>
      <c r="E13" s="6" t="inlineStr">
        <is>
          <t>076-221-1944</t>
        </is>
      </c>
      <c r="F13" s="13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公式サイトで確認（中高の問い合わせ先）</t>
        </is>
      </c>
      <c r="N13" s="11" t="inlineStr">
        <is>
          <t>https://www.hokurikugakuin.ac.jp/sj/contact/index.html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石川県</t>
        </is>
      </c>
      <c r="C14" s="5" t="inlineStr">
        <is>
          <t>金沢市</t>
        </is>
      </c>
      <c r="D14" s="5" t="inlineStr">
        <is>
          <t>遊学館高等学校</t>
        </is>
      </c>
      <c r="E14" s="6" t="inlineStr">
        <is>
          <t>076-262-8484</t>
        </is>
      </c>
      <c r="F14" s="13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複数サイトで一致、公式未確認</t>
        </is>
      </c>
      <c r="N14" s="11" t="inlineStr">
        <is>
          <t>https://www.mapion.co.jp/phonebook/M11004/17201/ILSP0000041055_ipclm/ ; https://www.gakkou.net/kou/view/index_302899.html</t>
        </is>
      </c>
      <c r="O14" s="12" t="inlineStr">
        <is>
          <t>開く</t>
        </is>
      </c>
    </row>
  </sheetData>
  <autoFilter ref="A4:O14"/>
  <conditionalFormatting sqref="A5:O1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4" showDropDown="0" showInputMessage="0" showErrorMessage="0" allowBlank="1" type="list">
      <formula1>"未架電,不在・折返し待ち,担当者不在,資料送付,アポ獲得,検討中,NG,番号不明"</formula1>
    </dataValidation>
    <dataValidation sqref="H5:H14 K5:K1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金沢市</t>
        </is>
      </c>
      <c r="B4" s="14">
        <f>COUNTIF('架電リスト'!$C$5:$C$14,A4)</f>
        <v/>
      </c>
      <c r="C4" s="14">
        <f>COUNTIFS('架電リスト'!$C$5:$C$14,A4,'架電リスト'!$E$5:$E$14,"&lt;&gt;")</f>
        <v/>
      </c>
      <c r="D4" s="14">
        <f>B4-COUNTIFS('架電リスト'!$C$5:$C$14,A4,'架電リスト'!$J$5:$J$14,"未架電")-COUNTIFS('架電リスト'!$C$5:$C$14,A4,'架電リスト'!$J$5:$J$14,"")</f>
        <v/>
      </c>
      <c r="E4" s="14">
        <f>COUNTIFS('架電リスト'!$C$5:$C$14,$A4,'架電リスト'!$J$5:$J$14,"不在・折返し待ち")</f>
        <v/>
      </c>
      <c r="F4" s="14">
        <f>COUNTIFS('架電リスト'!$C$5:$C$14,$A4,'架電リスト'!$J$5:$J$14,"担当者不在")</f>
        <v/>
      </c>
      <c r="G4" s="14">
        <f>COUNTIFS('架電リスト'!$C$5:$C$14,$A4,'架電リスト'!$J$5:$J$14,"資料送付")</f>
        <v/>
      </c>
      <c r="H4" s="14">
        <f>COUNTIFS('架電リスト'!$C$5:$C$14,$A4,'架電リスト'!$J$5:$J$14,"アポ獲得")</f>
        <v/>
      </c>
      <c r="I4" s="14">
        <f>COUNTIFS('架電リスト'!$C$5:$C$14,$A4,'架電リスト'!$J$5:$J$14,"検討中")</f>
        <v/>
      </c>
      <c r="J4" s="14">
        <f>COUNTIFS('架電リスト'!$C$5:$C$14,$A4,'架電リスト'!$J$5:$J$14,"NG")</f>
        <v/>
      </c>
      <c r="K4" s="14">
        <f>COUNTIFS('架電リスト'!$C$5:$C$14,$A4,'架電リスト'!$J$5:$J$14,"番号不明")</f>
        <v/>
      </c>
    </row>
    <row r="5">
      <c r="A5" s="14" t="inlineStr">
        <is>
          <t>白山市</t>
        </is>
      </c>
      <c r="B5" s="14">
        <f>COUNTIF('架電リスト'!$C$5:$C$14,A5)</f>
        <v/>
      </c>
      <c r="C5" s="14">
        <f>COUNTIFS('架電リスト'!$C$5:$C$14,A5,'架電リスト'!$E$5:$E$14,"&lt;&gt;")</f>
        <v/>
      </c>
      <c r="D5" s="14">
        <f>B5-COUNTIFS('架電リスト'!$C$5:$C$14,A5,'架電リスト'!$J$5:$J$14,"未架電")-COUNTIFS('架電リスト'!$C$5:$C$14,A5,'架電リスト'!$J$5:$J$14,"")</f>
        <v/>
      </c>
      <c r="E5" s="14">
        <f>COUNTIFS('架電リスト'!$C$5:$C$14,$A5,'架電リスト'!$J$5:$J$14,"不在・折返し待ち")</f>
        <v/>
      </c>
      <c r="F5" s="14">
        <f>COUNTIFS('架電リスト'!$C$5:$C$14,$A5,'架電リスト'!$J$5:$J$14,"担当者不在")</f>
        <v/>
      </c>
      <c r="G5" s="14">
        <f>COUNTIFS('架電リスト'!$C$5:$C$14,$A5,'架電リスト'!$J$5:$J$14,"資料送付")</f>
        <v/>
      </c>
      <c r="H5" s="14">
        <f>COUNTIFS('架電リスト'!$C$5:$C$14,$A5,'架電リスト'!$J$5:$J$14,"アポ獲得")</f>
        <v/>
      </c>
      <c r="I5" s="14">
        <f>COUNTIFS('架電リスト'!$C$5:$C$14,$A5,'架電リスト'!$J$5:$J$14,"検討中")</f>
        <v/>
      </c>
      <c r="J5" s="14">
        <f>COUNTIFS('架電リスト'!$C$5:$C$14,$A5,'架電リスト'!$J$5:$J$14,"NG")</f>
        <v/>
      </c>
      <c r="K5" s="14">
        <f>COUNTIFS('架電リスト'!$C$5:$C$14,$A5,'架電リスト'!$J$5:$J$14,"番号不明")</f>
        <v/>
      </c>
    </row>
    <row r="6">
      <c r="A6" s="14" t="inlineStr">
        <is>
          <t>七尾市</t>
        </is>
      </c>
      <c r="B6" s="14">
        <f>COUNTIF('架電リスト'!$C$5:$C$14,A6)</f>
        <v/>
      </c>
      <c r="C6" s="14">
        <f>COUNTIFS('架電リスト'!$C$5:$C$14,A6,'架電リスト'!$E$5:$E$14,"&lt;&gt;")</f>
        <v/>
      </c>
      <c r="D6" s="14">
        <f>B6-COUNTIFS('架電リスト'!$C$5:$C$14,A6,'架電リスト'!$J$5:$J$14,"未架電")-COUNTIFS('架電リスト'!$C$5:$C$14,A6,'架電リスト'!$J$5:$J$14,"")</f>
        <v/>
      </c>
      <c r="E6" s="14">
        <f>COUNTIFS('架電リスト'!$C$5:$C$14,$A6,'架電リスト'!$J$5:$J$14,"不在・折返し待ち")</f>
        <v/>
      </c>
      <c r="F6" s="14">
        <f>COUNTIFS('架電リスト'!$C$5:$C$14,$A6,'架電リスト'!$J$5:$J$14,"担当者不在")</f>
        <v/>
      </c>
      <c r="G6" s="14">
        <f>COUNTIFS('架電リスト'!$C$5:$C$14,$A6,'架電リスト'!$J$5:$J$14,"資料送付")</f>
        <v/>
      </c>
      <c r="H6" s="14">
        <f>COUNTIFS('架電リスト'!$C$5:$C$14,$A6,'架電リスト'!$J$5:$J$14,"アポ獲得")</f>
        <v/>
      </c>
      <c r="I6" s="14">
        <f>COUNTIFS('架電リスト'!$C$5:$C$14,$A6,'架電リスト'!$J$5:$J$14,"検討中")</f>
        <v/>
      </c>
      <c r="J6" s="14">
        <f>COUNTIFS('架電リスト'!$C$5:$C$14,$A6,'架電リスト'!$J$5:$J$14,"NG")</f>
        <v/>
      </c>
      <c r="K6" s="14">
        <f>COUNTIFS('架電リスト'!$C$5:$C$14,$A6,'架電リスト'!$J$5:$J$14,"番号不明")</f>
        <v/>
      </c>
    </row>
    <row r="7">
      <c r="A7" s="14" t="inlineStr">
        <is>
          <t>小松市</t>
        </is>
      </c>
      <c r="B7" s="14">
        <f>COUNTIF('架電リスト'!$C$5:$C$14,A7)</f>
        <v/>
      </c>
      <c r="C7" s="14">
        <f>COUNTIFS('架電リスト'!$C$5:$C$14,A7,'架電リスト'!$E$5:$E$14,"&lt;&gt;")</f>
        <v/>
      </c>
      <c r="D7" s="14">
        <f>B7-COUNTIFS('架電リスト'!$C$5:$C$14,A7,'架電リスト'!$J$5:$J$14,"未架電")-COUNTIFS('架電リスト'!$C$5:$C$14,A7,'架電リスト'!$J$5:$J$14,"")</f>
        <v/>
      </c>
      <c r="E7" s="14">
        <f>COUNTIFS('架電リスト'!$C$5:$C$14,$A7,'架電リスト'!$J$5:$J$14,"不在・折返し待ち")</f>
        <v/>
      </c>
      <c r="F7" s="14">
        <f>COUNTIFS('架電リスト'!$C$5:$C$14,$A7,'架電リスト'!$J$5:$J$14,"担当者不在")</f>
        <v/>
      </c>
      <c r="G7" s="14">
        <f>COUNTIFS('架電リスト'!$C$5:$C$14,$A7,'架電リスト'!$J$5:$J$14,"資料送付")</f>
        <v/>
      </c>
      <c r="H7" s="14">
        <f>COUNTIFS('架電リスト'!$C$5:$C$14,$A7,'架電リスト'!$J$5:$J$14,"アポ獲得")</f>
        <v/>
      </c>
      <c r="I7" s="14">
        <f>COUNTIFS('架電リスト'!$C$5:$C$14,$A7,'架電リスト'!$J$5:$J$14,"検討中")</f>
        <v/>
      </c>
      <c r="J7" s="14">
        <f>COUNTIFS('架電リスト'!$C$5:$C$14,$A7,'架電リスト'!$J$5:$J$14,"NG")</f>
        <v/>
      </c>
      <c r="K7" s="14">
        <f>COUNTIFS('架電リスト'!$C$5:$C$14,$A7,'架電リスト'!$J$5:$J$14,"番号不明")</f>
        <v/>
      </c>
    </row>
    <row r="8">
      <c r="A8" s="14" t="inlineStr">
        <is>
          <t>輪島市</t>
        </is>
      </c>
      <c r="B8" s="14">
        <f>COUNTIF('架電リスト'!$C$5:$C$14,A8)</f>
        <v/>
      </c>
      <c r="C8" s="14">
        <f>COUNTIFS('架電リスト'!$C$5:$C$14,A8,'架電リスト'!$E$5:$E$14,"&lt;&gt;")</f>
        <v/>
      </c>
      <c r="D8" s="14">
        <f>B8-COUNTIFS('架電リスト'!$C$5:$C$14,A8,'架電リスト'!$J$5:$J$14,"未架電")-COUNTIFS('架電リスト'!$C$5:$C$14,A8,'架電リスト'!$J$5:$J$14,"")</f>
        <v/>
      </c>
      <c r="E8" s="14">
        <f>COUNTIFS('架電リスト'!$C$5:$C$14,$A8,'架電リスト'!$J$5:$J$14,"不在・折返し待ち")</f>
        <v/>
      </c>
      <c r="F8" s="14">
        <f>COUNTIFS('架電リスト'!$C$5:$C$14,$A8,'架電リスト'!$J$5:$J$14,"担当者不在")</f>
        <v/>
      </c>
      <c r="G8" s="14">
        <f>COUNTIFS('架電リスト'!$C$5:$C$14,$A8,'架電リスト'!$J$5:$J$14,"資料送付")</f>
        <v/>
      </c>
      <c r="H8" s="14">
        <f>COUNTIFS('架電リスト'!$C$5:$C$14,$A8,'架電リスト'!$J$5:$J$14,"アポ獲得")</f>
        <v/>
      </c>
      <c r="I8" s="14">
        <f>COUNTIFS('架電リスト'!$C$5:$C$14,$A8,'架電リスト'!$J$5:$J$14,"検討中")</f>
        <v/>
      </c>
      <c r="J8" s="14">
        <f>COUNTIFS('架電リスト'!$C$5:$C$14,$A8,'架電リスト'!$J$5:$J$14,"NG")</f>
        <v/>
      </c>
      <c r="K8" s="14">
        <f>COUNTIFS('架電リスト'!$C$5:$C$14,$A8,'架電リスト'!$J$5:$J$14,"番号不明")</f>
        <v/>
      </c>
    </row>
    <row r="9">
      <c r="A9" s="15" t="inlineStr">
        <is>
          <t>合計</t>
        </is>
      </c>
      <c r="B9" s="15">
        <f>SUM(B4:B8)</f>
        <v/>
      </c>
      <c r="C9" s="15">
        <f>SUM(C4:C8)</f>
        <v/>
      </c>
      <c r="D9" s="15">
        <f>SUM(D4:D8)</f>
        <v/>
      </c>
      <c r="E9" s="15">
        <f>SUM(E4:E8)</f>
        <v/>
      </c>
      <c r="F9" s="15">
        <f>SUM(F4:F8)</f>
        <v/>
      </c>
      <c r="G9" s="15">
        <f>SUM(G4:G8)</f>
        <v/>
      </c>
      <c r="H9" s="15">
        <f>SUM(H4:H8)</f>
        <v/>
      </c>
      <c r="I9" s="15">
        <f>SUM(I4:I8)</f>
        <v/>
      </c>
      <c r="J9" s="15">
        <f>SUM(J4:J8)</f>
        <v/>
      </c>
      <c r="K9" s="15">
        <f>SUM(K4:K8)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・出典：ご提供いただいた学校ネットの検索結果（私立高校・石川県、10校）の貼り付けデータ。並び順は都道府県ごとに元データの掲載順です。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2026-10-13T08:37:16Z</dcterms:created>
  <dcterms:modified xsi:type="dcterms:W3CDTF">2026-10-13T08:37:16Z</dcterms:modified>
</cp:coreProperties>
</file>