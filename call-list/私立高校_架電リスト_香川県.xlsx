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270.html" TargetMode="External" Id="rId1" /><Relationship Type="http://schemas.openxmlformats.org/officeDocument/2006/relationships/hyperlink" Target="https://www.gakkou.net/kou/view/index_305290.html" TargetMode="External" Id="rId2" /><Relationship Type="http://schemas.openxmlformats.org/officeDocument/2006/relationships/hyperlink" Target="https://www.gakkou.net/kou/view/index_305303.html" TargetMode="External" Id="rId3" /><Relationship Type="http://schemas.openxmlformats.org/officeDocument/2006/relationships/hyperlink" Target="https://www.gakkou.net/kou/view/index_305305.html" TargetMode="External" Id="rId4" /><Relationship Type="http://schemas.openxmlformats.org/officeDocument/2006/relationships/hyperlink" Target="https://www.gakkou.net/kou/view/index_305314.html" TargetMode="External" Id="rId5" /><Relationship Type="http://schemas.openxmlformats.org/officeDocument/2006/relationships/hyperlink" Target="https://www.gakkou.net/kou/view/index_305295.html" TargetMode="External" Id="rId6" /><Relationship Type="http://schemas.openxmlformats.org/officeDocument/2006/relationships/hyperlink" Target="https://www.gakkou.net/kou/view/index_305317.html" TargetMode="External" Id="rId7" /><Relationship Type="http://schemas.openxmlformats.org/officeDocument/2006/relationships/hyperlink" Target="https://www.gakkou.net/kou/view/index_305313.html" TargetMode="External" Id="rId8" /><Relationship Type="http://schemas.openxmlformats.org/officeDocument/2006/relationships/hyperlink" Target="https://www.gakkou.net/kou/view/index_305277.html" TargetMode="External" Id="rId9" /><Relationship Type="http://schemas.openxmlformats.org/officeDocument/2006/relationships/hyperlink" Target="https://www.gakkou.net/kou/view/index_305327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架電リスト（香川県／10校）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香川県</t>
        </is>
      </c>
      <c r="C5" s="5" t="inlineStr">
        <is>
          <t>高松市</t>
        </is>
      </c>
      <c r="D5" s="5" t="inlineStr">
        <is>
          <t>英明高等学校</t>
        </is>
      </c>
      <c r="E5" s="6" t="inlineStr">
        <is>
          <t>087-833-3737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公式未確認。香川県私立中高連合会・複数サイトで一致。通信制課程も同じ番号</t>
        </is>
      </c>
      <c r="N5" s="11" t="inlineStr">
        <is>
          <t>https://www.kagawa-shigaku.jp/eimei</t>
        </is>
      </c>
      <c r="O5" s="12" t="inlineStr">
        <is>
          <t>開く</t>
        </is>
      </c>
    </row>
    <row r="6">
      <c r="A6" s="4" t="n">
        <v>2</v>
      </c>
      <c r="B6" s="5" t="inlineStr">
        <is>
          <t>香川県</t>
        </is>
      </c>
      <c r="C6" s="5" t="inlineStr">
        <is>
          <t>高松市</t>
        </is>
      </c>
      <c r="D6" s="5" t="inlineStr">
        <is>
          <t>大手前高松高等学校</t>
        </is>
      </c>
      <c r="E6" s="6" t="inlineStr">
        <is>
          <t>087-867-5970</t>
        </is>
      </c>
      <c r="F6" s="13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n"/>
      <c r="N6" s="11" t="inlineStr">
        <is>
          <t>https://www.otemae.net/contact/</t>
        </is>
      </c>
      <c r="O6" s="12" t="inlineStr">
        <is>
          <t>開く</t>
        </is>
      </c>
    </row>
    <row r="7">
      <c r="A7" s="4" t="n">
        <v>3</v>
      </c>
      <c r="B7" s="5" t="inlineStr">
        <is>
          <t>香川県</t>
        </is>
      </c>
      <c r="C7" s="5" t="inlineStr">
        <is>
          <t>丸亀市</t>
        </is>
      </c>
      <c r="D7" s="5" t="inlineStr">
        <is>
          <t>大手前丸亀高等学校</t>
        </is>
      </c>
      <c r="E7" s="6" t="inlineStr">
        <is>
          <t>0877-23-3161</t>
        </is>
      </c>
      <c r="F7" s="13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n"/>
      <c r="N7" s="11" t="inlineStr">
        <is>
          <t>https://www.otemae.ed.jp/contact_form/otoiawase.html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香川県</t>
        </is>
      </c>
      <c r="C8" s="5" t="inlineStr">
        <is>
          <t>丸亀市</t>
        </is>
      </c>
      <c r="D8" s="5" t="inlineStr">
        <is>
          <t>香川県藤井高等学校</t>
        </is>
      </c>
      <c r="E8" s="6" t="inlineStr">
        <is>
          <t>0877-22-2328</t>
        </is>
      </c>
      <c r="F8" s="13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2026年度から「蓬莱高等学校」に校名変更（法人も蓬莱学園に改称）</t>
        </is>
      </c>
      <c r="N8" s="11" t="inlineStr">
        <is>
          <t>https://www.fujii.ed.jp/fujii/</t>
        </is>
      </c>
      <c r="O8" s="12" t="inlineStr">
        <is>
          <t>開く</t>
        </is>
      </c>
    </row>
    <row r="9">
      <c r="A9" s="4" t="n">
        <v>5</v>
      </c>
      <c r="B9" s="5" t="inlineStr">
        <is>
          <t>香川県</t>
        </is>
      </c>
      <c r="C9" s="5" t="inlineStr">
        <is>
          <t>高松市</t>
        </is>
      </c>
      <c r="D9" s="5" t="inlineStr">
        <is>
          <t>香川誠陵高等学校</t>
        </is>
      </c>
      <c r="E9" s="6" t="inlineStr">
        <is>
          <t>087-881-7800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中高共通番号</t>
        </is>
      </c>
      <c r="N9" s="11" t="inlineStr">
        <is>
          <t>https://k-seiryo.ed.jp/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香川県</t>
        </is>
      </c>
      <c r="C10" s="5" t="inlineStr">
        <is>
          <t>坂出市</t>
        </is>
      </c>
      <c r="D10" s="5" t="inlineStr">
        <is>
          <t>坂出第一高等学校</t>
        </is>
      </c>
      <c r="E10" s="6" t="inlineStr">
        <is>
          <t>0877-46-2157</t>
        </is>
      </c>
      <c r="F10" s="13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https://www.sakaide1-h.ed.jp/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香川県</t>
        </is>
      </c>
      <c r="C11" s="5" t="inlineStr">
        <is>
          <t>三豊市</t>
        </is>
      </c>
      <c r="D11" s="5" t="inlineStr">
        <is>
          <t>四国学院大学香川西高等学校</t>
        </is>
      </c>
      <c r="E11" s="6" t="inlineStr">
        <is>
          <t>0875-72-5193</t>
        </is>
      </c>
      <c r="F11" s="13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三豊市HPとも一致</t>
        </is>
      </c>
      <c r="N11" s="11" t="inlineStr">
        <is>
          <t>https://www.kagawanishikou.com/contact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香川県</t>
        </is>
      </c>
      <c r="C12" s="5" t="inlineStr">
        <is>
          <t>善通寺市</t>
        </is>
      </c>
      <c r="D12" s="5" t="inlineStr">
        <is>
          <t>尽誠学園高等学校</t>
        </is>
      </c>
      <c r="E12" s="6" t="inlineStr">
        <is>
          <t>0877-62-1515</t>
        </is>
      </c>
      <c r="F12" s="13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県私立中高連合会とも一致。法人本部は0877-63-1717</t>
        </is>
      </c>
      <c r="N12" s="11" t="inlineStr">
        <is>
          <t>https://sites.google.com/jinsei.ac.jp/jinseiopenschool2020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香川県</t>
        </is>
      </c>
      <c r="C13" s="5" t="inlineStr">
        <is>
          <t>高松市</t>
        </is>
      </c>
      <c r="D13" s="5" t="inlineStr">
        <is>
          <t>高松中央高等学校</t>
        </is>
      </c>
      <c r="E13" s="6" t="inlineStr">
        <is>
          <t>087-831-1291</t>
        </is>
      </c>
      <c r="F13" s="13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全日制の番号。通信制課程は087-812-5285</t>
        </is>
      </c>
      <c r="N13" s="11" t="inlineStr">
        <is>
          <t>https://www.ta-chuo.ed.jp/contact/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香川県</t>
        </is>
      </c>
      <c r="C14" s="5" t="inlineStr">
        <is>
          <t>さぬき市</t>
        </is>
      </c>
      <c r="D14" s="5" t="inlineStr">
        <is>
          <t>藤井学園寒川高等学校</t>
        </is>
      </c>
      <c r="E14" s="6" t="inlineStr">
        <is>
          <t>0879-43-2571</t>
        </is>
      </c>
      <c r="F14" s="13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法人名は2026年に蓬莱学園へ改称</t>
        </is>
      </c>
      <c r="N14" s="11" t="inlineStr">
        <is>
          <t>https://www.sangawa.ed.jp/wp/contact/</t>
        </is>
      </c>
      <c r="O14" s="12" t="inlineStr">
        <is>
          <t>開く</t>
        </is>
      </c>
    </row>
  </sheetData>
  <autoFilter ref="A4:O14"/>
  <conditionalFormatting sqref="A5:O1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4" showDropDown="0" showInputMessage="0" showErrorMessage="0" allowBlank="1" type="list">
      <formula1>"未架電,不在・折返し待ち,担当者不在,資料送付,アポ獲得,検討中,NG,番号不明"</formula1>
    </dataValidation>
    <dataValidation sqref="H5:H14 K5:K1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高松市</t>
        </is>
      </c>
      <c r="B4" s="14">
        <f>COUNTIF('架電リスト'!$C$5:$C$14,A4)</f>
        <v/>
      </c>
      <c r="C4" s="14">
        <f>COUNTIFS('架電リスト'!$C$5:$C$14,A4,'架電リスト'!$E$5:$E$14,"&lt;&gt;")</f>
        <v/>
      </c>
      <c r="D4" s="14">
        <f>B4-COUNTIFS('架電リスト'!$C$5:$C$14,A4,'架電リスト'!$J$5:$J$14,"未架電")-COUNTIFS('架電リスト'!$C$5:$C$14,A4,'架電リスト'!$J$5:$J$14,"")</f>
        <v/>
      </c>
      <c r="E4" s="14">
        <f>COUNTIFS('架電リスト'!$C$5:$C$14,$A4,'架電リスト'!$J$5:$J$14,"不在・折返し待ち")</f>
        <v/>
      </c>
      <c r="F4" s="14">
        <f>COUNTIFS('架電リスト'!$C$5:$C$14,$A4,'架電リスト'!$J$5:$J$14,"担当者不在")</f>
        <v/>
      </c>
      <c r="G4" s="14">
        <f>COUNTIFS('架電リスト'!$C$5:$C$14,$A4,'架電リスト'!$J$5:$J$14,"資料送付")</f>
        <v/>
      </c>
      <c r="H4" s="14">
        <f>COUNTIFS('架電リスト'!$C$5:$C$14,$A4,'架電リスト'!$J$5:$J$14,"アポ獲得")</f>
        <v/>
      </c>
      <c r="I4" s="14">
        <f>COUNTIFS('架電リスト'!$C$5:$C$14,$A4,'架電リスト'!$J$5:$J$14,"検討中")</f>
        <v/>
      </c>
      <c r="J4" s="14">
        <f>COUNTIFS('架電リスト'!$C$5:$C$14,$A4,'架電リスト'!$J$5:$J$14,"NG")</f>
        <v/>
      </c>
      <c r="K4" s="14">
        <f>COUNTIFS('架電リスト'!$C$5:$C$14,$A4,'架電リスト'!$J$5:$J$14,"番号不明")</f>
        <v/>
      </c>
    </row>
    <row r="5">
      <c r="A5" s="14" t="inlineStr">
        <is>
          <t>丸亀市</t>
        </is>
      </c>
      <c r="B5" s="14">
        <f>COUNTIF('架電リスト'!$C$5:$C$14,A5)</f>
        <v/>
      </c>
      <c r="C5" s="14">
        <f>COUNTIFS('架電リスト'!$C$5:$C$14,A5,'架電リスト'!$E$5:$E$14,"&lt;&gt;")</f>
        <v/>
      </c>
      <c r="D5" s="14">
        <f>B5-COUNTIFS('架電リスト'!$C$5:$C$14,A5,'架電リスト'!$J$5:$J$14,"未架電")-COUNTIFS('架電リスト'!$C$5:$C$14,A5,'架電リスト'!$J$5:$J$14,"")</f>
        <v/>
      </c>
      <c r="E5" s="14">
        <f>COUNTIFS('架電リスト'!$C$5:$C$14,$A5,'架電リスト'!$J$5:$J$14,"不在・折返し待ち")</f>
        <v/>
      </c>
      <c r="F5" s="14">
        <f>COUNTIFS('架電リスト'!$C$5:$C$14,$A5,'架電リスト'!$J$5:$J$14,"担当者不在")</f>
        <v/>
      </c>
      <c r="G5" s="14">
        <f>COUNTIFS('架電リスト'!$C$5:$C$14,$A5,'架電リスト'!$J$5:$J$14,"資料送付")</f>
        <v/>
      </c>
      <c r="H5" s="14">
        <f>COUNTIFS('架電リスト'!$C$5:$C$14,$A5,'架電リスト'!$J$5:$J$14,"アポ獲得")</f>
        <v/>
      </c>
      <c r="I5" s="14">
        <f>COUNTIFS('架電リスト'!$C$5:$C$14,$A5,'架電リスト'!$J$5:$J$14,"検討中")</f>
        <v/>
      </c>
      <c r="J5" s="14">
        <f>COUNTIFS('架電リスト'!$C$5:$C$14,$A5,'架電リスト'!$J$5:$J$14,"NG")</f>
        <v/>
      </c>
      <c r="K5" s="14">
        <f>COUNTIFS('架電リスト'!$C$5:$C$14,$A5,'架電リスト'!$J$5:$J$14,"番号不明")</f>
        <v/>
      </c>
    </row>
    <row r="6">
      <c r="A6" s="14" t="inlineStr">
        <is>
          <t>坂出市</t>
        </is>
      </c>
      <c r="B6" s="14">
        <f>COUNTIF('架電リスト'!$C$5:$C$14,A6)</f>
        <v/>
      </c>
      <c r="C6" s="14">
        <f>COUNTIFS('架電リスト'!$C$5:$C$14,A6,'架電リスト'!$E$5:$E$14,"&lt;&gt;")</f>
        <v/>
      </c>
      <c r="D6" s="14">
        <f>B6-COUNTIFS('架電リスト'!$C$5:$C$14,A6,'架電リスト'!$J$5:$J$14,"未架電")-COUNTIFS('架電リスト'!$C$5:$C$14,A6,'架電リスト'!$J$5:$J$14,"")</f>
        <v/>
      </c>
      <c r="E6" s="14">
        <f>COUNTIFS('架電リスト'!$C$5:$C$14,$A6,'架電リスト'!$J$5:$J$14,"不在・折返し待ち")</f>
        <v/>
      </c>
      <c r="F6" s="14">
        <f>COUNTIFS('架電リスト'!$C$5:$C$14,$A6,'架電リスト'!$J$5:$J$14,"担当者不在")</f>
        <v/>
      </c>
      <c r="G6" s="14">
        <f>COUNTIFS('架電リスト'!$C$5:$C$14,$A6,'架電リスト'!$J$5:$J$14,"資料送付")</f>
        <v/>
      </c>
      <c r="H6" s="14">
        <f>COUNTIFS('架電リスト'!$C$5:$C$14,$A6,'架電リスト'!$J$5:$J$14,"アポ獲得")</f>
        <v/>
      </c>
      <c r="I6" s="14">
        <f>COUNTIFS('架電リスト'!$C$5:$C$14,$A6,'架電リスト'!$J$5:$J$14,"検討中")</f>
        <v/>
      </c>
      <c r="J6" s="14">
        <f>COUNTIFS('架電リスト'!$C$5:$C$14,$A6,'架電リスト'!$J$5:$J$14,"NG")</f>
        <v/>
      </c>
      <c r="K6" s="14">
        <f>COUNTIFS('架電リスト'!$C$5:$C$14,$A6,'架電リスト'!$J$5:$J$14,"番号不明")</f>
        <v/>
      </c>
    </row>
    <row r="7">
      <c r="A7" s="14" t="inlineStr">
        <is>
          <t>三豊市</t>
        </is>
      </c>
      <c r="B7" s="14">
        <f>COUNTIF('架電リスト'!$C$5:$C$14,A7)</f>
        <v/>
      </c>
      <c r="C7" s="14">
        <f>COUNTIFS('架電リスト'!$C$5:$C$14,A7,'架電リスト'!$E$5:$E$14,"&lt;&gt;")</f>
        <v/>
      </c>
      <c r="D7" s="14">
        <f>B7-COUNTIFS('架電リスト'!$C$5:$C$14,A7,'架電リスト'!$J$5:$J$14,"未架電")-COUNTIFS('架電リスト'!$C$5:$C$14,A7,'架電リスト'!$J$5:$J$14,"")</f>
        <v/>
      </c>
      <c r="E7" s="14">
        <f>COUNTIFS('架電リスト'!$C$5:$C$14,$A7,'架電リスト'!$J$5:$J$14,"不在・折返し待ち")</f>
        <v/>
      </c>
      <c r="F7" s="14">
        <f>COUNTIFS('架電リスト'!$C$5:$C$14,$A7,'架電リスト'!$J$5:$J$14,"担当者不在")</f>
        <v/>
      </c>
      <c r="G7" s="14">
        <f>COUNTIFS('架電リスト'!$C$5:$C$14,$A7,'架電リスト'!$J$5:$J$14,"資料送付")</f>
        <v/>
      </c>
      <c r="H7" s="14">
        <f>COUNTIFS('架電リスト'!$C$5:$C$14,$A7,'架電リスト'!$J$5:$J$14,"アポ獲得")</f>
        <v/>
      </c>
      <c r="I7" s="14">
        <f>COUNTIFS('架電リスト'!$C$5:$C$14,$A7,'架電リスト'!$J$5:$J$14,"検討中")</f>
        <v/>
      </c>
      <c r="J7" s="14">
        <f>COUNTIFS('架電リスト'!$C$5:$C$14,$A7,'架電リスト'!$J$5:$J$14,"NG")</f>
        <v/>
      </c>
      <c r="K7" s="14">
        <f>COUNTIFS('架電リスト'!$C$5:$C$14,$A7,'架電リスト'!$J$5:$J$14,"番号不明")</f>
        <v/>
      </c>
    </row>
    <row r="8">
      <c r="A8" s="14" t="inlineStr">
        <is>
          <t>善通寺市</t>
        </is>
      </c>
      <c r="B8" s="14">
        <f>COUNTIF('架電リスト'!$C$5:$C$14,A8)</f>
        <v/>
      </c>
      <c r="C8" s="14">
        <f>COUNTIFS('架電リスト'!$C$5:$C$14,A8,'架電リスト'!$E$5:$E$14,"&lt;&gt;")</f>
        <v/>
      </c>
      <c r="D8" s="14">
        <f>B8-COUNTIFS('架電リスト'!$C$5:$C$14,A8,'架電リスト'!$J$5:$J$14,"未架電")-COUNTIFS('架電リスト'!$C$5:$C$14,A8,'架電リスト'!$J$5:$J$14,"")</f>
        <v/>
      </c>
      <c r="E8" s="14">
        <f>COUNTIFS('架電リスト'!$C$5:$C$14,$A8,'架電リスト'!$J$5:$J$14,"不在・折返し待ち")</f>
        <v/>
      </c>
      <c r="F8" s="14">
        <f>COUNTIFS('架電リスト'!$C$5:$C$14,$A8,'架電リスト'!$J$5:$J$14,"担当者不在")</f>
        <v/>
      </c>
      <c r="G8" s="14">
        <f>COUNTIFS('架電リスト'!$C$5:$C$14,$A8,'架電リスト'!$J$5:$J$14,"資料送付")</f>
        <v/>
      </c>
      <c r="H8" s="14">
        <f>COUNTIFS('架電リスト'!$C$5:$C$14,$A8,'架電リスト'!$J$5:$J$14,"アポ獲得")</f>
        <v/>
      </c>
      <c r="I8" s="14">
        <f>COUNTIFS('架電リスト'!$C$5:$C$14,$A8,'架電リスト'!$J$5:$J$14,"検討中")</f>
        <v/>
      </c>
      <c r="J8" s="14">
        <f>COUNTIFS('架電リスト'!$C$5:$C$14,$A8,'架電リスト'!$J$5:$J$14,"NG")</f>
        <v/>
      </c>
      <c r="K8" s="14">
        <f>COUNTIFS('架電リスト'!$C$5:$C$14,$A8,'架電リスト'!$J$5:$J$14,"番号不明")</f>
        <v/>
      </c>
    </row>
    <row r="9">
      <c r="A9" s="14" t="inlineStr">
        <is>
          <t>さぬき市</t>
        </is>
      </c>
      <c r="B9" s="14">
        <f>COUNTIF('架電リスト'!$C$5:$C$14,A9)</f>
        <v/>
      </c>
      <c r="C9" s="14">
        <f>COUNTIFS('架電リスト'!$C$5:$C$14,A9,'架電リスト'!$E$5:$E$14,"&lt;&gt;")</f>
        <v/>
      </c>
      <c r="D9" s="14">
        <f>B9-COUNTIFS('架電リスト'!$C$5:$C$14,A9,'架電リスト'!$J$5:$J$14,"未架電")-COUNTIFS('架電リスト'!$C$5:$C$14,A9,'架電リスト'!$J$5:$J$14,"")</f>
        <v/>
      </c>
      <c r="E9" s="14">
        <f>COUNTIFS('架電リスト'!$C$5:$C$14,$A9,'架電リスト'!$J$5:$J$14,"不在・折返し待ち")</f>
        <v/>
      </c>
      <c r="F9" s="14">
        <f>COUNTIFS('架電リスト'!$C$5:$C$14,$A9,'架電リスト'!$J$5:$J$14,"担当者不在")</f>
        <v/>
      </c>
      <c r="G9" s="14">
        <f>COUNTIFS('架電リスト'!$C$5:$C$14,$A9,'架電リスト'!$J$5:$J$14,"資料送付")</f>
        <v/>
      </c>
      <c r="H9" s="14">
        <f>COUNTIFS('架電リスト'!$C$5:$C$14,$A9,'架電リスト'!$J$5:$J$14,"アポ獲得")</f>
        <v/>
      </c>
      <c r="I9" s="14">
        <f>COUNTIFS('架電リスト'!$C$5:$C$14,$A9,'架電リスト'!$J$5:$J$14,"検討中")</f>
        <v/>
      </c>
      <c r="J9" s="14">
        <f>COUNTIFS('架電リスト'!$C$5:$C$14,$A9,'架電リスト'!$J$5:$J$14,"NG")</f>
        <v/>
      </c>
      <c r="K9" s="14">
        <f>COUNTIFS('架電リスト'!$C$5:$C$14,$A9,'架電リスト'!$J$5:$J$14,"番号不明")</f>
        <v/>
      </c>
    </row>
    <row r="10">
      <c r="A10" s="15" t="inlineStr">
        <is>
          <t>合計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H10" s="15">
        <f>SUM(H4:H9)</f>
        <v/>
      </c>
      <c r="I10" s="15">
        <f>SUM(I4:I9)</f>
        <v/>
      </c>
      <c r="J10" s="15">
        <f>SUM(J4:J9)</f>
        <v/>
      </c>
      <c r="K10" s="15">
        <f>SUM(K4:K9)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・出典：ご提供いただいた学校ネットの検索結果（私立高校・香川県、10校）の貼り付けデータ。並び順は都道府県ごとに元データの掲載順です。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2026-10-14T01:52:21Z</dcterms:created>
  <dcterms:modified xsi:type="dcterms:W3CDTF">2026-10-14T01:52:21Z</dcterms:modified>
</cp:coreProperties>
</file>