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'架電リスト'!$A$4:$O$22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817.html" TargetMode="External" Id="rId1" /><Relationship Type="http://schemas.openxmlformats.org/officeDocument/2006/relationships/hyperlink" Target="https://www.gakkou.net/kou/view/index_303798.html" TargetMode="External" Id="rId2" /><Relationship Type="http://schemas.openxmlformats.org/officeDocument/2006/relationships/hyperlink" Target="https://www.gakkou.net/kou/view/index_303775.html" TargetMode="External" Id="rId3" /><Relationship Type="http://schemas.openxmlformats.org/officeDocument/2006/relationships/hyperlink" Target="https://www.gakkou.net/kou/view/index_303805.html" TargetMode="External" Id="rId4" /><Relationship Type="http://schemas.openxmlformats.org/officeDocument/2006/relationships/hyperlink" Target="https://www.gakkou.net/kou/view/index_306465.html" TargetMode="External" Id="rId5" /><Relationship Type="http://schemas.openxmlformats.org/officeDocument/2006/relationships/hyperlink" Target="https://www.gakkou.net/kou/view/index_306358.html" TargetMode="External" Id="rId6" /><Relationship Type="http://schemas.openxmlformats.org/officeDocument/2006/relationships/hyperlink" Target="https://www.gakkou.net/kou/view/index_303752.html" TargetMode="External" Id="rId7" /><Relationship Type="http://schemas.openxmlformats.org/officeDocument/2006/relationships/hyperlink" Target="https://www.gakkou.net/kou/view/index_306543.html" TargetMode="External" Id="rId8" /><Relationship Type="http://schemas.openxmlformats.org/officeDocument/2006/relationships/hyperlink" Target="https://www.gakkou.net/kou/view/index_303800.html" TargetMode="External" Id="rId9" /><Relationship Type="http://schemas.openxmlformats.org/officeDocument/2006/relationships/hyperlink" Target="https://www.gakkou.net/kou/view/index_303816.html" TargetMode="External" Id="rId10" /><Relationship Type="http://schemas.openxmlformats.org/officeDocument/2006/relationships/hyperlink" Target="https://www.gakkou.net/kou/view/index_303781.html" TargetMode="External" Id="rId11" /><Relationship Type="http://schemas.openxmlformats.org/officeDocument/2006/relationships/hyperlink" Target="https://www.gakkou.net/kou/view/index_303789.html" TargetMode="External" Id="rId12" /><Relationship Type="http://schemas.openxmlformats.org/officeDocument/2006/relationships/hyperlink" Target="https://www.gakkou.net/kou/view/index_303786.html" TargetMode="External" Id="rId13" /><Relationship Type="http://schemas.openxmlformats.org/officeDocument/2006/relationships/hyperlink" Target="https://www.gakkou.net/kou/view/index_303767.html" TargetMode="External" Id="rId14" /><Relationship Type="http://schemas.openxmlformats.org/officeDocument/2006/relationships/hyperlink" Target="https://www.gakkou.net/kou/view/index_306361.html" TargetMode="External" Id="rId15" /><Relationship Type="http://schemas.openxmlformats.org/officeDocument/2006/relationships/hyperlink" Target="https://www.gakkou.net/kou/view/index_303793.html" TargetMode="External" Id="rId16" /><Relationship Type="http://schemas.openxmlformats.org/officeDocument/2006/relationships/hyperlink" Target="https://www.gakkou.net/kou/view/index_303772.html" TargetMode="External" Id="rId17" /><Relationship Type="http://schemas.openxmlformats.org/officeDocument/2006/relationships/hyperlink" Target="https://www.gakkou.net/kou/view/index_306544.htm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架電リスト（三重県／18校）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三重県</t>
        </is>
      </c>
      <c r="C5" s="5" t="inlineStr">
        <is>
          <t>伊賀市</t>
        </is>
      </c>
      <c r="D5" s="5" t="inlineStr">
        <is>
          <t>愛農学園農業高等学校</t>
        </is>
      </c>
      <c r="E5" s="6" t="inlineStr">
        <is>
          <t>0595-52-0327</t>
        </is>
      </c>
      <c r="F5" s="7" t="inlineStr">
        <is>
          <t>高</t>
        </is>
      </c>
      <c r="G5" s="5" t="inlineStr">
        <is>
          <t>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公式サイトほかで一致</t>
        </is>
      </c>
      <c r="N5" s="11" t="inlineStr">
        <is>
          <t>https://ainogakuen.ed.jp/ ; https://www.mapion.co.jp/phonebook/M11004/24216/ILSP0000041735_ipclm/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三重県</t>
        </is>
      </c>
      <c r="C6" s="5" t="inlineStr">
        <is>
          <t>津市</t>
        </is>
      </c>
      <c r="D6" s="5" t="inlineStr">
        <is>
          <t>青山高等学校（三重県）</t>
        </is>
      </c>
      <c r="E6" s="6" t="inlineStr">
        <is>
          <t>059-262-4321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公式サイトに「代表」と記載</t>
        </is>
      </c>
      <c r="N6" s="11" t="inlineStr">
        <is>
          <t>https://aoyama-h.ed.jp/</t>
        </is>
      </c>
      <c r="O6" s="12" t="inlineStr">
        <is>
          <t>開く</t>
        </is>
      </c>
    </row>
    <row r="7">
      <c r="A7" s="4" t="n">
        <v>3</v>
      </c>
      <c r="B7" s="5" t="inlineStr">
        <is>
          <t>三重県</t>
        </is>
      </c>
      <c r="C7" s="5" t="inlineStr">
        <is>
          <t>四日市市</t>
        </is>
      </c>
      <c r="D7" s="5" t="inlineStr">
        <is>
          <t>暁高等学校</t>
        </is>
      </c>
      <c r="E7" s="6" t="inlineStr">
        <is>
          <t>059-337-2347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公式サイトの3年制課程の番号（「代表」の表記なし）。中高一貫（6年制）は059-337-1213。059-337-2345を載せるサイトもあり</t>
        </is>
      </c>
      <c r="N7" s="11" t="inlineStr">
        <is>
          <t>https://www.akatsuki.ed.jp/akatsuki-h/</t>
        </is>
      </c>
      <c r="O7" s="12" t="inlineStr">
        <is>
          <t>開く</t>
        </is>
      </c>
    </row>
    <row r="8">
      <c r="A8" s="4" t="n">
        <v>4</v>
      </c>
      <c r="B8" s="5" t="inlineStr">
        <is>
          <t>三重県</t>
        </is>
      </c>
      <c r="C8" s="5" t="inlineStr">
        <is>
          <t>伊勢市</t>
        </is>
      </c>
      <c r="D8" s="5" t="inlineStr">
        <is>
          <t>伊勢学園高等学校</t>
        </is>
      </c>
      <c r="E8" s="6" t="inlineStr">
        <is>
          <t>0596-22-4155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公式サイトで確認。0596-22-4836は法人事務局の番号</t>
        </is>
      </c>
      <c r="N8" s="11" t="inlineStr">
        <is>
          <t>https://www.isegakuen.ac.jp/contact.html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三重県</t>
        </is>
      </c>
      <c r="C9" s="5" t="inlineStr">
        <is>
          <t>伊勢市</t>
        </is>
      </c>
      <c r="D9" s="5" t="inlineStr">
        <is>
          <t>英心高等学校</t>
        </is>
      </c>
      <c r="E9" s="6" t="inlineStr">
        <is>
          <t>0596-28-2077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通信制。伊勢本校の番号（公式サイト）。桔梗が丘校は0595-41-1267</t>
        </is>
      </c>
      <c r="N9" s="11" t="inlineStr">
        <is>
          <t>https://www.ckip.jp/eishin/infomations/contact ; https://www.mapion.co.jp/phonebook/M11004/24203/ILSP0060149148_ipclm/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三重県</t>
        </is>
      </c>
      <c r="C10" s="5" t="inlineStr">
        <is>
          <t>四日市市</t>
        </is>
      </c>
      <c r="D10" s="5" t="inlineStr">
        <is>
          <t>大橋学園高等学校</t>
        </is>
      </c>
      <c r="E10" s="6" t="inlineStr">
        <is>
          <t>059-348-4800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通信制。公式サイトで確認。旧所在地の番号059-354-1357は使わない</t>
        </is>
      </c>
      <c r="N10" s="11" t="inlineStr">
        <is>
          <t>https://www.ohashigh.ed.jp/school_info/access/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三重県</t>
        </is>
      </c>
      <c r="C11" s="5" t="inlineStr">
        <is>
          <t>四日市市</t>
        </is>
      </c>
      <c r="D11" s="5" t="inlineStr">
        <is>
          <t>海星高等学校（三重県）</t>
        </is>
      </c>
      <c r="E11" s="6" t="inlineStr">
        <is>
          <t>059-345-0036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公式サイトで確認。中高共通</t>
        </is>
      </c>
      <c r="N11" s="11" t="inlineStr">
        <is>
          <t>https://www.kaisei.ed.jp/access/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三重県</t>
        </is>
      </c>
      <c r="C12" s="5" t="inlineStr">
        <is>
          <t>伊賀市</t>
        </is>
      </c>
      <c r="D12" s="5" t="inlineStr">
        <is>
          <t>神村学園高等部 伊賀分校</t>
        </is>
      </c>
      <c r="E12" s="6" t="inlineStr">
        <is>
          <t>0595-41-1234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公式サイトで確認（伊賀分校）。0595-53-1190を載せるサイトは旧番号の可能性</t>
        </is>
      </c>
      <c r="N12" s="11" t="inlineStr">
        <is>
          <t>https://angel.kamimura.ac.jp/koiki/iga/access/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三重県</t>
        </is>
      </c>
      <c r="C13" s="5" t="inlineStr">
        <is>
          <t>伊勢市</t>
        </is>
      </c>
      <c r="D13" s="5" t="inlineStr">
        <is>
          <t>皇學館高等学校</t>
        </is>
      </c>
      <c r="E13" s="6" t="inlineStr">
        <is>
          <t>0596-22-0205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</t>
        </is>
      </c>
      <c r="N13" s="11" t="inlineStr">
        <is>
          <t>https://www.kogakkan-h.jp/access/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三重県</t>
        </is>
      </c>
      <c r="C14" s="5" t="inlineStr">
        <is>
          <t>伊賀市</t>
        </is>
      </c>
      <c r="D14" s="5" t="inlineStr">
        <is>
          <t>桜丘高等学校（三重県）</t>
        </is>
      </c>
      <c r="E14" s="6" t="inlineStr">
        <is>
          <t>0595-38-1201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公式サイトで確認。中高共通</t>
        </is>
      </c>
      <c r="N14" s="11" t="inlineStr">
        <is>
          <t>https://sakura-gaoka.ed.jp/ ; https://school.js88.com/scl_h/22012400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三重県</t>
        </is>
      </c>
      <c r="C15" s="5" t="inlineStr">
        <is>
          <t>鈴鹿市</t>
        </is>
      </c>
      <c r="D15" s="5" t="inlineStr">
        <is>
          <t>鈴鹿高等学校</t>
        </is>
      </c>
      <c r="E15" s="6" t="inlineStr">
        <is>
          <t>059-378-0307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</t>
        </is>
      </c>
      <c r="N15" s="11" t="inlineStr">
        <is>
          <t>https://suzukakyoei.ed.jp/suzukah/page06_00/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三重県</t>
        </is>
      </c>
      <c r="C16" s="5" t="inlineStr">
        <is>
          <t>津市</t>
        </is>
      </c>
      <c r="D16" s="5" t="inlineStr">
        <is>
          <t>セントヨゼフ女子学園高等学校</t>
        </is>
      </c>
      <c r="E16" s="6" t="inlineStr">
        <is>
          <t>059-227-6465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公式サイトで確認。中高共通</t>
        </is>
      </c>
      <c r="N16" s="11" t="inlineStr">
        <is>
          <t>https://sjjg.ac.jp/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三重県</t>
        </is>
      </c>
      <c r="C17" s="5" t="inlineStr">
        <is>
          <t>津市</t>
        </is>
      </c>
      <c r="D17" s="5" t="inlineStr">
        <is>
          <t>高田高等学校</t>
        </is>
      </c>
      <c r="E17" s="6" t="inlineStr">
        <is>
          <t>059-232-2004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公式サイトで確認。中高共通。学苑本部（059-231-0367）とは別</t>
        </is>
      </c>
      <c r="N17" s="11" t="inlineStr">
        <is>
          <t>https://www.mie-takada-hj.ed.jp/hj4/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三重県</t>
        </is>
      </c>
      <c r="C18" s="5" t="inlineStr">
        <is>
          <t>桑名市</t>
        </is>
      </c>
      <c r="D18" s="5" t="inlineStr">
        <is>
          <t>津田学園高等学校</t>
        </is>
      </c>
      <c r="E18" s="6" t="inlineStr">
        <is>
          <t>0594-31-6311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公式サイトで確認。中高共通</t>
        </is>
      </c>
      <c r="N18" s="11" t="inlineStr">
        <is>
          <t>https://tsudagakuen.ac.jp/access.html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三重県</t>
        </is>
      </c>
      <c r="C19" s="5" t="inlineStr">
        <is>
          <t>亀山市</t>
        </is>
      </c>
      <c r="D19" s="5" t="inlineStr">
        <is>
          <t>徳風高等学校</t>
        </is>
      </c>
      <c r="E19" s="6" t="inlineStr">
        <is>
          <t>0595-82-3561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通信制。公式サイトで確認（徳風技能専門学校と共通）</t>
        </is>
      </c>
      <c r="N19" s="11" t="inlineStr">
        <is>
          <t>https://mietokufu.ed.jp/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三重県</t>
        </is>
      </c>
      <c r="C20" s="5" t="inlineStr">
        <is>
          <t>松阪市</t>
        </is>
      </c>
      <c r="D20" s="5" t="inlineStr">
        <is>
          <t>三重高等学校</t>
        </is>
      </c>
      <c r="E20" s="6" t="inlineStr">
        <is>
          <t>0598-29-2959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公式サイトと三重県のサイトで一致</t>
        </is>
      </c>
      <c r="N20" s="11" t="inlineStr">
        <is>
          <t>https://www.mie-mie-h.ed.jp/high/ ; https://www.pref.mie.lg.jp/SIGAKU/HP/shigaku/20490021350.htm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三重県</t>
        </is>
      </c>
      <c r="C21" s="5" t="inlineStr">
        <is>
          <t>四日市市</t>
        </is>
      </c>
      <c r="D21" s="5" t="inlineStr">
        <is>
          <t>四日市メリノール学院高等学校</t>
        </is>
      </c>
      <c r="E21" s="6" t="inlineStr">
        <is>
          <t>059-326-0067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公式サイトで確認（中高共通の事務室）</t>
        </is>
      </c>
      <c r="N21" s="11" t="inlineStr">
        <is>
          <t>https://maryknoll.ed.jp/contact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三重県</t>
        </is>
      </c>
      <c r="C22" s="5" t="inlineStr">
        <is>
          <t>志摩市</t>
        </is>
      </c>
      <c r="D22" s="5" t="inlineStr">
        <is>
          <t>代々木高等学校</t>
        </is>
      </c>
      <c r="E22" s="6" t="inlineStr">
        <is>
          <t>0599-56-0772</t>
        </is>
      </c>
      <c r="F22" s="13" t="inlineStr">
        <is>
          <t>中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広域通信制。志摩の本校。公式の問い合わせページの番号。0599-56-0770を載せる公式ページもあり、どちらが代表か不明</t>
        </is>
      </c>
      <c r="N22" s="11" t="inlineStr">
        <is>
          <t>https://yoyogi.ed.jp/otoiawasetel/</t>
        </is>
      </c>
      <c r="O22" s="12" t="inlineStr">
        <is>
          <t>開く</t>
        </is>
      </c>
    </row>
  </sheetData>
  <autoFilter ref="A4:O22"/>
  <conditionalFormatting sqref="A5:O22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2" showDropDown="0" showInputMessage="0" showErrorMessage="0" allowBlank="1" type="list">
      <formula1>"未架電,不在・折返し待ち,担当者不在,資料送付,アポ獲得,検討中,NG,番号不明"</formula1>
    </dataValidation>
    <dataValidation sqref="H5:H22 K5:K22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四日市市</t>
        </is>
      </c>
      <c r="B4" s="14">
        <f>COUNTIF('架電リスト'!$C$5:$C$22,A4)</f>
        <v/>
      </c>
      <c r="C4" s="14">
        <f>COUNTIFS('架電リスト'!$C$5:$C$22,A4,'架電リスト'!$E$5:$E$22,"&lt;&gt;")</f>
        <v/>
      </c>
      <c r="D4" s="14">
        <f>B4-COUNTIFS('架電リスト'!$C$5:$C$22,A4,'架電リスト'!$J$5:$J$22,"未架電")-COUNTIFS('架電リスト'!$C$5:$C$22,A4,'架電リスト'!$J$5:$J$22,"")</f>
        <v/>
      </c>
      <c r="E4" s="14">
        <f>COUNTIFS('架電リスト'!$C$5:$C$22,$A4,'架電リスト'!$J$5:$J$22,"不在・折返し待ち")</f>
        <v/>
      </c>
      <c r="F4" s="14">
        <f>COUNTIFS('架電リスト'!$C$5:$C$22,$A4,'架電リスト'!$J$5:$J$22,"担当者不在")</f>
        <v/>
      </c>
      <c r="G4" s="14">
        <f>COUNTIFS('架電リスト'!$C$5:$C$22,$A4,'架電リスト'!$J$5:$J$22,"資料送付")</f>
        <v/>
      </c>
      <c r="H4" s="14">
        <f>COUNTIFS('架電リスト'!$C$5:$C$22,$A4,'架電リスト'!$J$5:$J$22,"アポ獲得")</f>
        <v/>
      </c>
      <c r="I4" s="14">
        <f>COUNTIFS('架電リスト'!$C$5:$C$22,$A4,'架電リスト'!$J$5:$J$22,"検討中")</f>
        <v/>
      </c>
      <c r="J4" s="14">
        <f>COUNTIFS('架電リスト'!$C$5:$C$22,$A4,'架電リスト'!$J$5:$J$22,"NG")</f>
        <v/>
      </c>
      <c r="K4" s="14">
        <f>COUNTIFS('架電リスト'!$C$5:$C$22,$A4,'架電リスト'!$J$5:$J$22,"番号不明")</f>
        <v/>
      </c>
    </row>
    <row r="5">
      <c r="A5" s="14" t="inlineStr">
        <is>
          <t>伊賀市</t>
        </is>
      </c>
      <c r="B5" s="14">
        <f>COUNTIF('架電リスト'!$C$5:$C$22,A5)</f>
        <v/>
      </c>
      <c r="C5" s="14">
        <f>COUNTIFS('架電リスト'!$C$5:$C$22,A5,'架電リスト'!$E$5:$E$22,"&lt;&gt;")</f>
        <v/>
      </c>
      <c r="D5" s="14">
        <f>B5-COUNTIFS('架電リスト'!$C$5:$C$22,A5,'架電リスト'!$J$5:$J$22,"未架電")-COUNTIFS('架電リスト'!$C$5:$C$22,A5,'架電リスト'!$J$5:$J$22,"")</f>
        <v/>
      </c>
      <c r="E5" s="14">
        <f>COUNTIFS('架電リスト'!$C$5:$C$22,$A5,'架電リスト'!$J$5:$J$22,"不在・折返し待ち")</f>
        <v/>
      </c>
      <c r="F5" s="14">
        <f>COUNTIFS('架電リスト'!$C$5:$C$22,$A5,'架電リスト'!$J$5:$J$22,"担当者不在")</f>
        <v/>
      </c>
      <c r="G5" s="14">
        <f>COUNTIFS('架電リスト'!$C$5:$C$22,$A5,'架電リスト'!$J$5:$J$22,"資料送付")</f>
        <v/>
      </c>
      <c r="H5" s="14">
        <f>COUNTIFS('架電リスト'!$C$5:$C$22,$A5,'架電リスト'!$J$5:$J$22,"アポ獲得")</f>
        <v/>
      </c>
      <c r="I5" s="14">
        <f>COUNTIFS('架電リスト'!$C$5:$C$22,$A5,'架電リスト'!$J$5:$J$22,"検討中")</f>
        <v/>
      </c>
      <c r="J5" s="14">
        <f>COUNTIFS('架電リスト'!$C$5:$C$22,$A5,'架電リスト'!$J$5:$J$22,"NG")</f>
        <v/>
      </c>
      <c r="K5" s="14">
        <f>COUNTIFS('架電リスト'!$C$5:$C$22,$A5,'架電リスト'!$J$5:$J$22,"番号不明")</f>
        <v/>
      </c>
    </row>
    <row r="6">
      <c r="A6" s="14" t="inlineStr">
        <is>
          <t>津市</t>
        </is>
      </c>
      <c r="B6" s="14">
        <f>COUNTIF('架電リスト'!$C$5:$C$22,A6)</f>
        <v/>
      </c>
      <c r="C6" s="14">
        <f>COUNTIFS('架電リスト'!$C$5:$C$22,A6,'架電リスト'!$E$5:$E$22,"&lt;&gt;")</f>
        <v/>
      </c>
      <c r="D6" s="14">
        <f>B6-COUNTIFS('架電リスト'!$C$5:$C$22,A6,'架電リスト'!$J$5:$J$22,"未架電")-COUNTIFS('架電リスト'!$C$5:$C$22,A6,'架電リスト'!$J$5:$J$22,"")</f>
        <v/>
      </c>
      <c r="E6" s="14">
        <f>COUNTIFS('架電リスト'!$C$5:$C$22,$A6,'架電リスト'!$J$5:$J$22,"不在・折返し待ち")</f>
        <v/>
      </c>
      <c r="F6" s="14">
        <f>COUNTIFS('架電リスト'!$C$5:$C$22,$A6,'架電リスト'!$J$5:$J$22,"担当者不在")</f>
        <v/>
      </c>
      <c r="G6" s="14">
        <f>COUNTIFS('架電リスト'!$C$5:$C$22,$A6,'架電リスト'!$J$5:$J$22,"資料送付")</f>
        <v/>
      </c>
      <c r="H6" s="14">
        <f>COUNTIFS('架電リスト'!$C$5:$C$22,$A6,'架電リスト'!$J$5:$J$22,"アポ獲得")</f>
        <v/>
      </c>
      <c r="I6" s="14">
        <f>COUNTIFS('架電リスト'!$C$5:$C$22,$A6,'架電リスト'!$J$5:$J$22,"検討中")</f>
        <v/>
      </c>
      <c r="J6" s="14">
        <f>COUNTIFS('架電リスト'!$C$5:$C$22,$A6,'架電リスト'!$J$5:$J$22,"NG")</f>
        <v/>
      </c>
      <c r="K6" s="14">
        <f>COUNTIFS('架電リスト'!$C$5:$C$22,$A6,'架電リスト'!$J$5:$J$22,"番号不明")</f>
        <v/>
      </c>
    </row>
    <row r="7">
      <c r="A7" s="14" t="inlineStr">
        <is>
          <t>伊勢市</t>
        </is>
      </c>
      <c r="B7" s="14">
        <f>COUNTIF('架電リスト'!$C$5:$C$22,A7)</f>
        <v/>
      </c>
      <c r="C7" s="14">
        <f>COUNTIFS('架電リスト'!$C$5:$C$22,A7,'架電リスト'!$E$5:$E$22,"&lt;&gt;")</f>
        <v/>
      </c>
      <c r="D7" s="14">
        <f>B7-COUNTIFS('架電リスト'!$C$5:$C$22,A7,'架電リスト'!$J$5:$J$22,"未架電")-COUNTIFS('架電リスト'!$C$5:$C$22,A7,'架電リスト'!$J$5:$J$22,"")</f>
        <v/>
      </c>
      <c r="E7" s="14">
        <f>COUNTIFS('架電リスト'!$C$5:$C$22,$A7,'架電リスト'!$J$5:$J$22,"不在・折返し待ち")</f>
        <v/>
      </c>
      <c r="F7" s="14">
        <f>COUNTIFS('架電リスト'!$C$5:$C$22,$A7,'架電リスト'!$J$5:$J$22,"担当者不在")</f>
        <v/>
      </c>
      <c r="G7" s="14">
        <f>COUNTIFS('架電リスト'!$C$5:$C$22,$A7,'架電リスト'!$J$5:$J$22,"資料送付")</f>
        <v/>
      </c>
      <c r="H7" s="14">
        <f>COUNTIFS('架電リスト'!$C$5:$C$22,$A7,'架電リスト'!$J$5:$J$22,"アポ獲得")</f>
        <v/>
      </c>
      <c r="I7" s="14">
        <f>COUNTIFS('架電リスト'!$C$5:$C$22,$A7,'架電リスト'!$J$5:$J$22,"検討中")</f>
        <v/>
      </c>
      <c r="J7" s="14">
        <f>COUNTIFS('架電リスト'!$C$5:$C$22,$A7,'架電リスト'!$J$5:$J$22,"NG")</f>
        <v/>
      </c>
      <c r="K7" s="14">
        <f>COUNTIFS('架電リスト'!$C$5:$C$22,$A7,'架電リスト'!$J$5:$J$22,"番号不明")</f>
        <v/>
      </c>
    </row>
    <row r="8">
      <c r="A8" s="14" t="inlineStr">
        <is>
          <t>鈴鹿市</t>
        </is>
      </c>
      <c r="B8" s="14">
        <f>COUNTIF('架電リスト'!$C$5:$C$22,A8)</f>
        <v/>
      </c>
      <c r="C8" s="14">
        <f>COUNTIFS('架電リスト'!$C$5:$C$22,A8,'架電リスト'!$E$5:$E$22,"&lt;&gt;")</f>
        <v/>
      </c>
      <c r="D8" s="14">
        <f>B8-COUNTIFS('架電リスト'!$C$5:$C$22,A8,'架電リスト'!$J$5:$J$22,"未架電")-COUNTIFS('架電リスト'!$C$5:$C$22,A8,'架電リスト'!$J$5:$J$22,"")</f>
        <v/>
      </c>
      <c r="E8" s="14">
        <f>COUNTIFS('架電リスト'!$C$5:$C$22,$A8,'架電リスト'!$J$5:$J$22,"不在・折返し待ち")</f>
        <v/>
      </c>
      <c r="F8" s="14">
        <f>COUNTIFS('架電リスト'!$C$5:$C$22,$A8,'架電リスト'!$J$5:$J$22,"担当者不在")</f>
        <v/>
      </c>
      <c r="G8" s="14">
        <f>COUNTIFS('架電リスト'!$C$5:$C$22,$A8,'架電リスト'!$J$5:$J$22,"資料送付")</f>
        <v/>
      </c>
      <c r="H8" s="14">
        <f>COUNTIFS('架電リスト'!$C$5:$C$22,$A8,'架電リスト'!$J$5:$J$22,"アポ獲得")</f>
        <v/>
      </c>
      <c r="I8" s="14">
        <f>COUNTIFS('架電リスト'!$C$5:$C$22,$A8,'架電リスト'!$J$5:$J$22,"検討中")</f>
        <v/>
      </c>
      <c r="J8" s="14">
        <f>COUNTIFS('架電リスト'!$C$5:$C$22,$A8,'架電リスト'!$J$5:$J$22,"NG")</f>
        <v/>
      </c>
      <c r="K8" s="14">
        <f>COUNTIFS('架電リスト'!$C$5:$C$22,$A8,'架電リスト'!$J$5:$J$22,"番号不明")</f>
        <v/>
      </c>
    </row>
    <row r="9">
      <c r="A9" s="14" t="inlineStr">
        <is>
          <t>桑名市</t>
        </is>
      </c>
      <c r="B9" s="14">
        <f>COUNTIF('架電リスト'!$C$5:$C$22,A9)</f>
        <v/>
      </c>
      <c r="C9" s="14">
        <f>COUNTIFS('架電リスト'!$C$5:$C$22,A9,'架電リスト'!$E$5:$E$22,"&lt;&gt;")</f>
        <v/>
      </c>
      <c r="D9" s="14">
        <f>B9-COUNTIFS('架電リスト'!$C$5:$C$22,A9,'架電リスト'!$J$5:$J$22,"未架電")-COUNTIFS('架電リスト'!$C$5:$C$22,A9,'架電リスト'!$J$5:$J$22,"")</f>
        <v/>
      </c>
      <c r="E9" s="14">
        <f>COUNTIFS('架電リスト'!$C$5:$C$22,$A9,'架電リスト'!$J$5:$J$22,"不在・折返し待ち")</f>
        <v/>
      </c>
      <c r="F9" s="14">
        <f>COUNTIFS('架電リスト'!$C$5:$C$22,$A9,'架電リスト'!$J$5:$J$22,"担当者不在")</f>
        <v/>
      </c>
      <c r="G9" s="14">
        <f>COUNTIFS('架電リスト'!$C$5:$C$22,$A9,'架電リスト'!$J$5:$J$22,"資料送付")</f>
        <v/>
      </c>
      <c r="H9" s="14">
        <f>COUNTIFS('架電リスト'!$C$5:$C$22,$A9,'架電リスト'!$J$5:$J$22,"アポ獲得")</f>
        <v/>
      </c>
      <c r="I9" s="14">
        <f>COUNTIFS('架電リスト'!$C$5:$C$22,$A9,'架電リスト'!$J$5:$J$22,"検討中")</f>
        <v/>
      </c>
      <c r="J9" s="14">
        <f>COUNTIFS('架電リスト'!$C$5:$C$22,$A9,'架電リスト'!$J$5:$J$22,"NG")</f>
        <v/>
      </c>
      <c r="K9" s="14">
        <f>COUNTIFS('架電リスト'!$C$5:$C$22,$A9,'架電リスト'!$J$5:$J$22,"番号不明")</f>
        <v/>
      </c>
    </row>
    <row r="10">
      <c r="A10" s="14" t="inlineStr">
        <is>
          <t>亀山市</t>
        </is>
      </c>
      <c r="B10" s="14">
        <f>COUNTIF('架電リスト'!$C$5:$C$22,A10)</f>
        <v/>
      </c>
      <c r="C10" s="14">
        <f>COUNTIFS('架電リスト'!$C$5:$C$22,A10,'架電リスト'!$E$5:$E$22,"&lt;&gt;")</f>
        <v/>
      </c>
      <c r="D10" s="14">
        <f>B10-COUNTIFS('架電リスト'!$C$5:$C$22,A10,'架電リスト'!$J$5:$J$22,"未架電")-COUNTIFS('架電リスト'!$C$5:$C$22,A10,'架電リスト'!$J$5:$J$22,"")</f>
        <v/>
      </c>
      <c r="E10" s="14">
        <f>COUNTIFS('架電リスト'!$C$5:$C$22,$A10,'架電リスト'!$J$5:$J$22,"不在・折返し待ち")</f>
        <v/>
      </c>
      <c r="F10" s="14">
        <f>COUNTIFS('架電リスト'!$C$5:$C$22,$A10,'架電リスト'!$J$5:$J$22,"担当者不在")</f>
        <v/>
      </c>
      <c r="G10" s="14">
        <f>COUNTIFS('架電リスト'!$C$5:$C$22,$A10,'架電リスト'!$J$5:$J$22,"資料送付")</f>
        <v/>
      </c>
      <c r="H10" s="14">
        <f>COUNTIFS('架電リスト'!$C$5:$C$22,$A10,'架電リスト'!$J$5:$J$22,"アポ獲得")</f>
        <v/>
      </c>
      <c r="I10" s="14">
        <f>COUNTIFS('架電リスト'!$C$5:$C$22,$A10,'架電リスト'!$J$5:$J$22,"検討中")</f>
        <v/>
      </c>
      <c r="J10" s="14">
        <f>COUNTIFS('架電リスト'!$C$5:$C$22,$A10,'架電リスト'!$J$5:$J$22,"NG")</f>
        <v/>
      </c>
      <c r="K10" s="14">
        <f>COUNTIFS('架電リスト'!$C$5:$C$22,$A10,'架電リスト'!$J$5:$J$22,"番号不明")</f>
        <v/>
      </c>
    </row>
    <row r="11">
      <c r="A11" s="14" t="inlineStr">
        <is>
          <t>松阪市</t>
        </is>
      </c>
      <c r="B11" s="14">
        <f>COUNTIF('架電リスト'!$C$5:$C$22,A11)</f>
        <v/>
      </c>
      <c r="C11" s="14">
        <f>COUNTIFS('架電リスト'!$C$5:$C$22,A11,'架電リスト'!$E$5:$E$22,"&lt;&gt;")</f>
        <v/>
      </c>
      <c r="D11" s="14">
        <f>B11-COUNTIFS('架電リスト'!$C$5:$C$22,A11,'架電リスト'!$J$5:$J$22,"未架電")-COUNTIFS('架電リスト'!$C$5:$C$22,A11,'架電リスト'!$J$5:$J$22,"")</f>
        <v/>
      </c>
      <c r="E11" s="14">
        <f>COUNTIFS('架電リスト'!$C$5:$C$22,$A11,'架電リスト'!$J$5:$J$22,"不在・折返し待ち")</f>
        <v/>
      </c>
      <c r="F11" s="14">
        <f>COUNTIFS('架電リスト'!$C$5:$C$22,$A11,'架電リスト'!$J$5:$J$22,"担当者不在")</f>
        <v/>
      </c>
      <c r="G11" s="14">
        <f>COUNTIFS('架電リスト'!$C$5:$C$22,$A11,'架電リスト'!$J$5:$J$22,"資料送付")</f>
        <v/>
      </c>
      <c r="H11" s="14">
        <f>COUNTIFS('架電リスト'!$C$5:$C$22,$A11,'架電リスト'!$J$5:$J$22,"アポ獲得")</f>
        <v/>
      </c>
      <c r="I11" s="14">
        <f>COUNTIFS('架電リスト'!$C$5:$C$22,$A11,'架電リスト'!$J$5:$J$22,"検討中")</f>
        <v/>
      </c>
      <c r="J11" s="14">
        <f>COUNTIFS('架電リスト'!$C$5:$C$22,$A11,'架電リスト'!$J$5:$J$22,"NG")</f>
        <v/>
      </c>
      <c r="K11" s="14">
        <f>COUNTIFS('架電リスト'!$C$5:$C$22,$A11,'架電リスト'!$J$5:$J$22,"番号不明")</f>
        <v/>
      </c>
    </row>
    <row r="12">
      <c r="A12" s="14" t="inlineStr">
        <is>
          <t>志摩市</t>
        </is>
      </c>
      <c r="B12" s="14">
        <f>COUNTIF('架電リスト'!$C$5:$C$22,A12)</f>
        <v/>
      </c>
      <c r="C12" s="14">
        <f>COUNTIFS('架電リスト'!$C$5:$C$22,A12,'架電リスト'!$E$5:$E$22,"&lt;&gt;")</f>
        <v/>
      </c>
      <c r="D12" s="14">
        <f>B12-COUNTIFS('架電リスト'!$C$5:$C$22,A12,'架電リスト'!$J$5:$J$22,"未架電")-COUNTIFS('架電リスト'!$C$5:$C$22,A12,'架電リスト'!$J$5:$J$22,"")</f>
        <v/>
      </c>
      <c r="E12" s="14">
        <f>COUNTIFS('架電リスト'!$C$5:$C$22,$A12,'架電リスト'!$J$5:$J$22,"不在・折返し待ち")</f>
        <v/>
      </c>
      <c r="F12" s="14">
        <f>COUNTIFS('架電リスト'!$C$5:$C$22,$A12,'架電リスト'!$J$5:$J$22,"担当者不在")</f>
        <v/>
      </c>
      <c r="G12" s="14">
        <f>COUNTIFS('架電リスト'!$C$5:$C$22,$A12,'架電リスト'!$J$5:$J$22,"資料送付")</f>
        <v/>
      </c>
      <c r="H12" s="14">
        <f>COUNTIFS('架電リスト'!$C$5:$C$22,$A12,'架電リスト'!$J$5:$J$22,"アポ獲得")</f>
        <v/>
      </c>
      <c r="I12" s="14">
        <f>COUNTIFS('架電リスト'!$C$5:$C$22,$A12,'架電リスト'!$J$5:$J$22,"検討中")</f>
        <v/>
      </c>
      <c r="J12" s="14">
        <f>COUNTIFS('架電リスト'!$C$5:$C$22,$A12,'架電リスト'!$J$5:$J$22,"NG")</f>
        <v/>
      </c>
      <c r="K12" s="14">
        <f>COUNTIFS('架電リスト'!$C$5:$C$22,$A12,'架電リスト'!$J$5:$J$22,"番号不明")</f>
        <v/>
      </c>
    </row>
    <row r="13">
      <c r="A13" s="15" t="inlineStr">
        <is>
          <t>合計</t>
        </is>
      </c>
      <c r="B13" s="15">
        <f>SUM(B4:B12)</f>
        <v/>
      </c>
      <c r="C13" s="15">
        <f>SUM(C4:C12)</f>
        <v/>
      </c>
      <c r="D13" s="15">
        <f>SUM(D4:D12)</f>
        <v/>
      </c>
      <c r="E13" s="15">
        <f>SUM(E4:E12)</f>
        <v/>
      </c>
      <c r="F13" s="15">
        <f>SUM(F4:F12)</f>
        <v/>
      </c>
      <c r="G13" s="15">
        <f>SUM(G4:G12)</f>
        <v/>
      </c>
      <c r="H13" s="15">
        <f>SUM(H4:H12)</f>
        <v/>
      </c>
      <c r="I13" s="15">
        <f>SUM(I4:I12)</f>
        <v/>
      </c>
      <c r="J13" s="15">
        <f>SUM(J4:J12)</f>
        <v/>
      </c>
      <c r="K13" s="15">
        <f>SUM(K4:K12)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・出典：ご提供いただいた学校ネットの検索結果（私立高校・三重県、18校）の貼り付けデータ。並び順は都道府県ごとに元データの掲載順です。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2026-10-13T08:56:10Z</dcterms:created>
  <dcterms:modified xsi:type="dcterms:W3CDTF">2026-10-13T08:56:10Z</dcterms:modified>
</cp:coreProperties>
</file>