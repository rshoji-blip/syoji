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'架電リスト'!$A$4:$O$12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4738.html" TargetMode="External" Id="rId1" /><Relationship Type="http://schemas.openxmlformats.org/officeDocument/2006/relationships/hyperlink" Target="https://www.gakkou.net/kou/view/index_306762.html" TargetMode="External" Id="rId2" /><Relationship Type="http://schemas.openxmlformats.org/officeDocument/2006/relationships/hyperlink" Target="https://www.gakkou.net/kou/view/index_304727.html" TargetMode="External" Id="rId3" /><Relationship Type="http://schemas.openxmlformats.org/officeDocument/2006/relationships/hyperlink" Target="https://www.gakkou.net/kou/view/index_304731.html" TargetMode="External" Id="rId4" /><Relationship Type="http://schemas.openxmlformats.org/officeDocument/2006/relationships/hyperlink" Target="https://www.gakkou.net/kou/view/index_306551.html" TargetMode="External" Id="rId5" /><Relationship Type="http://schemas.openxmlformats.org/officeDocument/2006/relationships/hyperlink" Target="https://www.gakkou.net/kou/view/index_304753.html" TargetMode="External" Id="rId6" /><Relationship Type="http://schemas.openxmlformats.org/officeDocument/2006/relationships/hyperlink" Target="https://www.gakkou.net/kou/view/index_304764.html" TargetMode="External" Id="rId7" /><Relationship Type="http://schemas.openxmlformats.org/officeDocument/2006/relationships/hyperlink" Target="https://www.gakkou.net/kou/view/index_304754.html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架電リスト（鳥取県／8校）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鳥取県</t>
        </is>
      </c>
      <c r="C5" s="5" t="inlineStr">
        <is>
          <t>倉吉市</t>
        </is>
      </c>
      <c r="D5" s="5" t="inlineStr">
        <is>
          <t>倉吉北高等学校</t>
        </is>
      </c>
      <c r="E5" s="6" t="inlineStr">
        <is>
          <t>0858-26-1351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n"/>
      <c r="N5" s="11" t="inlineStr">
        <is>
          <t>https://kurayoshikita-h.ed.jp/contact/</t>
        </is>
      </c>
      <c r="O5" s="12" t="inlineStr">
        <is>
          <t>開く</t>
        </is>
      </c>
    </row>
    <row r="6">
      <c r="A6" s="4" t="n">
        <v>2</v>
      </c>
      <c r="B6" s="5" t="inlineStr">
        <is>
          <t>鳥取県</t>
        </is>
      </c>
      <c r="C6" s="5" t="inlineStr">
        <is>
          <t>鳥取市</t>
        </is>
      </c>
      <c r="D6" s="5" t="inlineStr">
        <is>
          <t>青翔開智高等学校</t>
        </is>
      </c>
      <c r="E6" s="6" t="inlineStr">
        <is>
          <t>0857-30-5541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中高一貫校の代表番号</t>
        </is>
      </c>
      <c r="N6" s="11" t="inlineStr">
        <is>
          <t>https://seishokaichi.jp/about/information/</t>
        </is>
      </c>
      <c r="O6" s="12" t="inlineStr">
        <is>
          <t>開く</t>
        </is>
      </c>
    </row>
    <row r="7">
      <c r="A7" s="4" t="n">
        <v>3</v>
      </c>
      <c r="B7" s="5" t="inlineStr">
        <is>
          <t>鳥取県</t>
        </is>
      </c>
      <c r="C7" s="5" t="inlineStr">
        <is>
          <t>鳥取市</t>
        </is>
      </c>
      <c r="D7" s="5" t="inlineStr">
        <is>
          <t>鳥取敬愛高等学校</t>
        </is>
      </c>
      <c r="E7" s="6" t="inlineStr">
        <is>
          <t>0857-22-8397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鳥取県資料でも一致</t>
        </is>
      </c>
      <c r="N7" s="11" t="inlineStr">
        <is>
          <t>https://t-ki.jp/publics/index/2/</t>
        </is>
      </c>
      <c r="O7" s="12" t="inlineStr">
        <is>
          <t>開く</t>
        </is>
      </c>
    </row>
    <row r="8">
      <c r="A8" s="4" t="n">
        <v>4</v>
      </c>
      <c r="B8" s="5" t="inlineStr">
        <is>
          <t>鳥取県</t>
        </is>
      </c>
      <c r="C8" s="5" t="inlineStr">
        <is>
          <t>鳥取市</t>
        </is>
      </c>
      <c r="D8" s="5" t="inlineStr">
        <is>
          <t>鳥取城北高等学校</t>
        </is>
      </c>
      <c r="E8" s="6" t="inlineStr">
        <is>
          <t>0857-23-3502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鳥取県資料でも一致</t>
        </is>
      </c>
      <c r="N8" s="11" t="inlineStr">
        <is>
          <t>https://www.tottori-johoku.ed.jp/contact</t>
        </is>
      </c>
      <c r="O8" s="12" t="inlineStr">
        <is>
          <t>開く</t>
        </is>
      </c>
    </row>
    <row r="9">
      <c r="A9" s="4" t="n">
        <v>5</v>
      </c>
      <c r="B9" s="5" t="inlineStr">
        <is>
          <t>鳥取県</t>
        </is>
      </c>
      <c r="C9" s="5" t="inlineStr">
        <is>
          <t>湯梨浜町</t>
        </is>
      </c>
      <c r="D9" s="5" t="inlineStr">
        <is>
          <t>湯梨浜学園高等学校</t>
        </is>
      </c>
      <c r="E9" s="6" t="inlineStr">
        <is>
          <t>0858-48-6810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中高の代表番号。通信制課程の窓口は0858-32-2777</t>
        </is>
      </c>
      <c r="N9" s="11" t="inlineStr">
        <is>
          <t>https://www.yurihamagakuen.ac.jp/about/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鳥取県</t>
        </is>
      </c>
      <c r="C10" s="5" t="inlineStr">
        <is>
          <t>米子市</t>
        </is>
      </c>
      <c r="D10" s="5" t="inlineStr">
        <is>
          <t>米子北高等学校</t>
        </is>
      </c>
      <c r="E10" s="6" t="inlineStr">
        <is>
          <t>0859-22-9371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鳥取県資料でも一致</t>
        </is>
      </c>
      <c r="N10" s="11" t="inlineStr">
        <is>
          <t>https://www.yonagokita.ed.jp/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鳥取県</t>
        </is>
      </c>
      <c r="C11" s="5" t="inlineStr">
        <is>
          <t>米子市</t>
        </is>
      </c>
      <c r="D11" s="5" t="inlineStr">
        <is>
          <t>米子松蔭高等学校</t>
        </is>
      </c>
      <c r="E11" s="6" t="inlineStr">
        <is>
          <t>0859-27-0421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n"/>
      <c r="N11" s="11" t="inlineStr">
        <is>
          <t>https://www.yonagoshoin.ed.jp/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鳥取県</t>
        </is>
      </c>
      <c r="C12" s="5" t="inlineStr">
        <is>
          <t>米子市</t>
        </is>
      </c>
      <c r="D12" s="5" t="inlineStr">
        <is>
          <t>米子北斗高等学校</t>
        </is>
      </c>
      <c r="E12" s="6" t="inlineStr">
        <is>
          <t>0859-29-6000</t>
        </is>
      </c>
      <c r="F12" s="13" t="inlineStr">
        <is>
          <t>中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公式未確認、複数サイトで一致</t>
        </is>
      </c>
      <c r="N12" s="11" t="inlineStr">
        <is>
          <t>https://www.mapion.co.jp/phonebook/M11004/31202/ILSP0000041708_ipclm/</t>
        </is>
      </c>
      <c r="O12" s="12" t="inlineStr">
        <is>
          <t>開く</t>
        </is>
      </c>
    </row>
  </sheetData>
  <autoFilter ref="A4:O12"/>
  <conditionalFormatting sqref="A5:O12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2" showDropDown="0" showInputMessage="0" showErrorMessage="0" allowBlank="1" type="list">
      <formula1>"未架電,不在・折返し待ち,担当者不在,資料送付,アポ獲得,検討中,NG,番号不明"</formula1>
    </dataValidation>
    <dataValidation sqref="H5:H12 K5:K12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鳥取市</t>
        </is>
      </c>
      <c r="B4" s="14">
        <f>COUNTIF('架電リスト'!$C$5:$C$12,A4)</f>
        <v/>
      </c>
      <c r="C4" s="14">
        <f>COUNTIFS('架電リスト'!$C$5:$C$12,A4,'架電リスト'!$E$5:$E$12,"&lt;&gt;")</f>
        <v/>
      </c>
      <c r="D4" s="14">
        <f>B4-COUNTIFS('架電リスト'!$C$5:$C$12,A4,'架電リスト'!$J$5:$J$12,"未架電")-COUNTIFS('架電リスト'!$C$5:$C$12,A4,'架電リスト'!$J$5:$J$12,"")</f>
        <v/>
      </c>
      <c r="E4" s="14">
        <f>COUNTIFS('架電リスト'!$C$5:$C$12,$A4,'架電リスト'!$J$5:$J$12,"不在・折返し待ち")</f>
        <v/>
      </c>
      <c r="F4" s="14">
        <f>COUNTIFS('架電リスト'!$C$5:$C$12,$A4,'架電リスト'!$J$5:$J$12,"担当者不在")</f>
        <v/>
      </c>
      <c r="G4" s="14">
        <f>COUNTIFS('架電リスト'!$C$5:$C$12,$A4,'架電リスト'!$J$5:$J$12,"資料送付")</f>
        <v/>
      </c>
      <c r="H4" s="14">
        <f>COUNTIFS('架電リスト'!$C$5:$C$12,$A4,'架電リスト'!$J$5:$J$12,"アポ獲得")</f>
        <v/>
      </c>
      <c r="I4" s="14">
        <f>COUNTIFS('架電リスト'!$C$5:$C$12,$A4,'架電リスト'!$J$5:$J$12,"検討中")</f>
        <v/>
      </c>
      <c r="J4" s="14">
        <f>COUNTIFS('架電リスト'!$C$5:$C$12,$A4,'架電リスト'!$J$5:$J$12,"NG")</f>
        <v/>
      </c>
      <c r="K4" s="14">
        <f>COUNTIFS('架電リスト'!$C$5:$C$12,$A4,'架電リスト'!$J$5:$J$12,"番号不明")</f>
        <v/>
      </c>
    </row>
    <row r="5">
      <c r="A5" s="14" t="inlineStr">
        <is>
          <t>米子市</t>
        </is>
      </c>
      <c r="B5" s="14">
        <f>COUNTIF('架電リスト'!$C$5:$C$12,A5)</f>
        <v/>
      </c>
      <c r="C5" s="14">
        <f>COUNTIFS('架電リスト'!$C$5:$C$12,A5,'架電リスト'!$E$5:$E$12,"&lt;&gt;")</f>
        <v/>
      </c>
      <c r="D5" s="14">
        <f>B5-COUNTIFS('架電リスト'!$C$5:$C$12,A5,'架電リスト'!$J$5:$J$12,"未架電")-COUNTIFS('架電リスト'!$C$5:$C$12,A5,'架電リスト'!$J$5:$J$12,"")</f>
        <v/>
      </c>
      <c r="E5" s="14">
        <f>COUNTIFS('架電リスト'!$C$5:$C$12,$A5,'架電リスト'!$J$5:$J$12,"不在・折返し待ち")</f>
        <v/>
      </c>
      <c r="F5" s="14">
        <f>COUNTIFS('架電リスト'!$C$5:$C$12,$A5,'架電リスト'!$J$5:$J$12,"担当者不在")</f>
        <v/>
      </c>
      <c r="G5" s="14">
        <f>COUNTIFS('架電リスト'!$C$5:$C$12,$A5,'架電リスト'!$J$5:$J$12,"資料送付")</f>
        <v/>
      </c>
      <c r="H5" s="14">
        <f>COUNTIFS('架電リスト'!$C$5:$C$12,$A5,'架電リスト'!$J$5:$J$12,"アポ獲得")</f>
        <v/>
      </c>
      <c r="I5" s="14">
        <f>COUNTIFS('架電リスト'!$C$5:$C$12,$A5,'架電リスト'!$J$5:$J$12,"検討中")</f>
        <v/>
      </c>
      <c r="J5" s="14">
        <f>COUNTIFS('架電リスト'!$C$5:$C$12,$A5,'架電リスト'!$J$5:$J$12,"NG")</f>
        <v/>
      </c>
      <c r="K5" s="14">
        <f>COUNTIFS('架電リスト'!$C$5:$C$12,$A5,'架電リスト'!$J$5:$J$12,"番号不明")</f>
        <v/>
      </c>
    </row>
    <row r="6">
      <c r="A6" s="14" t="inlineStr">
        <is>
          <t>倉吉市</t>
        </is>
      </c>
      <c r="B6" s="14">
        <f>COUNTIF('架電リスト'!$C$5:$C$12,A6)</f>
        <v/>
      </c>
      <c r="C6" s="14">
        <f>COUNTIFS('架電リスト'!$C$5:$C$12,A6,'架電リスト'!$E$5:$E$12,"&lt;&gt;")</f>
        <v/>
      </c>
      <c r="D6" s="14">
        <f>B6-COUNTIFS('架電リスト'!$C$5:$C$12,A6,'架電リスト'!$J$5:$J$12,"未架電")-COUNTIFS('架電リスト'!$C$5:$C$12,A6,'架電リスト'!$J$5:$J$12,"")</f>
        <v/>
      </c>
      <c r="E6" s="14">
        <f>COUNTIFS('架電リスト'!$C$5:$C$12,$A6,'架電リスト'!$J$5:$J$12,"不在・折返し待ち")</f>
        <v/>
      </c>
      <c r="F6" s="14">
        <f>COUNTIFS('架電リスト'!$C$5:$C$12,$A6,'架電リスト'!$J$5:$J$12,"担当者不在")</f>
        <v/>
      </c>
      <c r="G6" s="14">
        <f>COUNTIFS('架電リスト'!$C$5:$C$12,$A6,'架電リスト'!$J$5:$J$12,"資料送付")</f>
        <v/>
      </c>
      <c r="H6" s="14">
        <f>COUNTIFS('架電リスト'!$C$5:$C$12,$A6,'架電リスト'!$J$5:$J$12,"アポ獲得")</f>
        <v/>
      </c>
      <c r="I6" s="14">
        <f>COUNTIFS('架電リスト'!$C$5:$C$12,$A6,'架電リスト'!$J$5:$J$12,"検討中")</f>
        <v/>
      </c>
      <c r="J6" s="14">
        <f>COUNTIFS('架電リスト'!$C$5:$C$12,$A6,'架電リスト'!$J$5:$J$12,"NG")</f>
        <v/>
      </c>
      <c r="K6" s="14">
        <f>COUNTIFS('架電リスト'!$C$5:$C$12,$A6,'架電リスト'!$J$5:$J$12,"番号不明")</f>
        <v/>
      </c>
    </row>
    <row r="7">
      <c r="A7" s="14" t="inlineStr">
        <is>
          <t>湯梨浜町</t>
        </is>
      </c>
      <c r="B7" s="14">
        <f>COUNTIF('架電リスト'!$C$5:$C$12,A7)</f>
        <v/>
      </c>
      <c r="C7" s="14">
        <f>COUNTIFS('架電リスト'!$C$5:$C$12,A7,'架電リスト'!$E$5:$E$12,"&lt;&gt;")</f>
        <v/>
      </c>
      <c r="D7" s="14">
        <f>B7-COUNTIFS('架電リスト'!$C$5:$C$12,A7,'架電リスト'!$J$5:$J$12,"未架電")-COUNTIFS('架電リスト'!$C$5:$C$12,A7,'架電リスト'!$J$5:$J$12,"")</f>
        <v/>
      </c>
      <c r="E7" s="14">
        <f>COUNTIFS('架電リスト'!$C$5:$C$12,$A7,'架電リスト'!$J$5:$J$12,"不在・折返し待ち")</f>
        <v/>
      </c>
      <c r="F7" s="14">
        <f>COUNTIFS('架電リスト'!$C$5:$C$12,$A7,'架電リスト'!$J$5:$J$12,"担当者不在")</f>
        <v/>
      </c>
      <c r="G7" s="14">
        <f>COUNTIFS('架電リスト'!$C$5:$C$12,$A7,'架電リスト'!$J$5:$J$12,"資料送付")</f>
        <v/>
      </c>
      <c r="H7" s="14">
        <f>COUNTIFS('架電リスト'!$C$5:$C$12,$A7,'架電リスト'!$J$5:$J$12,"アポ獲得")</f>
        <v/>
      </c>
      <c r="I7" s="14">
        <f>COUNTIFS('架電リスト'!$C$5:$C$12,$A7,'架電リスト'!$J$5:$J$12,"検討中")</f>
        <v/>
      </c>
      <c r="J7" s="14">
        <f>COUNTIFS('架電リスト'!$C$5:$C$12,$A7,'架電リスト'!$J$5:$J$12,"NG")</f>
        <v/>
      </c>
      <c r="K7" s="14">
        <f>COUNTIFS('架電リスト'!$C$5:$C$12,$A7,'架電リスト'!$J$5:$J$12,"番号不明")</f>
        <v/>
      </c>
    </row>
    <row r="8">
      <c r="A8" s="15" t="inlineStr">
        <is>
          <t>合計</t>
        </is>
      </c>
      <c r="B8" s="15">
        <f>SUM(B4:B7)</f>
        <v/>
      </c>
      <c r="C8" s="15">
        <f>SUM(C4:C7)</f>
        <v/>
      </c>
      <c r="D8" s="15">
        <f>SUM(D4:D7)</f>
        <v/>
      </c>
      <c r="E8" s="15">
        <f>SUM(E4:E7)</f>
        <v/>
      </c>
      <c r="F8" s="15">
        <f>SUM(F4:F7)</f>
        <v/>
      </c>
      <c r="G8" s="15">
        <f>SUM(G4:G7)</f>
        <v/>
      </c>
      <c r="H8" s="15">
        <f>SUM(H4:H7)</f>
        <v/>
      </c>
      <c r="I8" s="15">
        <f>SUM(I4:I7)</f>
        <v/>
      </c>
      <c r="J8" s="15">
        <f>SUM(J4:J7)</f>
        <v/>
      </c>
      <c r="K8" s="15">
        <f>SUM(K4:K7)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・出典：ご提供いただいた学校ネットの検索結果（私立高校・鳥取県、8校）の貼り付けデータ。並び順は都道府県ごとに元データの掲載順です。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2026-10-14T01:48:06Z</dcterms:created>
  <dcterms:modified xsi:type="dcterms:W3CDTF">2026-10-14T01:48:06Z</dcterms:modified>
</cp:coreProperties>
</file>