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'架電リスト'!$A$4:$O$26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5784.html" TargetMode="External" Id="rId1" /><Relationship Type="http://schemas.openxmlformats.org/officeDocument/2006/relationships/hyperlink" Target="https://www.gakkou.net/kou/view/index_305798.html" TargetMode="External" Id="rId2" /><Relationship Type="http://schemas.openxmlformats.org/officeDocument/2006/relationships/hyperlink" Target="https://www.gakkou.net/kou/view/index_305837.html" TargetMode="External" Id="rId3" /><Relationship Type="http://schemas.openxmlformats.org/officeDocument/2006/relationships/hyperlink" Target="https://www.gakkou.net/kou/view/index_305777.html" TargetMode="External" Id="rId4" /><Relationship Type="http://schemas.openxmlformats.org/officeDocument/2006/relationships/hyperlink" Target="https://www.gakkou.net/kou/view/index_305827.html" TargetMode="External" Id="rId5" /><Relationship Type="http://schemas.openxmlformats.org/officeDocument/2006/relationships/hyperlink" Target="https://www.gakkou.net/kou/view/index_305832.html" TargetMode="External" Id="rId6" /><Relationship Type="http://schemas.openxmlformats.org/officeDocument/2006/relationships/hyperlink" Target="https://www.gakkou.net/kou/view/index_305849.html" TargetMode="External" Id="rId7" /><Relationship Type="http://schemas.openxmlformats.org/officeDocument/2006/relationships/hyperlink" Target="https://www.gakkou.net/kou/view/index_305836.html" TargetMode="External" Id="rId8" /><Relationship Type="http://schemas.openxmlformats.org/officeDocument/2006/relationships/hyperlink" Target="https://www.gakkou.net/kou/view/index_305825.html" TargetMode="External" Id="rId9" /><Relationship Type="http://schemas.openxmlformats.org/officeDocument/2006/relationships/hyperlink" Target="https://www.gakkou.net/kou/view/index_305802.html" TargetMode="External" Id="rId10" /><Relationship Type="http://schemas.openxmlformats.org/officeDocument/2006/relationships/hyperlink" Target="https://www.gakkou.net/kou/view/index_305793.html" TargetMode="External" Id="rId11" /><Relationship Type="http://schemas.openxmlformats.org/officeDocument/2006/relationships/hyperlink" Target="https://www.gakkou.net/kou/view/index_306693.html" TargetMode="External" Id="rId12" /><Relationship Type="http://schemas.openxmlformats.org/officeDocument/2006/relationships/hyperlink" Target="https://www.gakkou.net/kou/view/index_305776.html" TargetMode="External" Id="rId13" /><Relationship Type="http://schemas.openxmlformats.org/officeDocument/2006/relationships/hyperlink" Target="https://www.gakkou.net/kou/view/index_305833.html" TargetMode="External" Id="rId14" /><Relationship Type="http://schemas.openxmlformats.org/officeDocument/2006/relationships/hyperlink" Target="https://www.gakkou.net/kou/view/index_305816.html" TargetMode="External" Id="rId15" /><Relationship Type="http://schemas.openxmlformats.org/officeDocument/2006/relationships/hyperlink" Target="https://www.gakkou.net/kou/view/index_305817.html" TargetMode="External" Id="rId16" /><Relationship Type="http://schemas.openxmlformats.org/officeDocument/2006/relationships/hyperlink" Target="https://www.gakkou.net/kou/view/index_305778.html" TargetMode="External" Id="rId17" /><Relationship Type="http://schemas.openxmlformats.org/officeDocument/2006/relationships/hyperlink" Target="https://www.gakkou.net/kou/view/index_305781.html" TargetMode="External" Id="rId18" /><Relationship Type="http://schemas.openxmlformats.org/officeDocument/2006/relationships/hyperlink" Target="https://www.gakkou.net/kou/view/index_305783.html" TargetMode="External" Id="rId19" /><Relationship Type="http://schemas.openxmlformats.org/officeDocument/2006/relationships/hyperlink" Target="https://www.gakkou.net/kou/view/index_305788.html" TargetMode="External" Id="rId20" /><Relationship Type="http://schemas.openxmlformats.org/officeDocument/2006/relationships/hyperlink" Target="https://www.gakkou.net/kou/view/index_305801.html" TargetMode="External" Id="rId21" /><Relationship Type="http://schemas.openxmlformats.org/officeDocument/2006/relationships/hyperlink" Target="https://www.gakkou.net/kou/view/index_305815.html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架電リスト（長崎県／22校）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長崎県</t>
        </is>
      </c>
      <c r="C5" s="5" t="inlineStr">
        <is>
          <t>長崎市</t>
        </is>
      </c>
      <c r="D5" s="5" t="inlineStr">
        <is>
          <t>海星高等学校（長崎県）</t>
        </is>
      </c>
      <c r="E5" s="6" t="inlineStr">
        <is>
          <t>095-826-7321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ステラマリス直通095-821-0705は別番号</t>
        </is>
      </c>
      <c r="N5" s="11" t="inlineStr">
        <is>
          <t>https://kaisei-ngs.ed.jp/gakuen-shokai/kotsu-access/</t>
        </is>
      </c>
      <c r="O5" s="12" t="inlineStr">
        <is>
          <t>開く</t>
        </is>
      </c>
    </row>
    <row r="6">
      <c r="A6" s="4" t="n">
        <v>2</v>
      </c>
      <c r="B6" s="5" t="inlineStr">
        <is>
          <t>長崎県</t>
        </is>
      </c>
      <c r="C6" s="5" t="inlineStr">
        <is>
          <t>長崎市</t>
        </is>
      </c>
      <c r="D6" s="5" t="inlineStr">
        <is>
          <t>活水高等学校</t>
        </is>
      </c>
      <c r="E6" s="6" t="inlineStr">
        <is>
          <t>095-861-5176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n"/>
      <c r="N6" s="11" t="inlineStr">
        <is>
          <t>https://www.kwassui.ac.jp/chuko/hs/hs-news.html</t>
        </is>
      </c>
      <c r="O6" s="12" t="inlineStr">
        <is>
          <t>開く</t>
        </is>
      </c>
    </row>
    <row r="7">
      <c r="A7" s="4" t="n">
        <v>3</v>
      </c>
      <c r="B7" s="5" t="inlineStr">
        <is>
          <t>長崎県</t>
        </is>
      </c>
      <c r="C7" s="5" t="inlineStr">
        <is>
          <t>佐世保市</t>
        </is>
      </c>
      <c r="D7" s="5" t="inlineStr">
        <is>
          <t>九州文化学園高等学校</t>
        </is>
      </c>
      <c r="E7" s="6" t="inlineStr">
        <is>
          <t>0956-26-2323</t>
        </is>
      </c>
      <c r="F7" s="7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事務室番号。職員室0956-26-2325</t>
        </is>
      </c>
      <c r="N7" s="11" t="inlineStr">
        <is>
          <t>https://high-school.kyubun.ed.jp/about/access/</t>
        </is>
      </c>
      <c r="O7" s="12" t="inlineStr">
        <is>
          <t>開く</t>
        </is>
      </c>
    </row>
    <row r="8">
      <c r="A8" s="4" t="n">
        <v>4</v>
      </c>
      <c r="B8" s="5" t="inlineStr">
        <is>
          <t>長崎県</t>
        </is>
      </c>
      <c r="C8" s="5" t="inlineStr">
        <is>
          <t>長崎市</t>
        </is>
      </c>
      <c r="D8" s="5" t="inlineStr">
        <is>
          <t>瓊浦高等学校</t>
        </is>
      </c>
      <c r="E8" s="6" t="inlineStr">
        <is>
          <t>095-826-1261</t>
        </is>
      </c>
      <c r="F8" s="13" t="inlineStr">
        <is>
          <t>中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公式未確認、複数サイトで一致</t>
        </is>
      </c>
      <c r="N8" s="11" t="inlineStr">
        <is>
          <t>https://www.gakkou.net/kou/view/index_305777.html</t>
        </is>
      </c>
      <c r="O8" s="12" t="inlineStr">
        <is>
          <t>開く</t>
        </is>
      </c>
    </row>
    <row r="9">
      <c r="A9" s="4" t="n">
        <v>5</v>
      </c>
      <c r="B9" s="5" t="inlineStr">
        <is>
          <t>長崎県</t>
        </is>
      </c>
      <c r="C9" s="5" t="inlineStr">
        <is>
          <t>大村市</t>
        </is>
      </c>
      <c r="D9" s="5" t="inlineStr">
        <is>
          <t>向陽高等学校</t>
        </is>
      </c>
      <c r="E9" s="6" t="inlineStr">
        <is>
          <t>0957-53-1110</t>
        </is>
      </c>
      <c r="F9" s="7" t="inlineStr">
        <is>
          <t>高</t>
        </is>
      </c>
      <c r="G9" s="5" t="inlineStr">
        <is>
          <t>普通科・専門学科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大村市サイトとも一致。職員室0957-53-9767</t>
        </is>
      </c>
      <c r="N9" s="11" t="inlineStr">
        <is>
          <t>http://www.koyogakuen.ed.jp/high_school/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長崎県</t>
        </is>
      </c>
      <c r="C10" s="5" t="inlineStr">
        <is>
          <t>佐世保市</t>
        </is>
      </c>
      <c r="D10" s="5" t="inlineStr">
        <is>
          <t>西海学園高等学校</t>
        </is>
      </c>
      <c r="E10" s="6" t="inlineStr">
        <is>
          <t>0956-23-6161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n"/>
      <c r="N10" s="11" t="inlineStr">
        <is>
          <t>https://saikaigakuen.ed.jp/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長崎県</t>
        </is>
      </c>
      <c r="C11" s="5" t="inlineStr">
        <is>
          <t>佐世保市</t>
        </is>
      </c>
      <c r="D11" s="5" t="inlineStr">
        <is>
          <t>佐世保実業高等学校</t>
        </is>
      </c>
      <c r="E11" s="6" t="inlineStr">
        <is>
          <t>0956-48-8881</t>
        </is>
      </c>
      <c r="F11" s="7" t="inlineStr">
        <is>
          <t>高</t>
        </is>
      </c>
      <c r="G11" s="5" t="inlineStr">
        <is>
          <t>専門学科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代表番号。教務室0956-48-8883</t>
        </is>
      </c>
      <c r="N11" s="11" t="inlineStr">
        <is>
          <t>https://sajitsu.ed.jp/contact/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長崎県</t>
        </is>
      </c>
      <c r="C12" s="5" t="inlineStr">
        <is>
          <t>佐世保市</t>
        </is>
      </c>
      <c r="D12" s="5" t="inlineStr">
        <is>
          <t>佐世保女子高等学校</t>
        </is>
      </c>
      <c r="E12" s="6" t="inlineStr">
        <is>
          <t>0956-22-4349</t>
        </is>
      </c>
      <c r="F12" s="13" t="inlineStr">
        <is>
          <t>中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正式名は久田学園佐世保女子高等学校。公式未確認、複数資料で一致</t>
        </is>
      </c>
      <c r="N12" s="11" t="inlineStr">
        <is>
          <t>https://www.mapion.co.jp/phonebook/M11004/42202/ILSP0000041755_ipclm/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長崎県</t>
        </is>
      </c>
      <c r="C13" s="5" t="inlineStr">
        <is>
          <t>島原市</t>
        </is>
      </c>
      <c r="D13" s="5" t="inlineStr">
        <is>
          <t>島原中央高等学校</t>
        </is>
      </c>
      <c r="E13" s="6" t="inlineStr">
        <is>
          <t>0957-62-2435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n"/>
      <c r="N13" s="11" t="inlineStr">
        <is>
          <t>https://shimabara-chuo.ac.jp/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長崎県</t>
        </is>
      </c>
      <c r="C14" s="5" t="inlineStr">
        <is>
          <t>長崎市</t>
        </is>
      </c>
      <c r="D14" s="5" t="inlineStr">
        <is>
          <t>純心女子高等学校</t>
        </is>
      </c>
      <c r="E14" s="6" t="inlineStr">
        <is>
          <t>095-844-1175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中高共通の代表番号</t>
        </is>
      </c>
      <c r="N14" s="11" t="inlineStr">
        <is>
          <t>https://www.n-junshin.ed.jp/access/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長崎県</t>
        </is>
      </c>
      <c r="C15" s="5" t="inlineStr">
        <is>
          <t>時津町</t>
        </is>
      </c>
      <c r="D15" s="5" t="inlineStr">
        <is>
          <t>青雲高等学校</t>
        </is>
      </c>
      <c r="E15" s="6" t="inlineStr">
        <is>
          <t>095-882-0678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中高共通の代表番号</t>
        </is>
      </c>
      <c r="N15" s="11" t="inlineStr">
        <is>
          <t>https://seiun-jh.ed.jp/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長崎県</t>
        </is>
      </c>
      <c r="C16" s="5" t="inlineStr">
        <is>
          <t>長崎市</t>
        </is>
      </c>
      <c r="D16" s="5" t="inlineStr">
        <is>
          <t>精道三川台高等学校</t>
        </is>
      </c>
      <c r="E16" s="6" t="inlineStr">
        <is>
          <t>095-845-6161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中高一貫。FAXは095-845-6166</t>
        </is>
      </c>
      <c r="N16" s="11" t="inlineStr">
        <is>
          <t>https://seido-gakuen.net/secondary/about-school/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長崎県</t>
        </is>
      </c>
      <c r="C17" s="5" t="inlineStr">
        <is>
          <t>長崎市</t>
        </is>
      </c>
      <c r="D17" s="5" t="inlineStr">
        <is>
          <t>聖母の騎士高等学校</t>
        </is>
      </c>
      <c r="E17" s="6" t="inlineStr">
        <is>
          <t>095-823-4523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n"/>
      <c r="N17" s="11" t="inlineStr">
        <is>
          <t>https://www.seibonokishi.ed.jp/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長崎県</t>
        </is>
      </c>
      <c r="C18" s="5" t="inlineStr">
        <is>
          <t>佐世保市</t>
        </is>
      </c>
      <c r="D18" s="5" t="inlineStr">
        <is>
          <t>聖和女子学院高等学校</t>
        </is>
      </c>
      <c r="E18" s="6" t="inlineStr">
        <is>
          <t>0956-22-7380</t>
        </is>
      </c>
      <c r="F18" s="7" t="inlineStr">
        <is>
          <t>高</t>
        </is>
      </c>
      <c r="G18" s="5" t="inlineStr">
        <is>
          <t>普通科・専門学科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事務室番号。教務室は0956-23-9643</t>
        </is>
      </c>
      <c r="N18" s="11" t="inlineStr">
        <is>
          <t>https://www.seiwajoshi.ed.jp/inquiry/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長崎県</t>
        </is>
      </c>
      <c r="C19" s="5" t="inlineStr">
        <is>
          <t>諫早市</t>
        </is>
      </c>
      <c r="D19" s="5" t="inlineStr">
        <is>
          <t>創成館高等学校</t>
        </is>
      </c>
      <c r="E19" s="6" t="inlineStr">
        <is>
          <t>0957-25-1225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諫早市の施設情報とも一致</t>
        </is>
      </c>
      <c r="N19" s="11" t="inlineStr">
        <is>
          <t>https://www.sohseikan.ac.jp/entrance/admission/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長崎県</t>
        </is>
      </c>
      <c r="C20" s="5" t="inlineStr">
        <is>
          <t>諫早市</t>
        </is>
      </c>
      <c r="D20" s="5" t="inlineStr">
        <is>
          <t>鎮西学院高等学校</t>
        </is>
      </c>
      <c r="E20" s="6" t="inlineStr">
        <is>
          <t>0957-25-1234</t>
        </is>
      </c>
      <c r="F20" s="7" t="inlineStr">
        <is>
          <t>高</t>
        </is>
      </c>
      <c r="G20" s="5" t="inlineStr">
        <is>
          <t>普通科・専門学科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n"/>
      <c r="N20" s="11" t="inlineStr">
        <is>
          <t>https://www.chinzeigakuin.ed.jp/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長崎県</t>
        </is>
      </c>
      <c r="C21" s="5" t="inlineStr">
        <is>
          <t>長崎市</t>
        </is>
      </c>
      <c r="D21" s="5" t="inlineStr">
        <is>
          <t>長崎玉成高等学校</t>
        </is>
      </c>
      <c r="E21" s="6" t="inlineStr">
        <is>
          <t>095-826-6321</t>
        </is>
      </c>
      <c r="F21" s="7" t="inlineStr">
        <is>
          <t>高</t>
        </is>
      </c>
      <c r="G21" s="5" t="inlineStr">
        <is>
          <t>普通科・専門学科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一部サイトの095-826-6322は誤記とみられる</t>
        </is>
      </c>
      <c r="N21" s="11" t="inlineStr">
        <is>
          <t>https://tamaki.ac.jp/koukou/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長崎県</t>
        </is>
      </c>
      <c r="C22" s="5" t="inlineStr">
        <is>
          <t>長崎市</t>
        </is>
      </c>
      <c r="D22" s="5" t="inlineStr">
        <is>
          <t>長崎女子高等学校</t>
        </is>
      </c>
      <c r="E22" s="6" t="inlineStr">
        <is>
          <t>095-826-4321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2026年4月に「鶴鳴高等学校」へ校名変更（女子校のまま）</t>
        </is>
      </c>
      <c r="N22" s="11" t="inlineStr">
        <is>
          <t>https://kakumei.ac.jp/high_school/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長崎県</t>
        </is>
      </c>
      <c r="C23" s="5" t="inlineStr">
        <is>
          <t>長崎市</t>
        </is>
      </c>
      <c r="D23" s="5" t="inlineStr">
        <is>
          <t>長崎女子商業高等学校</t>
        </is>
      </c>
      <c r="E23" s="6" t="inlineStr">
        <is>
          <t>095-824-2701</t>
        </is>
      </c>
      <c r="F23" s="7" t="inlineStr">
        <is>
          <t>高</t>
        </is>
      </c>
      <c r="G23" s="5" t="inlineStr">
        <is>
          <t>専門学科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n"/>
      <c r="N23" s="11" t="inlineStr">
        <is>
          <t>https://n-joshisho.sakura.ne.jp/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長崎県</t>
        </is>
      </c>
      <c r="C24" s="5" t="inlineStr">
        <is>
          <t>長崎市</t>
        </is>
      </c>
      <c r="D24" s="5" t="inlineStr">
        <is>
          <t>長崎総合科学大学附属高等学校</t>
        </is>
      </c>
      <c r="E24" s="6" t="inlineStr">
        <is>
          <t>095-838-2413</t>
        </is>
      </c>
      <c r="F24" s="13" t="inlineStr">
        <is>
          <t>中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私学協会一覧の番号。公式に095-838-2364/2414もあり用途不明。大学サイトでは附属高校事務室095-838-2254</t>
        </is>
      </c>
      <c r="N24" s="11" t="inlineStr">
        <is>
          <t>http://www.nagasaki-shigaku.jp/shoukai.html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長崎県</t>
        </is>
      </c>
      <c r="C25" s="5" t="inlineStr">
        <is>
          <t>長崎市</t>
        </is>
      </c>
      <c r="D25" s="5" t="inlineStr">
        <is>
          <t>長崎南山高等学校</t>
        </is>
      </c>
      <c r="E25" s="6" t="inlineStr">
        <is>
          <t>095-844-1572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n"/>
      <c r="N25" s="11" t="inlineStr">
        <is>
          <t>https://www.n-nanzan.ed.jp/pages/5/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長崎県</t>
        </is>
      </c>
      <c r="C26" s="5" t="inlineStr">
        <is>
          <t>諫早市</t>
        </is>
      </c>
      <c r="D26" s="5" t="inlineStr">
        <is>
          <t>長崎日本大学高等学校</t>
        </is>
      </c>
      <c r="E26" s="6" t="inlineStr">
        <is>
          <t>0957-26-0061</t>
        </is>
      </c>
      <c r="F26" s="7" t="inlineStr">
        <is>
          <t>高</t>
        </is>
      </c>
      <c r="G26" s="5" t="inlineStr">
        <is>
          <t>普通科・専門学科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n"/>
      <c r="N26" s="11" t="inlineStr">
        <is>
          <t>https://nagasaki-nichidai.jp/schoolintroduction/access/</t>
        </is>
      </c>
      <c r="O26" s="12" t="inlineStr">
        <is>
          <t>開く</t>
        </is>
      </c>
    </row>
  </sheetData>
  <autoFilter ref="A4:O26"/>
  <conditionalFormatting sqref="A5:O26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6" showDropDown="0" showInputMessage="0" showErrorMessage="0" allowBlank="1" type="list">
      <formula1>"未架電,不在・折返し待ち,担当者不在,資料送付,アポ獲得,検討中,NG,番号不明"</formula1>
    </dataValidation>
    <dataValidation sqref="H5:H26 K5:K26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長崎市</t>
        </is>
      </c>
      <c r="B4" s="14">
        <f>COUNTIF('架電リスト'!$C$5:$C$26,A4)</f>
        <v/>
      </c>
      <c r="C4" s="14">
        <f>COUNTIFS('架電リスト'!$C$5:$C$26,A4,'架電リスト'!$E$5:$E$26,"&lt;&gt;")</f>
        <v/>
      </c>
      <c r="D4" s="14">
        <f>B4-COUNTIFS('架電リスト'!$C$5:$C$26,A4,'架電リスト'!$J$5:$J$26,"未架電")-COUNTIFS('架電リスト'!$C$5:$C$26,A4,'架電リスト'!$J$5:$J$26,"")</f>
        <v/>
      </c>
      <c r="E4" s="14">
        <f>COUNTIFS('架電リスト'!$C$5:$C$26,$A4,'架電リスト'!$J$5:$J$26,"不在・折返し待ち")</f>
        <v/>
      </c>
      <c r="F4" s="14">
        <f>COUNTIFS('架電リスト'!$C$5:$C$26,$A4,'架電リスト'!$J$5:$J$26,"担当者不在")</f>
        <v/>
      </c>
      <c r="G4" s="14">
        <f>COUNTIFS('架電リスト'!$C$5:$C$26,$A4,'架電リスト'!$J$5:$J$26,"資料送付")</f>
        <v/>
      </c>
      <c r="H4" s="14">
        <f>COUNTIFS('架電リスト'!$C$5:$C$26,$A4,'架電リスト'!$J$5:$J$26,"アポ獲得")</f>
        <v/>
      </c>
      <c r="I4" s="14">
        <f>COUNTIFS('架電リスト'!$C$5:$C$26,$A4,'架電リスト'!$J$5:$J$26,"検討中")</f>
        <v/>
      </c>
      <c r="J4" s="14">
        <f>COUNTIFS('架電リスト'!$C$5:$C$26,$A4,'架電リスト'!$J$5:$J$26,"NG")</f>
        <v/>
      </c>
      <c r="K4" s="14">
        <f>COUNTIFS('架電リスト'!$C$5:$C$26,$A4,'架電リスト'!$J$5:$J$26,"番号不明")</f>
        <v/>
      </c>
    </row>
    <row r="5">
      <c r="A5" s="14" t="inlineStr">
        <is>
          <t>佐世保市</t>
        </is>
      </c>
      <c r="B5" s="14">
        <f>COUNTIF('架電リスト'!$C$5:$C$26,A5)</f>
        <v/>
      </c>
      <c r="C5" s="14">
        <f>COUNTIFS('架電リスト'!$C$5:$C$26,A5,'架電リスト'!$E$5:$E$26,"&lt;&gt;")</f>
        <v/>
      </c>
      <c r="D5" s="14">
        <f>B5-COUNTIFS('架電リスト'!$C$5:$C$26,A5,'架電リスト'!$J$5:$J$26,"未架電")-COUNTIFS('架電リスト'!$C$5:$C$26,A5,'架電リスト'!$J$5:$J$26,"")</f>
        <v/>
      </c>
      <c r="E5" s="14">
        <f>COUNTIFS('架電リスト'!$C$5:$C$26,$A5,'架電リスト'!$J$5:$J$26,"不在・折返し待ち")</f>
        <v/>
      </c>
      <c r="F5" s="14">
        <f>COUNTIFS('架電リスト'!$C$5:$C$26,$A5,'架電リスト'!$J$5:$J$26,"担当者不在")</f>
        <v/>
      </c>
      <c r="G5" s="14">
        <f>COUNTIFS('架電リスト'!$C$5:$C$26,$A5,'架電リスト'!$J$5:$J$26,"資料送付")</f>
        <v/>
      </c>
      <c r="H5" s="14">
        <f>COUNTIFS('架電リスト'!$C$5:$C$26,$A5,'架電リスト'!$J$5:$J$26,"アポ獲得")</f>
        <v/>
      </c>
      <c r="I5" s="14">
        <f>COUNTIFS('架電リスト'!$C$5:$C$26,$A5,'架電リスト'!$J$5:$J$26,"検討中")</f>
        <v/>
      </c>
      <c r="J5" s="14">
        <f>COUNTIFS('架電リスト'!$C$5:$C$26,$A5,'架電リスト'!$J$5:$J$26,"NG")</f>
        <v/>
      </c>
      <c r="K5" s="14">
        <f>COUNTIFS('架電リスト'!$C$5:$C$26,$A5,'架電リスト'!$J$5:$J$26,"番号不明")</f>
        <v/>
      </c>
    </row>
    <row r="6">
      <c r="A6" s="14" t="inlineStr">
        <is>
          <t>諫早市</t>
        </is>
      </c>
      <c r="B6" s="14">
        <f>COUNTIF('架電リスト'!$C$5:$C$26,A6)</f>
        <v/>
      </c>
      <c r="C6" s="14">
        <f>COUNTIFS('架電リスト'!$C$5:$C$26,A6,'架電リスト'!$E$5:$E$26,"&lt;&gt;")</f>
        <v/>
      </c>
      <c r="D6" s="14">
        <f>B6-COUNTIFS('架電リスト'!$C$5:$C$26,A6,'架電リスト'!$J$5:$J$26,"未架電")-COUNTIFS('架電リスト'!$C$5:$C$26,A6,'架電リスト'!$J$5:$J$26,"")</f>
        <v/>
      </c>
      <c r="E6" s="14">
        <f>COUNTIFS('架電リスト'!$C$5:$C$26,$A6,'架電リスト'!$J$5:$J$26,"不在・折返し待ち")</f>
        <v/>
      </c>
      <c r="F6" s="14">
        <f>COUNTIFS('架電リスト'!$C$5:$C$26,$A6,'架電リスト'!$J$5:$J$26,"担当者不在")</f>
        <v/>
      </c>
      <c r="G6" s="14">
        <f>COUNTIFS('架電リスト'!$C$5:$C$26,$A6,'架電リスト'!$J$5:$J$26,"資料送付")</f>
        <v/>
      </c>
      <c r="H6" s="14">
        <f>COUNTIFS('架電リスト'!$C$5:$C$26,$A6,'架電リスト'!$J$5:$J$26,"アポ獲得")</f>
        <v/>
      </c>
      <c r="I6" s="14">
        <f>COUNTIFS('架電リスト'!$C$5:$C$26,$A6,'架電リスト'!$J$5:$J$26,"検討中")</f>
        <v/>
      </c>
      <c r="J6" s="14">
        <f>COUNTIFS('架電リスト'!$C$5:$C$26,$A6,'架電リスト'!$J$5:$J$26,"NG")</f>
        <v/>
      </c>
      <c r="K6" s="14">
        <f>COUNTIFS('架電リスト'!$C$5:$C$26,$A6,'架電リスト'!$J$5:$J$26,"番号不明")</f>
        <v/>
      </c>
    </row>
    <row r="7">
      <c r="A7" s="14" t="inlineStr">
        <is>
          <t>大村市</t>
        </is>
      </c>
      <c r="B7" s="14">
        <f>COUNTIF('架電リスト'!$C$5:$C$26,A7)</f>
        <v/>
      </c>
      <c r="C7" s="14">
        <f>COUNTIFS('架電リスト'!$C$5:$C$26,A7,'架電リスト'!$E$5:$E$26,"&lt;&gt;")</f>
        <v/>
      </c>
      <c r="D7" s="14">
        <f>B7-COUNTIFS('架電リスト'!$C$5:$C$26,A7,'架電リスト'!$J$5:$J$26,"未架電")-COUNTIFS('架電リスト'!$C$5:$C$26,A7,'架電リスト'!$J$5:$J$26,"")</f>
        <v/>
      </c>
      <c r="E7" s="14">
        <f>COUNTIFS('架電リスト'!$C$5:$C$26,$A7,'架電リスト'!$J$5:$J$26,"不在・折返し待ち")</f>
        <v/>
      </c>
      <c r="F7" s="14">
        <f>COUNTIFS('架電リスト'!$C$5:$C$26,$A7,'架電リスト'!$J$5:$J$26,"担当者不在")</f>
        <v/>
      </c>
      <c r="G7" s="14">
        <f>COUNTIFS('架電リスト'!$C$5:$C$26,$A7,'架電リスト'!$J$5:$J$26,"資料送付")</f>
        <v/>
      </c>
      <c r="H7" s="14">
        <f>COUNTIFS('架電リスト'!$C$5:$C$26,$A7,'架電リスト'!$J$5:$J$26,"アポ獲得")</f>
        <v/>
      </c>
      <c r="I7" s="14">
        <f>COUNTIFS('架電リスト'!$C$5:$C$26,$A7,'架電リスト'!$J$5:$J$26,"検討中")</f>
        <v/>
      </c>
      <c r="J7" s="14">
        <f>COUNTIFS('架電リスト'!$C$5:$C$26,$A7,'架電リスト'!$J$5:$J$26,"NG")</f>
        <v/>
      </c>
      <c r="K7" s="14">
        <f>COUNTIFS('架電リスト'!$C$5:$C$26,$A7,'架電リスト'!$J$5:$J$26,"番号不明")</f>
        <v/>
      </c>
    </row>
    <row r="8">
      <c r="A8" s="14" t="inlineStr">
        <is>
          <t>島原市</t>
        </is>
      </c>
      <c r="B8" s="14">
        <f>COUNTIF('架電リスト'!$C$5:$C$26,A8)</f>
        <v/>
      </c>
      <c r="C8" s="14">
        <f>COUNTIFS('架電リスト'!$C$5:$C$26,A8,'架電リスト'!$E$5:$E$26,"&lt;&gt;")</f>
        <v/>
      </c>
      <c r="D8" s="14">
        <f>B8-COUNTIFS('架電リスト'!$C$5:$C$26,A8,'架電リスト'!$J$5:$J$26,"未架電")-COUNTIFS('架電リスト'!$C$5:$C$26,A8,'架電リスト'!$J$5:$J$26,"")</f>
        <v/>
      </c>
      <c r="E8" s="14">
        <f>COUNTIFS('架電リスト'!$C$5:$C$26,$A8,'架電リスト'!$J$5:$J$26,"不在・折返し待ち")</f>
        <v/>
      </c>
      <c r="F8" s="14">
        <f>COUNTIFS('架電リスト'!$C$5:$C$26,$A8,'架電リスト'!$J$5:$J$26,"担当者不在")</f>
        <v/>
      </c>
      <c r="G8" s="14">
        <f>COUNTIFS('架電リスト'!$C$5:$C$26,$A8,'架電リスト'!$J$5:$J$26,"資料送付")</f>
        <v/>
      </c>
      <c r="H8" s="14">
        <f>COUNTIFS('架電リスト'!$C$5:$C$26,$A8,'架電リスト'!$J$5:$J$26,"アポ獲得")</f>
        <v/>
      </c>
      <c r="I8" s="14">
        <f>COUNTIFS('架電リスト'!$C$5:$C$26,$A8,'架電リスト'!$J$5:$J$26,"検討中")</f>
        <v/>
      </c>
      <c r="J8" s="14">
        <f>COUNTIFS('架電リスト'!$C$5:$C$26,$A8,'架電リスト'!$J$5:$J$26,"NG")</f>
        <v/>
      </c>
      <c r="K8" s="14">
        <f>COUNTIFS('架電リスト'!$C$5:$C$26,$A8,'架電リスト'!$J$5:$J$26,"番号不明")</f>
        <v/>
      </c>
    </row>
    <row r="9">
      <c r="A9" s="14" t="inlineStr">
        <is>
          <t>時津町</t>
        </is>
      </c>
      <c r="B9" s="14">
        <f>COUNTIF('架電リスト'!$C$5:$C$26,A9)</f>
        <v/>
      </c>
      <c r="C9" s="14">
        <f>COUNTIFS('架電リスト'!$C$5:$C$26,A9,'架電リスト'!$E$5:$E$26,"&lt;&gt;")</f>
        <v/>
      </c>
      <c r="D9" s="14">
        <f>B9-COUNTIFS('架電リスト'!$C$5:$C$26,A9,'架電リスト'!$J$5:$J$26,"未架電")-COUNTIFS('架電リスト'!$C$5:$C$26,A9,'架電リスト'!$J$5:$J$26,"")</f>
        <v/>
      </c>
      <c r="E9" s="14">
        <f>COUNTIFS('架電リスト'!$C$5:$C$26,$A9,'架電リスト'!$J$5:$J$26,"不在・折返し待ち")</f>
        <v/>
      </c>
      <c r="F9" s="14">
        <f>COUNTIFS('架電リスト'!$C$5:$C$26,$A9,'架電リスト'!$J$5:$J$26,"担当者不在")</f>
        <v/>
      </c>
      <c r="G9" s="14">
        <f>COUNTIFS('架電リスト'!$C$5:$C$26,$A9,'架電リスト'!$J$5:$J$26,"資料送付")</f>
        <v/>
      </c>
      <c r="H9" s="14">
        <f>COUNTIFS('架電リスト'!$C$5:$C$26,$A9,'架電リスト'!$J$5:$J$26,"アポ獲得")</f>
        <v/>
      </c>
      <c r="I9" s="14">
        <f>COUNTIFS('架電リスト'!$C$5:$C$26,$A9,'架電リスト'!$J$5:$J$26,"検討中")</f>
        <v/>
      </c>
      <c r="J9" s="14">
        <f>COUNTIFS('架電リスト'!$C$5:$C$26,$A9,'架電リスト'!$J$5:$J$26,"NG")</f>
        <v/>
      </c>
      <c r="K9" s="14">
        <f>COUNTIFS('架電リスト'!$C$5:$C$26,$A9,'架電リスト'!$J$5:$J$26,"番号不明")</f>
        <v/>
      </c>
    </row>
    <row r="10">
      <c r="A10" s="15" t="inlineStr">
        <is>
          <t>合計</t>
        </is>
      </c>
      <c r="B10" s="15">
        <f>SUM(B4:B9)</f>
        <v/>
      </c>
      <c r="C10" s="15">
        <f>SUM(C4:C9)</f>
        <v/>
      </c>
      <c r="D10" s="15">
        <f>SUM(D4:D9)</f>
        <v/>
      </c>
      <c r="E10" s="15">
        <f>SUM(E4:E9)</f>
        <v/>
      </c>
      <c r="F10" s="15">
        <f>SUM(F4:F9)</f>
        <v/>
      </c>
      <c r="G10" s="15">
        <f>SUM(G4:G9)</f>
        <v/>
      </c>
      <c r="H10" s="15">
        <f>SUM(H4:H9)</f>
        <v/>
      </c>
      <c r="I10" s="15">
        <f>SUM(I4:I9)</f>
        <v/>
      </c>
      <c r="J10" s="15">
        <f>SUM(J4:J9)</f>
        <v/>
      </c>
      <c r="K10" s="15">
        <f>SUM(K4:K9)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・出典：ご提供いただいた学校ネットの検索結果（私立高校・長崎県、22校）の貼り付けデータ。並び順は都道府県ごとに元データの掲載順です。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2026-10-14T02:10:05Z</dcterms:created>
  <dcterms:modified xsi:type="dcterms:W3CDTF">2026-10-14T02:10:05Z</dcterms:modified>
</cp:coreProperties>
</file>