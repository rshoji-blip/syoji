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'架電リスト'!$A$4:$O$45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946.html" TargetMode="External" Id="rId1" /><Relationship Type="http://schemas.openxmlformats.org/officeDocument/2006/relationships/hyperlink" Target="https://www.gakkou.net/kou/view/index_303936.html" TargetMode="External" Id="rId2" /><Relationship Type="http://schemas.openxmlformats.org/officeDocument/2006/relationships/hyperlink" Target="https://www.gakkou.net/kou/view/index_303933.html" TargetMode="External" Id="rId3" /><Relationship Type="http://schemas.openxmlformats.org/officeDocument/2006/relationships/hyperlink" Target="https://www.gakkou.net/kou/view/index_303974.html" TargetMode="External" Id="rId4" /><Relationship Type="http://schemas.openxmlformats.org/officeDocument/2006/relationships/hyperlink" Target="https://www.gakkou.net/kou/view/index_303988.html" TargetMode="External" Id="rId5" /><Relationship Type="http://schemas.openxmlformats.org/officeDocument/2006/relationships/hyperlink" Target="https://www.gakkou.net/kou/view/index_304012.html" TargetMode="External" Id="rId6" /><Relationship Type="http://schemas.openxmlformats.org/officeDocument/2006/relationships/hyperlink" Target="https://www.gakkou.net/kou/view/index_306430.html" TargetMode="External" Id="rId7" /><Relationship Type="http://schemas.openxmlformats.org/officeDocument/2006/relationships/hyperlink" Target="https://www.gakkou.net/kou/view/index_306780.html" TargetMode="External" Id="rId8" /><Relationship Type="http://schemas.openxmlformats.org/officeDocument/2006/relationships/hyperlink" Target="https://www.gakkou.net/kou/view/index_303975.html" TargetMode="External" Id="rId9" /><Relationship Type="http://schemas.openxmlformats.org/officeDocument/2006/relationships/hyperlink" Target="https://www.gakkou.net/kou/view/index_303987.html" TargetMode="External" Id="rId10" /><Relationship Type="http://schemas.openxmlformats.org/officeDocument/2006/relationships/hyperlink" Target="https://www.gakkou.net/kou/view/index_306476.html" TargetMode="External" Id="rId11" /><Relationship Type="http://schemas.openxmlformats.org/officeDocument/2006/relationships/hyperlink" Target="https://www.gakkou.net/kou/view/index_303919.html" TargetMode="External" Id="rId12" /><Relationship Type="http://schemas.openxmlformats.org/officeDocument/2006/relationships/hyperlink" Target="https://www.gakkou.net/kou/view/index_303958.html" TargetMode="External" Id="rId13" /><Relationship Type="http://schemas.openxmlformats.org/officeDocument/2006/relationships/hyperlink" Target="https://www.gakkou.net/kou/view/index_303934.html" TargetMode="External" Id="rId14" /><Relationship Type="http://schemas.openxmlformats.org/officeDocument/2006/relationships/hyperlink" Target="https://www.gakkou.net/kou/view/index_303941.html" TargetMode="External" Id="rId15" /><Relationship Type="http://schemas.openxmlformats.org/officeDocument/2006/relationships/hyperlink" Target="https://www.gakkou.net/kou/view/index_303999.html" TargetMode="External" Id="rId16" /><Relationship Type="http://schemas.openxmlformats.org/officeDocument/2006/relationships/hyperlink" Target="https://www.gakkou.net/kou/view/index_303952.html" TargetMode="External" Id="rId17" /><Relationship Type="http://schemas.openxmlformats.org/officeDocument/2006/relationships/hyperlink" Target="https://www.gakkou.net/kou/view/index_303966.html" TargetMode="External" Id="rId18" /><Relationship Type="http://schemas.openxmlformats.org/officeDocument/2006/relationships/hyperlink" Target="https://www.gakkou.net/kou/view/index_303978.html" TargetMode="External" Id="rId19" /><Relationship Type="http://schemas.openxmlformats.org/officeDocument/2006/relationships/hyperlink" Target="https://www.gakkou.net/kou/view/index_303968.html" TargetMode="External" Id="rId20" /><Relationship Type="http://schemas.openxmlformats.org/officeDocument/2006/relationships/hyperlink" Target="https://www.gakkou.net/kou/view/index_303981.html" TargetMode="External" Id="rId21" /><Relationship Type="http://schemas.openxmlformats.org/officeDocument/2006/relationships/hyperlink" Target="https://www.gakkou.net/kou/view/index_303942.html" TargetMode="External" Id="rId22" /><Relationship Type="http://schemas.openxmlformats.org/officeDocument/2006/relationships/hyperlink" Target="https://www.gakkou.net/kou/view/index_303907.html" TargetMode="External" Id="rId23" /><Relationship Type="http://schemas.openxmlformats.org/officeDocument/2006/relationships/hyperlink" Target="https://www.gakkou.net/kou/view/index_303953.html" TargetMode="External" Id="rId24" /><Relationship Type="http://schemas.openxmlformats.org/officeDocument/2006/relationships/hyperlink" Target="https://www.gakkou.net/kou/view/index_303932.html" TargetMode="External" Id="rId25" /><Relationship Type="http://schemas.openxmlformats.org/officeDocument/2006/relationships/hyperlink" Target="https://www.gakkou.net/kou/view/index_303918.html" TargetMode="External" Id="rId26" /><Relationship Type="http://schemas.openxmlformats.org/officeDocument/2006/relationships/hyperlink" Target="https://www.gakkou.net/kou/view/index_303937.html" TargetMode="External" Id="rId27" /><Relationship Type="http://schemas.openxmlformats.org/officeDocument/2006/relationships/hyperlink" Target="https://www.gakkou.net/kou/view/index_303950.html" TargetMode="External" Id="rId28" /><Relationship Type="http://schemas.openxmlformats.org/officeDocument/2006/relationships/hyperlink" Target="https://www.gakkou.net/kou/view/index_304008.html" TargetMode="External" Id="rId29" /><Relationship Type="http://schemas.openxmlformats.org/officeDocument/2006/relationships/hyperlink" Target="https://www.gakkou.net/kou/view/index_303977.html" TargetMode="External" Id="rId30" /><Relationship Type="http://schemas.openxmlformats.org/officeDocument/2006/relationships/hyperlink" Target="https://www.gakkou.net/kou/view/index_303944.html" TargetMode="External" Id="rId31" /><Relationship Type="http://schemas.openxmlformats.org/officeDocument/2006/relationships/hyperlink" Target="https://www.gakkou.net/kou/view/index_303994.html" TargetMode="External" Id="rId32" /><Relationship Type="http://schemas.openxmlformats.org/officeDocument/2006/relationships/hyperlink" Target="https://www.gakkou.net/kou/view/index_303993.html" TargetMode="External" Id="rId33" /><Relationship Type="http://schemas.openxmlformats.org/officeDocument/2006/relationships/hyperlink" Target="https://www.gakkou.net/kou/view/index_303917.html" TargetMode="External" Id="rId34" /><Relationship Type="http://schemas.openxmlformats.org/officeDocument/2006/relationships/hyperlink" Target="https://www.gakkou.net/kou/view/index_303923.html" TargetMode="External" Id="rId35" /><Relationship Type="http://schemas.openxmlformats.org/officeDocument/2006/relationships/hyperlink" Target="https://www.gakkou.net/kou/view/index_303943.html" TargetMode="External" Id="rId36" /><Relationship Type="http://schemas.openxmlformats.org/officeDocument/2006/relationships/hyperlink" Target="https://www.gakkou.net/kou/view/index_303905.html" TargetMode="External" Id="rId37" /><Relationship Type="http://schemas.openxmlformats.org/officeDocument/2006/relationships/hyperlink" Target="https://www.gakkou.net/kou/view/index_303931.html" TargetMode="External" Id="rId38" /><Relationship Type="http://schemas.openxmlformats.org/officeDocument/2006/relationships/hyperlink" Target="https://www.gakkou.net/kou/view/index_303957.html" TargetMode="External" Id="rId39" /><Relationship Type="http://schemas.openxmlformats.org/officeDocument/2006/relationships/hyperlink" Target="https://www.gakkou.net/kou/view/index_303967.html" TargetMode="External" Id="rId40" /><Relationship Type="http://schemas.openxmlformats.org/officeDocument/2006/relationships/hyperlink" Target="https://www.gakkou.net/kou/view/index_303904.html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架電リスト（京都府／41校）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京都府</t>
        </is>
      </c>
      <c r="C5" s="5" t="inlineStr">
        <is>
          <t>京都市山科区</t>
        </is>
      </c>
      <c r="D5" s="5" t="inlineStr">
        <is>
          <t>一燈園高等学校</t>
        </is>
      </c>
      <c r="E5" s="6" t="inlineStr">
        <is>
          <t>075-595-3711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中高共通。複数サイトで一致。定時制あり</t>
        </is>
      </c>
      <c r="N5" s="11" t="inlineStr">
        <is>
          <t>https://www.mapion.co.jp/phonebook/M11004/26110/ILSP0000041313_ipclm/ ; https://ksf-site.com/school/ittoen/</t>
        </is>
      </c>
      <c r="O5" s="12" t="inlineStr">
        <is>
          <t>開く</t>
        </is>
      </c>
    </row>
    <row r="6">
      <c r="A6" s="4" t="n">
        <v>2</v>
      </c>
      <c r="B6" s="5" t="inlineStr">
        <is>
          <t>京都府</t>
        </is>
      </c>
      <c r="C6" s="5" t="inlineStr">
        <is>
          <t>京都市東山区</t>
        </is>
      </c>
      <c r="D6" s="5" t="inlineStr">
        <is>
          <t>大谷高等学校（京都府）</t>
        </is>
      </c>
      <c r="E6" s="6" t="inlineStr">
        <is>
          <t>075-541-1312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中高共通の代表</t>
        </is>
      </c>
      <c r="N6" s="11" t="inlineStr">
        <is>
          <t>https://www.otani.ac.jp/sinsyu_gakuen/index.html ; https://school.js88.com/scl_h/22013530</t>
        </is>
      </c>
      <c r="O6" s="12" t="inlineStr">
        <is>
          <t>開く</t>
        </is>
      </c>
    </row>
    <row r="7">
      <c r="A7" s="4" t="n">
        <v>3</v>
      </c>
      <c r="B7" s="5" t="inlineStr">
        <is>
          <t>京都府</t>
        </is>
      </c>
      <c r="C7" s="5" t="inlineStr">
        <is>
          <t>京都市東山区</t>
        </is>
      </c>
      <c r="D7" s="5" t="inlineStr">
        <is>
          <t>華頂女子高等学校</t>
        </is>
      </c>
      <c r="E7" s="6" t="inlineStr">
        <is>
          <t>075-541-0391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公式サイトに「代表」と記載</t>
        </is>
      </c>
      <c r="N7" s="11" t="inlineStr">
        <is>
          <t>https://www.kacho.ed.jp/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京都府</t>
        </is>
      </c>
      <c r="C8" s="5" t="inlineStr">
        <is>
          <t>京都市右京区</t>
        </is>
      </c>
      <c r="D8" s="5" t="inlineStr">
        <is>
          <t>京都外大西高等学校</t>
        </is>
      </c>
      <c r="E8" s="6" t="inlineStr">
        <is>
          <t>075-321-0712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公式サイトで確認</t>
        </is>
      </c>
      <c r="N8" s="11" t="inlineStr">
        <is>
          <t>https://kgn.kufs.ac.jp/contact/</t>
        </is>
      </c>
      <c r="O8" s="12" t="inlineStr">
        <is>
          <t>開く</t>
        </is>
      </c>
    </row>
    <row r="9">
      <c r="A9" s="4" t="n">
        <v>5</v>
      </c>
      <c r="B9" s="5" t="inlineStr">
        <is>
          <t>京都府</t>
        </is>
      </c>
      <c r="C9" s="5" t="inlineStr">
        <is>
          <t>福知山市</t>
        </is>
      </c>
      <c r="D9" s="5" t="inlineStr">
        <is>
          <t>京都共栄学園高等学校</t>
        </is>
      </c>
      <c r="E9" s="6" t="inlineStr">
        <is>
          <t>0773-22-6241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全日制の番号。通信制は0773-22-6210</t>
        </is>
      </c>
      <c r="N9" s="11" t="inlineStr">
        <is>
          <t>https://www.mapion.co.jp/phonebook/M11004/26201/ILSP0000041239_ipclm/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京都府</t>
        </is>
      </c>
      <c r="C10" s="5" t="inlineStr">
        <is>
          <t>宮津市</t>
        </is>
      </c>
      <c r="D10" s="5" t="inlineStr">
        <is>
          <t>京都暁星高等学校</t>
        </is>
      </c>
      <c r="E10" s="6" t="inlineStr">
        <is>
          <t>0772-22-2560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複数サイトで一致</t>
        </is>
      </c>
      <c r="N10" s="11" t="inlineStr">
        <is>
          <t>https://www.mapion.co.jp/phonebook/M11004/26205/ILSP0000041228_ipclm/ ; https://ksf-site.com/school/kyotogyosei/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京都府</t>
        </is>
      </c>
      <c r="C11" s="5" t="inlineStr">
        <is>
          <t>宇治市</t>
        </is>
      </c>
      <c r="D11" s="5" t="inlineStr">
        <is>
          <t>京都芸術高等学校</t>
        </is>
      </c>
      <c r="E11" s="6" t="inlineStr">
        <is>
          <t>0774-32-7012</t>
        </is>
      </c>
      <c r="F11" s="7" t="inlineStr">
        <is>
          <t>高</t>
        </is>
      </c>
      <c r="G11" s="5" t="inlineStr">
        <is>
          <t>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公式サイトで確認。京都芸術大学附属とは別の学校</t>
        </is>
      </c>
      <c r="N11" s="11" t="inlineStr">
        <is>
          <t>https://www.kyoto-geikou.ed.jp/school/access.html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京都府</t>
        </is>
      </c>
      <c r="C12" s="5" t="inlineStr">
        <is>
          <t>京都市左京区</t>
        </is>
      </c>
      <c r="D12" s="5" t="inlineStr">
        <is>
          <t>京都芸術大学附属高等学校</t>
        </is>
      </c>
      <c r="E12" s="6" t="inlineStr">
        <is>
          <t>075-791-9454</t>
        </is>
      </c>
      <c r="F12" s="13" t="inlineStr">
        <is>
          <t>中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通信制。事務室の番号。公式サイトの問い合わせ窓口はフリーダイヤル0120-87-37-39（平日9:00〜17:30）</t>
        </is>
      </c>
      <c r="N12" s="11" t="inlineStr">
        <is>
          <t>https://www.kyoto-art.ac.jp/news/press/899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京都府</t>
        </is>
      </c>
      <c r="C13" s="5" t="inlineStr">
        <is>
          <t>京都市右京区</t>
        </is>
      </c>
      <c r="D13" s="5" t="inlineStr">
        <is>
          <t>京都光華高等学校</t>
        </is>
      </c>
      <c r="E13" s="6" t="inlineStr">
        <is>
          <t>075-325-5255</t>
        </is>
      </c>
      <c r="F13" s="13" t="inlineStr">
        <is>
          <t>中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中高共通。代表とする情報と入学広報部の直通とする情報が混在。事務室は075-325-5223</t>
        </is>
      </c>
      <c r="N13" s="11" t="inlineStr">
        <is>
          <t>https://www.schoolnetwork.jp/kansai/shs/school_list/school/koka/ ; https://ksf-site.com/school/kyotokoka/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京都府</t>
        </is>
      </c>
      <c r="C14" s="5" t="inlineStr">
        <is>
          <t>精華町</t>
        </is>
      </c>
      <c r="D14" s="5" t="inlineStr">
        <is>
          <t>京都廣学館高等学校</t>
        </is>
      </c>
      <c r="E14" s="6" t="inlineStr">
        <is>
          <t>0774-93-0518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公式サイトに「代表」と記載</t>
        </is>
      </c>
      <c r="N14" s="11" t="inlineStr">
        <is>
          <t>https://kyoto-kogakkan.mkg.ac.jp/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京都府</t>
        </is>
      </c>
      <c r="C15" s="5" t="inlineStr">
        <is>
          <t>京都市東山区</t>
        </is>
      </c>
      <c r="D15" s="5" t="inlineStr">
        <is>
          <t>京都国際高等学校</t>
        </is>
      </c>
      <c r="E15" s="6" t="inlineStr">
        <is>
          <t>075-525-3535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公式サイトで確認。中高共通</t>
        </is>
      </c>
      <c r="N15" s="11" t="inlineStr">
        <is>
          <t>https://kyoto-kokusai.ed.jp/jp/entranceguide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京都府</t>
        </is>
      </c>
      <c r="C16" s="5" t="inlineStr">
        <is>
          <t>京都市下京区</t>
        </is>
      </c>
      <c r="D16" s="5" t="inlineStr">
        <is>
          <t>京都産業大学附属高等学校</t>
        </is>
      </c>
      <c r="E16" s="6" t="inlineStr">
        <is>
          <t>075-279-0001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公式サイトと京都府の資料で一致。中高共通</t>
        </is>
      </c>
      <c r="N16" s="11" t="inlineStr">
        <is>
          <t>https://www.jsh.kyoto-su.ac.jp/about/index.html ; https://www.pref.kyoto.jp/bunkyo/documents/05_kyotosangyo.pdf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京都府</t>
        </is>
      </c>
      <c r="C17" s="5" t="inlineStr">
        <is>
          <t>宇治市</t>
        </is>
      </c>
      <c r="D17" s="5" t="inlineStr">
        <is>
          <t>京都翔英高等学校</t>
        </is>
      </c>
      <c r="E17" s="6" t="inlineStr">
        <is>
          <t>0774-23-2238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公式サイトで確認</t>
        </is>
      </c>
      <c r="N17" s="11" t="inlineStr">
        <is>
          <t>http://www.kyoto-shoei.ac.jp/%E3%82%A2%E3%82%AF%E3%82%BB%E3%82%B9.html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京都府</t>
        </is>
      </c>
      <c r="C18" s="5" t="inlineStr">
        <is>
          <t>京都市東山区</t>
        </is>
      </c>
      <c r="D18" s="5" t="inlineStr">
        <is>
          <t>京都女子高等学校</t>
        </is>
      </c>
      <c r="E18" s="6" t="inlineStr">
        <is>
          <t>075-531-7358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中高共通の事務室の番号（公式サイト）。入試広報部は075-531-7334</t>
        </is>
      </c>
      <c r="N18" s="11" t="inlineStr">
        <is>
          <t>https://kgs.ed.jp/about_us/outline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京都府</t>
        </is>
      </c>
      <c r="C19" s="5" t="inlineStr">
        <is>
          <t>京都市左京区</t>
        </is>
      </c>
      <c r="D19" s="5" t="inlineStr">
        <is>
          <t>京都精華学園高等学校</t>
        </is>
      </c>
      <c r="E19" s="6" t="inlineStr">
        <is>
          <t>075-771-4181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中高共通。複数サイトで一致</t>
        </is>
      </c>
      <c r="N19" s="11" t="inlineStr">
        <is>
          <t>https://www.mapion.co.jp/phonebook/M11004/26103/ILSP0000041269_ipclm/ ; https://school.js88.com/scl_h/22013670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京都府</t>
        </is>
      </c>
      <c r="C20" s="5" t="inlineStr">
        <is>
          <t>南丹市</t>
        </is>
      </c>
      <c r="D20" s="5" t="inlineStr">
        <is>
          <t>京都聖カタリナ高等学校</t>
        </is>
      </c>
      <c r="E20" s="6" t="inlineStr">
        <is>
          <t>0771-62-0163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公式サイトに「代表」と記載</t>
        </is>
      </c>
      <c r="N20" s="11" t="inlineStr">
        <is>
          <t>https://www.catalina-kyoto.ed.jp/about/access/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京都府</t>
        </is>
      </c>
      <c r="C21" s="5" t="inlineStr">
        <is>
          <t>京都市西京区</t>
        </is>
      </c>
      <c r="D21" s="5" t="inlineStr">
        <is>
          <t>京都成章高等学校</t>
        </is>
      </c>
      <c r="E21" s="6" t="inlineStr">
        <is>
          <t>075-332-4830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公式サイトに「代表」と記載</t>
        </is>
      </c>
      <c r="N21" s="11" t="inlineStr">
        <is>
          <t>https://kyoto-seisho.ed.jp/graduate/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京都府</t>
        </is>
      </c>
      <c r="C22" s="5" t="inlineStr">
        <is>
          <t>京都市伏見区</t>
        </is>
      </c>
      <c r="D22" s="5" t="inlineStr">
        <is>
          <t>京都聖母学院高等学校</t>
        </is>
      </c>
      <c r="E22" s="6" t="inlineStr">
        <is>
          <t>075-645-8103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公式サイトに「代表」と記載。中高共通</t>
        </is>
      </c>
      <c r="N22" s="11" t="inlineStr">
        <is>
          <t>https://www.seibo.ed.jp/kyoto-hs/kyotoseibo-only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京都府</t>
        </is>
      </c>
      <c r="C23" s="5" t="inlineStr">
        <is>
          <t>京都市右京区</t>
        </is>
      </c>
      <c r="D23" s="5" t="inlineStr">
        <is>
          <t>京都先端科学大学附属高等学校</t>
        </is>
      </c>
      <c r="E23" s="6" t="inlineStr">
        <is>
          <t>075-461-5105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公式サイトで確認。中高共通</t>
        </is>
      </c>
      <c r="N23" s="11" t="inlineStr">
        <is>
          <t>https://www.js.kuas.ac.jp/contact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京都府</t>
        </is>
      </c>
      <c r="C24" s="5" t="inlineStr">
        <is>
          <t>京都市伏見区</t>
        </is>
      </c>
      <c r="D24" s="5" t="inlineStr">
        <is>
          <t>京都橘高等学校</t>
        </is>
      </c>
      <c r="E24" s="6" t="inlineStr">
        <is>
          <t>075-623-0066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公式サイトで確認。中高共通</t>
        </is>
      </c>
      <c r="N24" s="11" t="inlineStr">
        <is>
          <t>https://www.tachibana-hs.jp/contact/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京都府</t>
        </is>
      </c>
      <c r="C25" s="5" t="inlineStr">
        <is>
          <t>向日市</t>
        </is>
      </c>
      <c r="D25" s="5" t="inlineStr">
        <is>
          <t>京都西山高等学校</t>
        </is>
      </c>
      <c r="E25" s="6" t="inlineStr">
        <is>
          <t>075-934-2480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全日制の番号。複数サイトで一致、公式未確認。通信制課程は別番号</t>
        </is>
      </c>
      <c r="N25" s="11" t="inlineStr">
        <is>
          <t>https://www.mapion.co.jp/phonebook/M11004/26208/ILSP0000041262_ipclm/ ; https://school.js88.com/scl_h/22013730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京都府</t>
        </is>
      </c>
      <c r="C26" s="5" t="inlineStr">
        <is>
          <t>京都市左京区</t>
        </is>
      </c>
      <c r="D26" s="5" t="inlineStr">
        <is>
          <t>京都文教高等学校</t>
        </is>
      </c>
      <c r="E26" s="6" t="inlineStr">
        <is>
          <t>075-771-6155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公式サイトに「代表」と記載。入試部直通は075-752-6818</t>
        </is>
      </c>
      <c r="N26" s="11" t="inlineStr">
        <is>
          <t>https://www.kbu.ac.jp/kbghs/inquiry/index.html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京都府</t>
        </is>
      </c>
      <c r="C27" s="5" t="inlineStr">
        <is>
          <t>京都市上京区</t>
        </is>
      </c>
      <c r="D27" s="5" t="inlineStr">
        <is>
          <t>京都美山高等学校</t>
        </is>
      </c>
      <c r="E27" s="6" t="inlineStr">
        <is>
          <t>075-441-3401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通信制。公式サイトに「代表」と記載。フリーダイヤル0120-561-380もあり</t>
        </is>
      </c>
      <c r="N27" s="11" t="inlineStr">
        <is>
          <t>https://www.miyama.ed.jp/cgi/kexplan_cl_1.php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京都府</t>
        </is>
      </c>
      <c r="C28" s="5" t="inlineStr">
        <is>
          <t>京都市西京区</t>
        </is>
      </c>
      <c r="D28" s="5" t="inlineStr">
        <is>
          <t>京都明徳高等学校</t>
        </is>
      </c>
      <c r="E28" s="6" t="inlineStr">
        <is>
          <t>075-331-3361</t>
        </is>
      </c>
      <c r="F28" s="7" t="inlineStr">
        <is>
          <t>高</t>
        </is>
      </c>
      <c r="G28" s="5" t="inlineStr">
        <is>
          <t>普通科・専門学科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公式サイトで確認</t>
        </is>
      </c>
      <c r="N28" s="11" t="inlineStr">
        <is>
          <t>https://www.meitoku.ac.jp/inquiry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京都府</t>
        </is>
      </c>
      <c r="C29" s="5" t="inlineStr">
        <is>
          <t>京都市中京区</t>
        </is>
      </c>
      <c r="D29" s="5" t="inlineStr">
        <is>
          <t>京都両洋高等学校</t>
        </is>
      </c>
      <c r="E29" s="6" t="inlineStr">
        <is>
          <t>075-841-2025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公式サイトに「代表」と記載</t>
        </is>
      </c>
      <c r="N29" s="11" t="inlineStr">
        <is>
          <t>https://www.kyoto-ryoyo.ed.jp/inquiry/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京都府</t>
        </is>
      </c>
      <c r="C30" s="5" t="inlineStr">
        <is>
          <t>京都市上京区</t>
        </is>
      </c>
      <c r="D30" s="5" t="inlineStr">
        <is>
          <t>同志社女子高等学校</t>
        </is>
      </c>
      <c r="E30" s="6" t="inlineStr">
        <is>
          <t>075-251-4305</t>
        </is>
      </c>
      <c r="F30" s="7" t="inlineStr">
        <is>
          <t>高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中高共通。複数サイトで一致、公式未確認</t>
        </is>
      </c>
      <c r="N30" s="11" t="inlineStr">
        <is>
          <t>https://www.mapion.co.jp/phonebook/M11004/26102/ILSP0000041353_ipclm/ ; https://www.studyh.jp/kansai/school/C27P001/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京都府</t>
        </is>
      </c>
      <c r="C31" s="5" t="inlineStr">
        <is>
          <t>京都市左京区</t>
        </is>
      </c>
      <c r="D31" s="5" t="inlineStr">
        <is>
          <t>同志社高等学校</t>
        </is>
      </c>
      <c r="E31" s="6" t="inlineStr">
        <is>
          <t>075-781-7121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公式サイトで確認</t>
        </is>
      </c>
      <c r="N31" s="11" t="inlineStr">
        <is>
          <t>https://js.doshisha.ac.jp/high/access/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京都府</t>
        </is>
      </c>
      <c r="C32" s="5" t="inlineStr">
        <is>
          <t>京田辺市</t>
        </is>
      </c>
      <c r="D32" s="5" t="inlineStr">
        <is>
          <t>同志社国際高等学校</t>
        </is>
      </c>
      <c r="E32" s="6" t="inlineStr">
        <is>
          <t>0774-65-8911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代表として掲載。中高共通</t>
        </is>
      </c>
      <c r="N32" s="11" t="inlineStr">
        <is>
          <t>https://www.mapion.co.jp/phonebook/M11004/26211/ILSP0000041744_ipclm/ ; https://school.js88.com/scl_h/22013860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京都府</t>
        </is>
      </c>
      <c r="C33" s="5" t="inlineStr">
        <is>
          <t>舞鶴市</t>
        </is>
      </c>
      <c r="D33" s="5" t="inlineStr">
        <is>
          <t>日星高等学校</t>
        </is>
      </c>
      <c r="E33" s="6" t="inlineStr">
        <is>
          <t>0773-75-0452</t>
        </is>
      </c>
      <c r="F33" s="7" t="inlineStr">
        <is>
          <t>高</t>
        </is>
      </c>
      <c r="G33" s="5" t="inlineStr">
        <is>
          <t>普通科・専門学科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公式サイトで確認。専攻科は0773-75-7610</t>
        </is>
      </c>
      <c r="N33" s="11" t="inlineStr">
        <is>
          <t>https://www.nisseihs.ed.jp/ ; https://www.mapion.co.jp/phonebook/M11004/26202/ILSP0000040685_ipclm/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京都府</t>
        </is>
      </c>
      <c r="C34" s="5" t="inlineStr">
        <is>
          <t>京都市右京区</t>
        </is>
      </c>
      <c r="D34" s="5" t="inlineStr">
        <is>
          <t>花園高等学校</t>
        </is>
      </c>
      <c r="E34" s="6" t="inlineStr">
        <is>
          <t>075-463-5221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公式サイトで確認</t>
        </is>
      </c>
      <c r="N34" s="11" t="inlineStr">
        <is>
          <t>https://www.kyoto-hanazono-h.ed.jp/hanazono_hs/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京都府</t>
        </is>
      </c>
      <c r="C35" s="5" t="inlineStr">
        <is>
          <t>京都市左京区</t>
        </is>
      </c>
      <c r="D35" s="5" t="inlineStr">
        <is>
          <t>東山高等学校</t>
        </is>
      </c>
      <c r="E35" s="6" t="inlineStr">
        <is>
          <t>075-771-9121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公式サイトに「代表」と記載</t>
        </is>
      </c>
      <c r="N35" s="11" t="inlineStr">
        <is>
          <t>https://www.higashiyama.ed.jp/access/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京都府</t>
        </is>
      </c>
      <c r="C36" s="5" t="inlineStr">
        <is>
          <t>福知山市</t>
        </is>
      </c>
      <c r="D36" s="5" t="inlineStr">
        <is>
          <t>福知山淑徳高等学校</t>
        </is>
      </c>
      <c r="E36" s="6" t="inlineStr">
        <is>
          <t>0773-22-3763</t>
        </is>
      </c>
      <c r="F36" s="7" t="inlineStr">
        <is>
          <t>高</t>
        </is>
      </c>
      <c r="G36" s="5" t="inlineStr">
        <is>
          <t>総合学科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公式サイトで確認。福知山成美とは別の学校</t>
        </is>
      </c>
      <c r="N36" s="11" t="inlineStr">
        <is>
          <t>https://www.kan-on-sen-ku.ed.jp/art2017/art-design/contact.html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京都府</t>
        </is>
      </c>
      <c r="C37" s="5" t="inlineStr">
        <is>
          <t>福知山市</t>
        </is>
      </c>
      <c r="D37" s="5" t="inlineStr">
        <is>
          <t>福知山成美高等学校</t>
        </is>
      </c>
      <c r="E37" s="6" t="inlineStr">
        <is>
          <t>0773-22-6224</t>
        </is>
      </c>
      <c r="F37" s="7" t="inlineStr">
        <is>
          <t>高</t>
        </is>
      </c>
      <c r="G37" s="5" t="inlineStr">
        <is>
          <t>普通科・専門学科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公式サイトで確認。福知山淑徳とは別の学校</t>
        </is>
      </c>
      <c r="N37" s="11" t="inlineStr">
        <is>
          <t>https://www.seibi-hs.jp/guide/access.html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京都府</t>
        </is>
      </c>
      <c r="C38" s="5" t="inlineStr">
        <is>
          <t>京都市上京区</t>
        </is>
      </c>
      <c r="D38" s="5" t="inlineStr">
        <is>
          <t>平安女学院高等学校</t>
        </is>
      </c>
      <c r="E38" s="6" t="inlineStr">
        <is>
          <t>075-414-8111</t>
        </is>
      </c>
      <c r="F38" s="7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公式サイトに「代表番号（入試関連以外）」と記載。入試は入学センター075-414-8101</t>
        </is>
      </c>
      <c r="N38" s="11" t="inlineStr">
        <is>
          <t>http://jh.heian.ac.jp/otoiawase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京都府</t>
        </is>
      </c>
      <c r="C39" s="5" t="inlineStr">
        <is>
          <t>京都市北区</t>
        </is>
      </c>
      <c r="D39" s="5" t="inlineStr">
        <is>
          <t>洛星高等学校</t>
        </is>
      </c>
      <c r="E39" s="6" t="inlineStr">
        <is>
          <t>075-466-0001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中高共通の代表。洛星ノートルダム女学院とは別の学校</t>
        </is>
      </c>
      <c r="N39" s="11" t="inlineStr">
        <is>
          <t>https://www.mapion.co.jp/phonebook/M11004/26101/ILSP0000041505_ipclm/ ; https://www.schoolnetwork.jp/kansai/jhs/school_list/school/rakusei/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京都府</t>
        </is>
      </c>
      <c r="C40" s="5" t="inlineStr">
        <is>
          <t>京都市左京区</t>
        </is>
      </c>
      <c r="D40" s="5" t="inlineStr">
        <is>
          <t>洛星ノートルダム女学院高等学校</t>
        </is>
      </c>
      <c r="E40" s="6" t="inlineStr">
        <is>
          <t>075-771-0570</t>
        </is>
      </c>
      <c r="F40" s="7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公式サイトに「代表」と記載。【校名変更】2026年4月にノートルダム女学院から改称。洛星高校とは別の学校</t>
        </is>
      </c>
      <c r="N40" s="11" t="inlineStr">
        <is>
          <t>https://www.notredame-jogakuin.ed.jp/access/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京都府</t>
        </is>
      </c>
      <c r="C41" s="5" t="inlineStr">
        <is>
          <t>京都市南区</t>
        </is>
      </c>
      <c r="D41" s="5" t="inlineStr">
        <is>
          <t>洛南高等学校</t>
        </is>
      </c>
      <c r="E41" s="6" t="inlineStr">
        <is>
          <t>075-681-6511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公式サイトで確認。附属中学校は075-672-2661</t>
        </is>
      </c>
      <c r="N41" s="11" t="inlineStr">
        <is>
          <t>https://www.rakunan-h.ed.jp/gakuen/access/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京都府</t>
        </is>
      </c>
      <c r="C42" s="5" t="inlineStr">
        <is>
          <t>京都市中京区</t>
        </is>
      </c>
      <c r="D42" s="5" t="inlineStr">
        <is>
          <t>洛陽総合高等学校</t>
        </is>
      </c>
      <c r="E42" s="6" t="inlineStr">
        <is>
          <t>075-802-0394</t>
        </is>
      </c>
      <c r="F42" s="7" t="inlineStr">
        <is>
          <t>高</t>
        </is>
      </c>
      <c r="G42" s="5" t="inlineStr">
        <is>
          <t>総合学科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複数サイトで一致、公式未確認</t>
        </is>
      </c>
      <c r="N42" s="11" t="inlineStr">
        <is>
          <t>https://www.mapion.co.jp/phonebook/M11004/26104/ILSP0000040710_ipclm/ ; https://koukounyushi.net/kinki/kyoto/highschool/01kyotocity_otokuni/425rakuyosogo/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京都府</t>
        </is>
      </c>
      <c r="C43" s="5" t="inlineStr">
        <is>
          <t>宇治市</t>
        </is>
      </c>
      <c r="D43" s="5" t="inlineStr">
        <is>
          <t>立命館宇治高等学校</t>
        </is>
      </c>
      <c r="E43" s="6" t="inlineStr">
        <is>
          <t>0774-41-3000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公式サイトで確認。中高共通</t>
        </is>
      </c>
      <c r="N43" s="11" t="inlineStr">
        <is>
          <t>https://www.ritsumei.ac.jp/uji/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京都府</t>
        </is>
      </c>
      <c r="C44" s="5" t="inlineStr">
        <is>
          <t>長岡京市</t>
        </is>
      </c>
      <c r="D44" s="5" t="inlineStr">
        <is>
          <t>立命館高等学校</t>
        </is>
      </c>
      <c r="E44" s="6" t="inlineStr">
        <is>
          <t>075-323-7111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公式サイトで確認。【移転】学校ネットの一覧では伏見区だが、現在は長岡京市（旧番号075-645-1051は使わない）</t>
        </is>
      </c>
      <c r="N44" s="11" t="inlineStr">
        <is>
          <t>https://www.ritsumei.ac.jp/nkc/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京都府</t>
        </is>
      </c>
      <c r="C45" s="5" t="inlineStr">
        <is>
          <t>京都市下京区</t>
        </is>
      </c>
      <c r="D45" s="5" t="inlineStr">
        <is>
          <t>龍谷大学付属平安高等学校</t>
        </is>
      </c>
      <c r="E45" s="6" t="inlineStr">
        <is>
          <t>075-361-4231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公式サイトで確認</t>
        </is>
      </c>
      <c r="N45" s="11" t="inlineStr">
        <is>
          <t>https://www.heian.ed.jp/</t>
        </is>
      </c>
      <c r="O45" s="12" t="inlineStr">
        <is>
          <t>開く</t>
        </is>
      </c>
    </row>
  </sheetData>
  <autoFilter ref="A4:O45"/>
  <conditionalFormatting sqref="A5:O45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45" showDropDown="0" showInputMessage="0" showErrorMessage="0" allowBlank="1" type="list">
      <formula1>"未架電,不在・折返し待ち,担当者不在,資料送付,アポ獲得,検討中,NG,番号不明"</formula1>
    </dataValidation>
    <dataValidation sqref="H5:H45 K5:K45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京都市左京区</t>
        </is>
      </c>
      <c r="B4" s="14">
        <f>COUNTIF('架電リスト'!$C$5:$C$45,A4)</f>
        <v/>
      </c>
      <c r="C4" s="14">
        <f>COUNTIFS('架電リスト'!$C$5:$C$45,A4,'架電リスト'!$E$5:$E$45,"&lt;&gt;")</f>
        <v/>
      </c>
      <c r="D4" s="14">
        <f>B4-COUNTIFS('架電リスト'!$C$5:$C$45,A4,'架電リスト'!$J$5:$J$45,"未架電")-COUNTIFS('架電リスト'!$C$5:$C$45,A4,'架電リスト'!$J$5:$J$45,"")</f>
        <v/>
      </c>
      <c r="E4" s="14">
        <f>COUNTIFS('架電リスト'!$C$5:$C$45,$A4,'架電リスト'!$J$5:$J$45,"不在・折返し待ち")</f>
        <v/>
      </c>
      <c r="F4" s="14">
        <f>COUNTIFS('架電リスト'!$C$5:$C$45,$A4,'架電リスト'!$J$5:$J$45,"担当者不在")</f>
        <v/>
      </c>
      <c r="G4" s="14">
        <f>COUNTIFS('架電リスト'!$C$5:$C$45,$A4,'架電リスト'!$J$5:$J$45,"資料送付")</f>
        <v/>
      </c>
      <c r="H4" s="14">
        <f>COUNTIFS('架電リスト'!$C$5:$C$45,$A4,'架電リスト'!$J$5:$J$45,"アポ獲得")</f>
        <v/>
      </c>
      <c r="I4" s="14">
        <f>COUNTIFS('架電リスト'!$C$5:$C$45,$A4,'架電リスト'!$J$5:$J$45,"検討中")</f>
        <v/>
      </c>
      <c r="J4" s="14">
        <f>COUNTIFS('架電リスト'!$C$5:$C$45,$A4,'架電リスト'!$J$5:$J$45,"NG")</f>
        <v/>
      </c>
      <c r="K4" s="14">
        <f>COUNTIFS('架電リスト'!$C$5:$C$45,$A4,'架電リスト'!$J$5:$J$45,"番号不明")</f>
        <v/>
      </c>
    </row>
    <row r="5">
      <c r="A5" s="14" t="inlineStr">
        <is>
          <t>京都市東山区</t>
        </is>
      </c>
      <c r="B5" s="14">
        <f>COUNTIF('架電リスト'!$C$5:$C$45,A5)</f>
        <v/>
      </c>
      <c r="C5" s="14">
        <f>COUNTIFS('架電リスト'!$C$5:$C$45,A5,'架電リスト'!$E$5:$E$45,"&lt;&gt;")</f>
        <v/>
      </c>
      <c r="D5" s="14">
        <f>B5-COUNTIFS('架電リスト'!$C$5:$C$45,A5,'架電リスト'!$J$5:$J$45,"未架電")-COUNTIFS('架電リスト'!$C$5:$C$45,A5,'架電リスト'!$J$5:$J$45,"")</f>
        <v/>
      </c>
      <c r="E5" s="14">
        <f>COUNTIFS('架電リスト'!$C$5:$C$45,$A5,'架電リスト'!$J$5:$J$45,"不在・折返し待ち")</f>
        <v/>
      </c>
      <c r="F5" s="14">
        <f>COUNTIFS('架電リスト'!$C$5:$C$45,$A5,'架電リスト'!$J$5:$J$45,"担当者不在")</f>
        <v/>
      </c>
      <c r="G5" s="14">
        <f>COUNTIFS('架電リスト'!$C$5:$C$45,$A5,'架電リスト'!$J$5:$J$45,"資料送付")</f>
        <v/>
      </c>
      <c r="H5" s="14">
        <f>COUNTIFS('架電リスト'!$C$5:$C$45,$A5,'架電リスト'!$J$5:$J$45,"アポ獲得")</f>
        <v/>
      </c>
      <c r="I5" s="14">
        <f>COUNTIFS('架電リスト'!$C$5:$C$45,$A5,'架電リスト'!$J$5:$J$45,"検討中")</f>
        <v/>
      </c>
      <c r="J5" s="14">
        <f>COUNTIFS('架電リスト'!$C$5:$C$45,$A5,'架電リスト'!$J$5:$J$45,"NG")</f>
        <v/>
      </c>
      <c r="K5" s="14">
        <f>COUNTIFS('架電リスト'!$C$5:$C$45,$A5,'架電リスト'!$J$5:$J$45,"番号不明")</f>
        <v/>
      </c>
    </row>
    <row r="6">
      <c r="A6" s="14" t="inlineStr">
        <is>
          <t>京都市右京区</t>
        </is>
      </c>
      <c r="B6" s="14">
        <f>COUNTIF('架電リスト'!$C$5:$C$45,A6)</f>
        <v/>
      </c>
      <c r="C6" s="14">
        <f>COUNTIFS('架電リスト'!$C$5:$C$45,A6,'架電リスト'!$E$5:$E$45,"&lt;&gt;")</f>
        <v/>
      </c>
      <c r="D6" s="14">
        <f>B6-COUNTIFS('架電リスト'!$C$5:$C$45,A6,'架電リスト'!$J$5:$J$45,"未架電")-COUNTIFS('架電リスト'!$C$5:$C$45,A6,'架電リスト'!$J$5:$J$45,"")</f>
        <v/>
      </c>
      <c r="E6" s="14">
        <f>COUNTIFS('架電リスト'!$C$5:$C$45,$A6,'架電リスト'!$J$5:$J$45,"不在・折返し待ち")</f>
        <v/>
      </c>
      <c r="F6" s="14">
        <f>COUNTIFS('架電リスト'!$C$5:$C$45,$A6,'架電リスト'!$J$5:$J$45,"担当者不在")</f>
        <v/>
      </c>
      <c r="G6" s="14">
        <f>COUNTIFS('架電リスト'!$C$5:$C$45,$A6,'架電リスト'!$J$5:$J$45,"資料送付")</f>
        <v/>
      </c>
      <c r="H6" s="14">
        <f>COUNTIFS('架電リスト'!$C$5:$C$45,$A6,'架電リスト'!$J$5:$J$45,"アポ獲得")</f>
        <v/>
      </c>
      <c r="I6" s="14">
        <f>COUNTIFS('架電リスト'!$C$5:$C$45,$A6,'架電リスト'!$J$5:$J$45,"検討中")</f>
        <v/>
      </c>
      <c r="J6" s="14">
        <f>COUNTIFS('架電リスト'!$C$5:$C$45,$A6,'架電リスト'!$J$5:$J$45,"NG")</f>
        <v/>
      </c>
      <c r="K6" s="14">
        <f>COUNTIFS('架電リスト'!$C$5:$C$45,$A6,'架電リスト'!$J$5:$J$45,"番号不明")</f>
        <v/>
      </c>
    </row>
    <row r="7">
      <c r="A7" s="14" t="inlineStr">
        <is>
          <t>福知山市</t>
        </is>
      </c>
      <c r="B7" s="14">
        <f>COUNTIF('架電リスト'!$C$5:$C$45,A7)</f>
        <v/>
      </c>
      <c r="C7" s="14">
        <f>COUNTIFS('架電リスト'!$C$5:$C$45,A7,'架電リスト'!$E$5:$E$45,"&lt;&gt;")</f>
        <v/>
      </c>
      <c r="D7" s="14">
        <f>B7-COUNTIFS('架電リスト'!$C$5:$C$45,A7,'架電リスト'!$J$5:$J$45,"未架電")-COUNTIFS('架電リスト'!$C$5:$C$45,A7,'架電リスト'!$J$5:$J$45,"")</f>
        <v/>
      </c>
      <c r="E7" s="14">
        <f>COUNTIFS('架電リスト'!$C$5:$C$45,$A7,'架電リスト'!$J$5:$J$45,"不在・折返し待ち")</f>
        <v/>
      </c>
      <c r="F7" s="14">
        <f>COUNTIFS('架電リスト'!$C$5:$C$45,$A7,'架電リスト'!$J$5:$J$45,"担当者不在")</f>
        <v/>
      </c>
      <c r="G7" s="14">
        <f>COUNTIFS('架電リスト'!$C$5:$C$45,$A7,'架電リスト'!$J$5:$J$45,"資料送付")</f>
        <v/>
      </c>
      <c r="H7" s="14">
        <f>COUNTIFS('架電リスト'!$C$5:$C$45,$A7,'架電リスト'!$J$5:$J$45,"アポ獲得")</f>
        <v/>
      </c>
      <c r="I7" s="14">
        <f>COUNTIFS('架電リスト'!$C$5:$C$45,$A7,'架電リスト'!$J$5:$J$45,"検討中")</f>
        <v/>
      </c>
      <c r="J7" s="14">
        <f>COUNTIFS('架電リスト'!$C$5:$C$45,$A7,'架電リスト'!$J$5:$J$45,"NG")</f>
        <v/>
      </c>
      <c r="K7" s="14">
        <f>COUNTIFS('架電リスト'!$C$5:$C$45,$A7,'架電リスト'!$J$5:$J$45,"番号不明")</f>
        <v/>
      </c>
    </row>
    <row r="8">
      <c r="A8" s="14" t="inlineStr">
        <is>
          <t>宇治市</t>
        </is>
      </c>
      <c r="B8" s="14">
        <f>COUNTIF('架電リスト'!$C$5:$C$45,A8)</f>
        <v/>
      </c>
      <c r="C8" s="14">
        <f>COUNTIFS('架電リスト'!$C$5:$C$45,A8,'架電リスト'!$E$5:$E$45,"&lt;&gt;")</f>
        <v/>
      </c>
      <c r="D8" s="14">
        <f>B8-COUNTIFS('架電リスト'!$C$5:$C$45,A8,'架電リスト'!$J$5:$J$45,"未架電")-COUNTIFS('架電リスト'!$C$5:$C$45,A8,'架電リスト'!$J$5:$J$45,"")</f>
        <v/>
      </c>
      <c r="E8" s="14">
        <f>COUNTIFS('架電リスト'!$C$5:$C$45,$A8,'架電リスト'!$J$5:$J$45,"不在・折返し待ち")</f>
        <v/>
      </c>
      <c r="F8" s="14">
        <f>COUNTIFS('架電リスト'!$C$5:$C$45,$A8,'架電リスト'!$J$5:$J$45,"担当者不在")</f>
        <v/>
      </c>
      <c r="G8" s="14">
        <f>COUNTIFS('架電リスト'!$C$5:$C$45,$A8,'架電リスト'!$J$5:$J$45,"資料送付")</f>
        <v/>
      </c>
      <c r="H8" s="14">
        <f>COUNTIFS('架電リスト'!$C$5:$C$45,$A8,'架電リスト'!$J$5:$J$45,"アポ獲得")</f>
        <v/>
      </c>
      <c r="I8" s="14">
        <f>COUNTIFS('架電リスト'!$C$5:$C$45,$A8,'架電リスト'!$J$5:$J$45,"検討中")</f>
        <v/>
      </c>
      <c r="J8" s="14">
        <f>COUNTIFS('架電リスト'!$C$5:$C$45,$A8,'架電リスト'!$J$5:$J$45,"NG")</f>
        <v/>
      </c>
      <c r="K8" s="14">
        <f>COUNTIFS('架電リスト'!$C$5:$C$45,$A8,'架電リスト'!$J$5:$J$45,"番号不明")</f>
        <v/>
      </c>
    </row>
    <row r="9">
      <c r="A9" s="14" t="inlineStr">
        <is>
          <t>京都市上京区</t>
        </is>
      </c>
      <c r="B9" s="14">
        <f>COUNTIF('架電リスト'!$C$5:$C$45,A9)</f>
        <v/>
      </c>
      <c r="C9" s="14">
        <f>COUNTIFS('架電リスト'!$C$5:$C$45,A9,'架電リスト'!$E$5:$E$45,"&lt;&gt;")</f>
        <v/>
      </c>
      <c r="D9" s="14">
        <f>B9-COUNTIFS('架電リスト'!$C$5:$C$45,A9,'架電リスト'!$J$5:$J$45,"未架電")-COUNTIFS('架電リスト'!$C$5:$C$45,A9,'架電リスト'!$J$5:$J$45,"")</f>
        <v/>
      </c>
      <c r="E9" s="14">
        <f>COUNTIFS('架電リスト'!$C$5:$C$45,$A9,'架電リスト'!$J$5:$J$45,"不在・折返し待ち")</f>
        <v/>
      </c>
      <c r="F9" s="14">
        <f>COUNTIFS('架電リスト'!$C$5:$C$45,$A9,'架電リスト'!$J$5:$J$45,"担当者不在")</f>
        <v/>
      </c>
      <c r="G9" s="14">
        <f>COUNTIFS('架電リスト'!$C$5:$C$45,$A9,'架電リスト'!$J$5:$J$45,"資料送付")</f>
        <v/>
      </c>
      <c r="H9" s="14">
        <f>COUNTIFS('架電リスト'!$C$5:$C$45,$A9,'架電リスト'!$J$5:$J$45,"アポ獲得")</f>
        <v/>
      </c>
      <c r="I9" s="14">
        <f>COUNTIFS('架電リスト'!$C$5:$C$45,$A9,'架電リスト'!$J$5:$J$45,"検討中")</f>
        <v/>
      </c>
      <c r="J9" s="14">
        <f>COUNTIFS('架電リスト'!$C$5:$C$45,$A9,'架電リスト'!$J$5:$J$45,"NG")</f>
        <v/>
      </c>
      <c r="K9" s="14">
        <f>COUNTIFS('架電リスト'!$C$5:$C$45,$A9,'架電リスト'!$J$5:$J$45,"番号不明")</f>
        <v/>
      </c>
    </row>
    <row r="10">
      <c r="A10" s="14" t="inlineStr">
        <is>
          <t>京都市下京区</t>
        </is>
      </c>
      <c r="B10" s="14">
        <f>COUNTIF('架電リスト'!$C$5:$C$45,A10)</f>
        <v/>
      </c>
      <c r="C10" s="14">
        <f>COUNTIFS('架電リスト'!$C$5:$C$45,A10,'架電リスト'!$E$5:$E$45,"&lt;&gt;")</f>
        <v/>
      </c>
      <c r="D10" s="14">
        <f>B10-COUNTIFS('架電リスト'!$C$5:$C$45,A10,'架電リスト'!$J$5:$J$45,"未架電")-COUNTIFS('架電リスト'!$C$5:$C$45,A10,'架電リスト'!$J$5:$J$45,"")</f>
        <v/>
      </c>
      <c r="E10" s="14">
        <f>COUNTIFS('架電リスト'!$C$5:$C$45,$A10,'架電リスト'!$J$5:$J$45,"不在・折返し待ち")</f>
        <v/>
      </c>
      <c r="F10" s="14">
        <f>COUNTIFS('架電リスト'!$C$5:$C$45,$A10,'架電リスト'!$J$5:$J$45,"担当者不在")</f>
        <v/>
      </c>
      <c r="G10" s="14">
        <f>COUNTIFS('架電リスト'!$C$5:$C$45,$A10,'架電リスト'!$J$5:$J$45,"資料送付")</f>
        <v/>
      </c>
      <c r="H10" s="14">
        <f>COUNTIFS('架電リスト'!$C$5:$C$45,$A10,'架電リスト'!$J$5:$J$45,"アポ獲得")</f>
        <v/>
      </c>
      <c r="I10" s="14">
        <f>COUNTIFS('架電リスト'!$C$5:$C$45,$A10,'架電リスト'!$J$5:$J$45,"検討中")</f>
        <v/>
      </c>
      <c r="J10" s="14">
        <f>COUNTIFS('架電リスト'!$C$5:$C$45,$A10,'架電リスト'!$J$5:$J$45,"NG")</f>
        <v/>
      </c>
      <c r="K10" s="14">
        <f>COUNTIFS('架電リスト'!$C$5:$C$45,$A10,'架電リスト'!$J$5:$J$45,"番号不明")</f>
        <v/>
      </c>
    </row>
    <row r="11">
      <c r="A11" s="14" t="inlineStr">
        <is>
          <t>京都市西京区</t>
        </is>
      </c>
      <c r="B11" s="14">
        <f>COUNTIF('架電リスト'!$C$5:$C$45,A11)</f>
        <v/>
      </c>
      <c r="C11" s="14">
        <f>COUNTIFS('架電リスト'!$C$5:$C$45,A11,'架電リスト'!$E$5:$E$45,"&lt;&gt;")</f>
        <v/>
      </c>
      <c r="D11" s="14">
        <f>B11-COUNTIFS('架電リスト'!$C$5:$C$45,A11,'架電リスト'!$J$5:$J$45,"未架電")-COUNTIFS('架電リスト'!$C$5:$C$45,A11,'架電リスト'!$J$5:$J$45,"")</f>
        <v/>
      </c>
      <c r="E11" s="14">
        <f>COUNTIFS('架電リスト'!$C$5:$C$45,$A11,'架電リスト'!$J$5:$J$45,"不在・折返し待ち")</f>
        <v/>
      </c>
      <c r="F11" s="14">
        <f>COUNTIFS('架電リスト'!$C$5:$C$45,$A11,'架電リスト'!$J$5:$J$45,"担当者不在")</f>
        <v/>
      </c>
      <c r="G11" s="14">
        <f>COUNTIFS('架電リスト'!$C$5:$C$45,$A11,'架電リスト'!$J$5:$J$45,"資料送付")</f>
        <v/>
      </c>
      <c r="H11" s="14">
        <f>COUNTIFS('架電リスト'!$C$5:$C$45,$A11,'架電リスト'!$J$5:$J$45,"アポ獲得")</f>
        <v/>
      </c>
      <c r="I11" s="14">
        <f>COUNTIFS('架電リスト'!$C$5:$C$45,$A11,'架電リスト'!$J$5:$J$45,"検討中")</f>
        <v/>
      </c>
      <c r="J11" s="14">
        <f>COUNTIFS('架電リスト'!$C$5:$C$45,$A11,'架電リスト'!$J$5:$J$45,"NG")</f>
        <v/>
      </c>
      <c r="K11" s="14">
        <f>COUNTIFS('架電リスト'!$C$5:$C$45,$A11,'架電リスト'!$J$5:$J$45,"番号不明")</f>
        <v/>
      </c>
    </row>
    <row r="12">
      <c r="A12" s="14" t="inlineStr">
        <is>
          <t>京都市伏見区</t>
        </is>
      </c>
      <c r="B12" s="14">
        <f>COUNTIF('架電リスト'!$C$5:$C$45,A12)</f>
        <v/>
      </c>
      <c r="C12" s="14">
        <f>COUNTIFS('架電リスト'!$C$5:$C$45,A12,'架電リスト'!$E$5:$E$45,"&lt;&gt;")</f>
        <v/>
      </c>
      <c r="D12" s="14">
        <f>B12-COUNTIFS('架電リスト'!$C$5:$C$45,A12,'架電リスト'!$J$5:$J$45,"未架電")-COUNTIFS('架電リスト'!$C$5:$C$45,A12,'架電リスト'!$J$5:$J$45,"")</f>
        <v/>
      </c>
      <c r="E12" s="14">
        <f>COUNTIFS('架電リスト'!$C$5:$C$45,$A12,'架電リスト'!$J$5:$J$45,"不在・折返し待ち")</f>
        <v/>
      </c>
      <c r="F12" s="14">
        <f>COUNTIFS('架電リスト'!$C$5:$C$45,$A12,'架電リスト'!$J$5:$J$45,"担当者不在")</f>
        <v/>
      </c>
      <c r="G12" s="14">
        <f>COUNTIFS('架電リスト'!$C$5:$C$45,$A12,'架電リスト'!$J$5:$J$45,"資料送付")</f>
        <v/>
      </c>
      <c r="H12" s="14">
        <f>COUNTIFS('架電リスト'!$C$5:$C$45,$A12,'架電リスト'!$J$5:$J$45,"アポ獲得")</f>
        <v/>
      </c>
      <c r="I12" s="14">
        <f>COUNTIFS('架電リスト'!$C$5:$C$45,$A12,'架電リスト'!$J$5:$J$45,"検討中")</f>
        <v/>
      </c>
      <c r="J12" s="14">
        <f>COUNTIFS('架電リスト'!$C$5:$C$45,$A12,'架電リスト'!$J$5:$J$45,"NG")</f>
        <v/>
      </c>
      <c r="K12" s="14">
        <f>COUNTIFS('架電リスト'!$C$5:$C$45,$A12,'架電リスト'!$J$5:$J$45,"番号不明")</f>
        <v/>
      </c>
    </row>
    <row r="13">
      <c r="A13" s="14" t="inlineStr">
        <is>
          <t>京都市中京区</t>
        </is>
      </c>
      <c r="B13" s="14">
        <f>COUNTIF('架電リスト'!$C$5:$C$45,A13)</f>
        <v/>
      </c>
      <c r="C13" s="14">
        <f>COUNTIFS('架電リスト'!$C$5:$C$45,A13,'架電リスト'!$E$5:$E$45,"&lt;&gt;")</f>
        <v/>
      </c>
      <c r="D13" s="14">
        <f>B13-COUNTIFS('架電リスト'!$C$5:$C$45,A13,'架電リスト'!$J$5:$J$45,"未架電")-COUNTIFS('架電リスト'!$C$5:$C$45,A13,'架電リスト'!$J$5:$J$45,"")</f>
        <v/>
      </c>
      <c r="E13" s="14">
        <f>COUNTIFS('架電リスト'!$C$5:$C$45,$A13,'架電リスト'!$J$5:$J$45,"不在・折返し待ち")</f>
        <v/>
      </c>
      <c r="F13" s="14">
        <f>COUNTIFS('架電リスト'!$C$5:$C$45,$A13,'架電リスト'!$J$5:$J$45,"担当者不在")</f>
        <v/>
      </c>
      <c r="G13" s="14">
        <f>COUNTIFS('架電リスト'!$C$5:$C$45,$A13,'架電リスト'!$J$5:$J$45,"資料送付")</f>
        <v/>
      </c>
      <c r="H13" s="14">
        <f>COUNTIFS('架電リスト'!$C$5:$C$45,$A13,'架電リスト'!$J$5:$J$45,"アポ獲得")</f>
        <v/>
      </c>
      <c r="I13" s="14">
        <f>COUNTIFS('架電リスト'!$C$5:$C$45,$A13,'架電リスト'!$J$5:$J$45,"検討中")</f>
        <v/>
      </c>
      <c r="J13" s="14">
        <f>COUNTIFS('架電リスト'!$C$5:$C$45,$A13,'架電リスト'!$J$5:$J$45,"NG")</f>
        <v/>
      </c>
      <c r="K13" s="14">
        <f>COUNTIFS('架電リスト'!$C$5:$C$45,$A13,'架電リスト'!$J$5:$J$45,"番号不明")</f>
        <v/>
      </c>
    </row>
    <row r="14">
      <c r="A14" s="14" t="inlineStr">
        <is>
          <t>京都市山科区</t>
        </is>
      </c>
      <c r="B14" s="14">
        <f>COUNTIF('架電リスト'!$C$5:$C$45,A14)</f>
        <v/>
      </c>
      <c r="C14" s="14">
        <f>COUNTIFS('架電リスト'!$C$5:$C$45,A14,'架電リスト'!$E$5:$E$45,"&lt;&gt;")</f>
        <v/>
      </c>
      <c r="D14" s="14">
        <f>B14-COUNTIFS('架電リスト'!$C$5:$C$45,A14,'架電リスト'!$J$5:$J$45,"未架電")-COUNTIFS('架電リスト'!$C$5:$C$45,A14,'架電リスト'!$J$5:$J$45,"")</f>
        <v/>
      </c>
      <c r="E14" s="14">
        <f>COUNTIFS('架電リスト'!$C$5:$C$45,$A14,'架電リスト'!$J$5:$J$45,"不在・折返し待ち")</f>
        <v/>
      </c>
      <c r="F14" s="14">
        <f>COUNTIFS('架電リスト'!$C$5:$C$45,$A14,'架電リスト'!$J$5:$J$45,"担当者不在")</f>
        <v/>
      </c>
      <c r="G14" s="14">
        <f>COUNTIFS('架電リスト'!$C$5:$C$45,$A14,'架電リスト'!$J$5:$J$45,"資料送付")</f>
        <v/>
      </c>
      <c r="H14" s="14">
        <f>COUNTIFS('架電リスト'!$C$5:$C$45,$A14,'架電リスト'!$J$5:$J$45,"アポ獲得")</f>
        <v/>
      </c>
      <c r="I14" s="14">
        <f>COUNTIFS('架電リスト'!$C$5:$C$45,$A14,'架電リスト'!$J$5:$J$45,"検討中")</f>
        <v/>
      </c>
      <c r="J14" s="14">
        <f>COUNTIFS('架電リスト'!$C$5:$C$45,$A14,'架電リスト'!$J$5:$J$45,"NG")</f>
        <v/>
      </c>
      <c r="K14" s="14">
        <f>COUNTIFS('架電リスト'!$C$5:$C$45,$A14,'架電リスト'!$J$5:$J$45,"番号不明")</f>
        <v/>
      </c>
    </row>
    <row r="15">
      <c r="A15" s="14" t="inlineStr">
        <is>
          <t>宮津市</t>
        </is>
      </c>
      <c r="B15" s="14">
        <f>COUNTIF('架電リスト'!$C$5:$C$45,A15)</f>
        <v/>
      </c>
      <c r="C15" s="14">
        <f>COUNTIFS('架電リスト'!$C$5:$C$45,A15,'架電リスト'!$E$5:$E$45,"&lt;&gt;")</f>
        <v/>
      </c>
      <c r="D15" s="14">
        <f>B15-COUNTIFS('架電リスト'!$C$5:$C$45,A15,'架電リスト'!$J$5:$J$45,"未架電")-COUNTIFS('架電リスト'!$C$5:$C$45,A15,'架電リスト'!$J$5:$J$45,"")</f>
        <v/>
      </c>
      <c r="E15" s="14">
        <f>COUNTIFS('架電リスト'!$C$5:$C$45,$A15,'架電リスト'!$J$5:$J$45,"不在・折返し待ち")</f>
        <v/>
      </c>
      <c r="F15" s="14">
        <f>COUNTIFS('架電リスト'!$C$5:$C$45,$A15,'架電リスト'!$J$5:$J$45,"担当者不在")</f>
        <v/>
      </c>
      <c r="G15" s="14">
        <f>COUNTIFS('架電リスト'!$C$5:$C$45,$A15,'架電リスト'!$J$5:$J$45,"資料送付")</f>
        <v/>
      </c>
      <c r="H15" s="14">
        <f>COUNTIFS('架電リスト'!$C$5:$C$45,$A15,'架電リスト'!$J$5:$J$45,"アポ獲得")</f>
        <v/>
      </c>
      <c r="I15" s="14">
        <f>COUNTIFS('架電リスト'!$C$5:$C$45,$A15,'架電リスト'!$J$5:$J$45,"検討中")</f>
        <v/>
      </c>
      <c r="J15" s="14">
        <f>COUNTIFS('架電リスト'!$C$5:$C$45,$A15,'架電リスト'!$J$5:$J$45,"NG")</f>
        <v/>
      </c>
      <c r="K15" s="14">
        <f>COUNTIFS('架電リスト'!$C$5:$C$45,$A15,'架電リスト'!$J$5:$J$45,"番号不明")</f>
        <v/>
      </c>
    </row>
    <row r="16">
      <c r="A16" s="14" t="inlineStr">
        <is>
          <t>精華町</t>
        </is>
      </c>
      <c r="B16" s="14">
        <f>COUNTIF('架電リスト'!$C$5:$C$45,A16)</f>
        <v/>
      </c>
      <c r="C16" s="14">
        <f>COUNTIFS('架電リスト'!$C$5:$C$45,A16,'架電リスト'!$E$5:$E$45,"&lt;&gt;")</f>
        <v/>
      </c>
      <c r="D16" s="14">
        <f>B16-COUNTIFS('架電リスト'!$C$5:$C$45,A16,'架電リスト'!$J$5:$J$45,"未架電")-COUNTIFS('架電リスト'!$C$5:$C$45,A16,'架電リスト'!$J$5:$J$45,"")</f>
        <v/>
      </c>
      <c r="E16" s="14">
        <f>COUNTIFS('架電リスト'!$C$5:$C$45,$A16,'架電リスト'!$J$5:$J$45,"不在・折返し待ち")</f>
        <v/>
      </c>
      <c r="F16" s="14">
        <f>COUNTIFS('架電リスト'!$C$5:$C$45,$A16,'架電リスト'!$J$5:$J$45,"担当者不在")</f>
        <v/>
      </c>
      <c r="G16" s="14">
        <f>COUNTIFS('架電リスト'!$C$5:$C$45,$A16,'架電リスト'!$J$5:$J$45,"資料送付")</f>
        <v/>
      </c>
      <c r="H16" s="14">
        <f>COUNTIFS('架電リスト'!$C$5:$C$45,$A16,'架電リスト'!$J$5:$J$45,"アポ獲得")</f>
        <v/>
      </c>
      <c r="I16" s="14">
        <f>COUNTIFS('架電リスト'!$C$5:$C$45,$A16,'架電リスト'!$J$5:$J$45,"検討中")</f>
        <v/>
      </c>
      <c r="J16" s="14">
        <f>COUNTIFS('架電リスト'!$C$5:$C$45,$A16,'架電リスト'!$J$5:$J$45,"NG")</f>
        <v/>
      </c>
      <c r="K16" s="14">
        <f>COUNTIFS('架電リスト'!$C$5:$C$45,$A16,'架電リスト'!$J$5:$J$45,"番号不明")</f>
        <v/>
      </c>
    </row>
    <row r="17">
      <c r="A17" s="14" t="inlineStr">
        <is>
          <t>南丹市</t>
        </is>
      </c>
      <c r="B17" s="14">
        <f>COUNTIF('架電リスト'!$C$5:$C$45,A17)</f>
        <v/>
      </c>
      <c r="C17" s="14">
        <f>COUNTIFS('架電リスト'!$C$5:$C$45,A17,'架電リスト'!$E$5:$E$45,"&lt;&gt;")</f>
        <v/>
      </c>
      <c r="D17" s="14">
        <f>B17-COUNTIFS('架電リスト'!$C$5:$C$45,A17,'架電リスト'!$J$5:$J$45,"未架電")-COUNTIFS('架電リスト'!$C$5:$C$45,A17,'架電リスト'!$J$5:$J$45,"")</f>
        <v/>
      </c>
      <c r="E17" s="14">
        <f>COUNTIFS('架電リスト'!$C$5:$C$45,$A17,'架電リスト'!$J$5:$J$45,"不在・折返し待ち")</f>
        <v/>
      </c>
      <c r="F17" s="14">
        <f>COUNTIFS('架電リスト'!$C$5:$C$45,$A17,'架電リスト'!$J$5:$J$45,"担当者不在")</f>
        <v/>
      </c>
      <c r="G17" s="14">
        <f>COUNTIFS('架電リスト'!$C$5:$C$45,$A17,'架電リスト'!$J$5:$J$45,"資料送付")</f>
        <v/>
      </c>
      <c r="H17" s="14">
        <f>COUNTIFS('架電リスト'!$C$5:$C$45,$A17,'架電リスト'!$J$5:$J$45,"アポ獲得")</f>
        <v/>
      </c>
      <c r="I17" s="14">
        <f>COUNTIFS('架電リスト'!$C$5:$C$45,$A17,'架電リスト'!$J$5:$J$45,"検討中")</f>
        <v/>
      </c>
      <c r="J17" s="14">
        <f>COUNTIFS('架電リスト'!$C$5:$C$45,$A17,'架電リスト'!$J$5:$J$45,"NG")</f>
        <v/>
      </c>
      <c r="K17" s="14">
        <f>COUNTIFS('架電リスト'!$C$5:$C$45,$A17,'架電リスト'!$J$5:$J$45,"番号不明")</f>
        <v/>
      </c>
    </row>
    <row r="18">
      <c r="A18" s="14" t="inlineStr">
        <is>
          <t>向日市</t>
        </is>
      </c>
      <c r="B18" s="14">
        <f>COUNTIF('架電リスト'!$C$5:$C$45,A18)</f>
        <v/>
      </c>
      <c r="C18" s="14">
        <f>COUNTIFS('架電リスト'!$C$5:$C$45,A18,'架電リスト'!$E$5:$E$45,"&lt;&gt;")</f>
        <v/>
      </c>
      <c r="D18" s="14">
        <f>B18-COUNTIFS('架電リスト'!$C$5:$C$45,A18,'架電リスト'!$J$5:$J$45,"未架電")-COUNTIFS('架電リスト'!$C$5:$C$45,A18,'架電リスト'!$J$5:$J$45,"")</f>
        <v/>
      </c>
      <c r="E18" s="14">
        <f>COUNTIFS('架電リスト'!$C$5:$C$45,$A18,'架電リスト'!$J$5:$J$45,"不在・折返し待ち")</f>
        <v/>
      </c>
      <c r="F18" s="14">
        <f>COUNTIFS('架電リスト'!$C$5:$C$45,$A18,'架電リスト'!$J$5:$J$45,"担当者不在")</f>
        <v/>
      </c>
      <c r="G18" s="14">
        <f>COUNTIFS('架電リスト'!$C$5:$C$45,$A18,'架電リスト'!$J$5:$J$45,"資料送付")</f>
        <v/>
      </c>
      <c r="H18" s="14">
        <f>COUNTIFS('架電リスト'!$C$5:$C$45,$A18,'架電リスト'!$J$5:$J$45,"アポ獲得")</f>
        <v/>
      </c>
      <c r="I18" s="14">
        <f>COUNTIFS('架電リスト'!$C$5:$C$45,$A18,'架電リスト'!$J$5:$J$45,"検討中")</f>
        <v/>
      </c>
      <c r="J18" s="14">
        <f>COUNTIFS('架電リスト'!$C$5:$C$45,$A18,'架電リスト'!$J$5:$J$45,"NG")</f>
        <v/>
      </c>
      <c r="K18" s="14">
        <f>COUNTIFS('架電リスト'!$C$5:$C$45,$A18,'架電リスト'!$J$5:$J$45,"番号不明")</f>
        <v/>
      </c>
    </row>
    <row r="19">
      <c r="A19" s="14" t="inlineStr">
        <is>
          <t>京田辺市</t>
        </is>
      </c>
      <c r="B19" s="14">
        <f>COUNTIF('架電リスト'!$C$5:$C$45,A19)</f>
        <v/>
      </c>
      <c r="C19" s="14">
        <f>COUNTIFS('架電リスト'!$C$5:$C$45,A19,'架電リスト'!$E$5:$E$45,"&lt;&gt;")</f>
        <v/>
      </c>
      <c r="D19" s="14">
        <f>B19-COUNTIFS('架電リスト'!$C$5:$C$45,A19,'架電リスト'!$J$5:$J$45,"未架電")-COUNTIFS('架電リスト'!$C$5:$C$45,A19,'架電リスト'!$J$5:$J$45,"")</f>
        <v/>
      </c>
      <c r="E19" s="14">
        <f>COUNTIFS('架電リスト'!$C$5:$C$45,$A19,'架電リスト'!$J$5:$J$45,"不在・折返し待ち")</f>
        <v/>
      </c>
      <c r="F19" s="14">
        <f>COUNTIFS('架電リスト'!$C$5:$C$45,$A19,'架電リスト'!$J$5:$J$45,"担当者不在")</f>
        <v/>
      </c>
      <c r="G19" s="14">
        <f>COUNTIFS('架電リスト'!$C$5:$C$45,$A19,'架電リスト'!$J$5:$J$45,"資料送付")</f>
        <v/>
      </c>
      <c r="H19" s="14">
        <f>COUNTIFS('架電リスト'!$C$5:$C$45,$A19,'架電リスト'!$J$5:$J$45,"アポ獲得")</f>
        <v/>
      </c>
      <c r="I19" s="14">
        <f>COUNTIFS('架電リスト'!$C$5:$C$45,$A19,'架電リスト'!$J$5:$J$45,"検討中")</f>
        <v/>
      </c>
      <c r="J19" s="14">
        <f>COUNTIFS('架電リスト'!$C$5:$C$45,$A19,'架電リスト'!$J$5:$J$45,"NG")</f>
        <v/>
      </c>
      <c r="K19" s="14">
        <f>COUNTIFS('架電リスト'!$C$5:$C$45,$A19,'架電リスト'!$J$5:$J$45,"番号不明")</f>
        <v/>
      </c>
    </row>
    <row r="20">
      <c r="A20" s="14" t="inlineStr">
        <is>
          <t>舞鶴市</t>
        </is>
      </c>
      <c r="B20" s="14">
        <f>COUNTIF('架電リスト'!$C$5:$C$45,A20)</f>
        <v/>
      </c>
      <c r="C20" s="14">
        <f>COUNTIFS('架電リスト'!$C$5:$C$45,A20,'架電リスト'!$E$5:$E$45,"&lt;&gt;")</f>
        <v/>
      </c>
      <c r="D20" s="14">
        <f>B20-COUNTIFS('架電リスト'!$C$5:$C$45,A20,'架電リスト'!$J$5:$J$45,"未架電")-COUNTIFS('架電リスト'!$C$5:$C$45,A20,'架電リスト'!$J$5:$J$45,"")</f>
        <v/>
      </c>
      <c r="E20" s="14">
        <f>COUNTIFS('架電リスト'!$C$5:$C$45,$A20,'架電リスト'!$J$5:$J$45,"不在・折返し待ち")</f>
        <v/>
      </c>
      <c r="F20" s="14">
        <f>COUNTIFS('架電リスト'!$C$5:$C$45,$A20,'架電リスト'!$J$5:$J$45,"担当者不在")</f>
        <v/>
      </c>
      <c r="G20" s="14">
        <f>COUNTIFS('架電リスト'!$C$5:$C$45,$A20,'架電リスト'!$J$5:$J$45,"資料送付")</f>
        <v/>
      </c>
      <c r="H20" s="14">
        <f>COUNTIFS('架電リスト'!$C$5:$C$45,$A20,'架電リスト'!$J$5:$J$45,"アポ獲得")</f>
        <v/>
      </c>
      <c r="I20" s="14">
        <f>COUNTIFS('架電リスト'!$C$5:$C$45,$A20,'架電リスト'!$J$5:$J$45,"検討中")</f>
        <v/>
      </c>
      <c r="J20" s="14">
        <f>COUNTIFS('架電リスト'!$C$5:$C$45,$A20,'架電リスト'!$J$5:$J$45,"NG")</f>
        <v/>
      </c>
      <c r="K20" s="14">
        <f>COUNTIFS('架電リスト'!$C$5:$C$45,$A20,'架電リスト'!$J$5:$J$45,"番号不明")</f>
        <v/>
      </c>
    </row>
    <row r="21">
      <c r="A21" s="14" t="inlineStr">
        <is>
          <t>京都市北区</t>
        </is>
      </c>
      <c r="B21" s="14">
        <f>COUNTIF('架電リスト'!$C$5:$C$45,A21)</f>
        <v/>
      </c>
      <c r="C21" s="14">
        <f>COUNTIFS('架電リスト'!$C$5:$C$45,A21,'架電リスト'!$E$5:$E$45,"&lt;&gt;")</f>
        <v/>
      </c>
      <c r="D21" s="14">
        <f>B21-COUNTIFS('架電リスト'!$C$5:$C$45,A21,'架電リスト'!$J$5:$J$45,"未架電")-COUNTIFS('架電リスト'!$C$5:$C$45,A21,'架電リスト'!$J$5:$J$45,"")</f>
        <v/>
      </c>
      <c r="E21" s="14">
        <f>COUNTIFS('架電リスト'!$C$5:$C$45,$A21,'架電リスト'!$J$5:$J$45,"不在・折返し待ち")</f>
        <v/>
      </c>
      <c r="F21" s="14">
        <f>COUNTIFS('架電リスト'!$C$5:$C$45,$A21,'架電リスト'!$J$5:$J$45,"担当者不在")</f>
        <v/>
      </c>
      <c r="G21" s="14">
        <f>COUNTIFS('架電リスト'!$C$5:$C$45,$A21,'架電リスト'!$J$5:$J$45,"資料送付")</f>
        <v/>
      </c>
      <c r="H21" s="14">
        <f>COUNTIFS('架電リスト'!$C$5:$C$45,$A21,'架電リスト'!$J$5:$J$45,"アポ獲得")</f>
        <v/>
      </c>
      <c r="I21" s="14">
        <f>COUNTIFS('架電リスト'!$C$5:$C$45,$A21,'架電リスト'!$J$5:$J$45,"検討中")</f>
        <v/>
      </c>
      <c r="J21" s="14">
        <f>COUNTIFS('架電リスト'!$C$5:$C$45,$A21,'架電リスト'!$J$5:$J$45,"NG")</f>
        <v/>
      </c>
      <c r="K21" s="14">
        <f>COUNTIFS('架電リスト'!$C$5:$C$45,$A21,'架電リスト'!$J$5:$J$45,"番号不明")</f>
        <v/>
      </c>
    </row>
    <row r="22">
      <c r="A22" s="14" t="inlineStr">
        <is>
          <t>京都市南区</t>
        </is>
      </c>
      <c r="B22" s="14">
        <f>COUNTIF('架電リスト'!$C$5:$C$45,A22)</f>
        <v/>
      </c>
      <c r="C22" s="14">
        <f>COUNTIFS('架電リスト'!$C$5:$C$45,A22,'架電リスト'!$E$5:$E$45,"&lt;&gt;")</f>
        <v/>
      </c>
      <c r="D22" s="14">
        <f>B22-COUNTIFS('架電リスト'!$C$5:$C$45,A22,'架電リスト'!$J$5:$J$45,"未架電")-COUNTIFS('架電リスト'!$C$5:$C$45,A22,'架電リスト'!$J$5:$J$45,"")</f>
        <v/>
      </c>
      <c r="E22" s="14">
        <f>COUNTIFS('架電リスト'!$C$5:$C$45,$A22,'架電リスト'!$J$5:$J$45,"不在・折返し待ち")</f>
        <v/>
      </c>
      <c r="F22" s="14">
        <f>COUNTIFS('架電リスト'!$C$5:$C$45,$A22,'架電リスト'!$J$5:$J$45,"担当者不在")</f>
        <v/>
      </c>
      <c r="G22" s="14">
        <f>COUNTIFS('架電リスト'!$C$5:$C$45,$A22,'架電リスト'!$J$5:$J$45,"資料送付")</f>
        <v/>
      </c>
      <c r="H22" s="14">
        <f>COUNTIFS('架電リスト'!$C$5:$C$45,$A22,'架電リスト'!$J$5:$J$45,"アポ獲得")</f>
        <v/>
      </c>
      <c r="I22" s="14">
        <f>COUNTIFS('架電リスト'!$C$5:$C$45,$A22,'架電リスト'!$J$5:$J$45,"検討中")</f>
        <v/>
      </c>
      <c r="J22" s="14">
        <f>COUNTIFS('架電リスト'!$C$5:$C$45,$A22,'架電リスト'!$J$5:$J$45,"NG")</f>
        <v/>
      </c>
      <c r="K22" s="14">
        <f>COUNTIFS('架電リスト'!$C$5:$C$45,$A22,'架電リスト'!$J$5:$J$45,"番号不明")</f>
        <v/>
      </c>
    </row>
    <row r="23">
      <c r="A23" s="14" t="inlineStr">
        <is>
          <t>長岡京市</t>
        </is>
      </c>
      <c r="B23" s="14">
        <f>COUNTIF('架電リスト'!$C$5:$C$45,A23)</f>
        <v/>
      </c>
      <c r="C23" s="14">
        <f>COUNTIFS('架電リスト'!$C$5:$C$45,A23,'架電リスト'!$E$5:$E$45,"&lt;&gt;")</f>
        <v/>
      </c>
      <c r="D23" s="14">
        <f>B23-COUNTIFS('架電リスト'!$C$5:$C$45,A23,'架電リスト'!$J$5:$J$45,"未架電")-COUNTIFS('架電リスト'!$C$5:$C$45,A23,'架電リスト'!$J$5:$J$45,"")</f>
        <v/>
      </c>
      <c r="E23" s="14">
        <f>COUNTIFS('架電リスト'!$C$5:$C$45,$A23,'架電リスト'!$J$5:$J$45,"不在・折返し待ち")</f>
        <v/>
      </c>
      <c r="F23" s="14">
        <f>COUNTIFS('架電リスト'!$C$5:$C$45,$A23,'架電リスト'!$J$5:$J$45,"担当者不在")</f>
        <v/>
      </c>
      <c r="G23" s="14">
        <f>COUNTIFS('架電リスト'!$C$5:$C$45,$A23,'架電リスト'!$J$5:$J$45,"資料送付")</f>
        <v/>
      </c>
      <c r="H23" s="14">
        <f>COUNTIFS('架電リスト'!$C$5:$C$45,$A23,'架電リスト'!$J$5:$J$45,"アポ獲得")</f>
        <v/>
      </c>
      <c r="I23" s="14">
        <f>COUNTIFS('架電リスト'!$C$5:$C$45,$A23,'架電リスト'!$J$5:$J$45,"検討中")</f>
        <v/>
      </c>
      <c r="J23" s="14">
        <f>COUNTIFS('架電リスト'!$C$5:$C$45,$A23,'架電リスト'!$J$5:$J$45,"NG")</f>
        <v/>
      </c>
      <c r="K23" s="14">
        <f>COUNTIFS('架電リスト'!$C$5:$C$45,$A23,'架電リスト'!$J$5:$J$45,"番号不明")</f>
        <v/>
      </c>
    </row>
    <row r="24">
      <c r="A24" s="15" t="inlineStr">
        <is>
          <t>合計</t>
        </is>
      </c>
      <c r="B24" s="15">
        <f>SUM(B4:B23)</f>
        <v/>
      </c>
      <c r="C24" s="15">
        <f>SUM(C4:C23)</f>
        <v/>
      </c>
      <c r="D24" s="15">
        <f>SUM(D4:D23)</f>
        <v/>
      </c>
      <c r="E24" s="15">
        <f>SUM(E4:E23)</f>
        <v/>
      </c>
      <c r="F24" s="15">
        <f>SUM(F4:F23)</f>
        <v/>
      </c>
      <c r="G24" s="15">
        <f>SUM(G4:G23)</f>
        <v/>
      </c>
      <c r="H24" s="15">
        <f>SUM(H4:H23)</f>
        <v/>
      </c>
      <c r="I24" s="15">
        <f>SUM(I4:I23)</f>
        <v/>
      </c>
      <c r="J24" s="15">
        <f>SUM(J4:J23)</f>
        <v/>
      </c>
      <c r="K24" s="15">
        <f>SUM(K4:K23)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・出典：ご提供いただいた学校ネットの検索結果（私立高校・京都府、41校）の貼り付けデータ。並び順は都道府県ごとに元データの掲載順です。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2026-10-14T01:03:39Z</dcterms:created>
  <dcterms:modified xsi:type="dcterms:W3CDTF">2026-10-14T01:03:39Z</dcterms:modified>
</cp:coreProperties>
</file>