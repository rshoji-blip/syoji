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'架電リスト'!$A$4:$O$27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4853.html" TargetMode="External" Id="rId1" /><Relationship Type="http://schemas.openxmlformats.org/officeDocument/2006/relationships/hyperlink" Target="https://www.gakkou.net/kou/view/index_304927.html" TargetMode="External" Id="rId2" /><Relationship Type="http://schemas.openxmlformats.org/officeDocument/2006/relationships/hyperlink" Target="https://www.gakkou.net/kou/view/index_304868.html" TargetMode="External" Id="rId3" /><Relationship Type="http://schemas.openxmlformats.org/officeDocument/2006/relationships/hyperlink" Target="https://www.gakkou.net/kou/view/index_304865.html" TargetMode="External" Id="rId4" /><Relationship Type="http://schemas.openxmlformats.org/officeDocument/2006/relationships/hyperlink" Target="https://www.gakkou.net/kou/view/index_304838.html" TargetMode="External" Id="rId5" /><Relationship Type="http://schemas.openxmlformats.org/officeDocument/2006/relationships/hyperlink" Target="https://www.gakkou.net/kou/view/index_304930.html" TargetMode="External" Id="rId6" /><Relationship Type="http://schemas.openxmlformats.org/officeDocument/2006/relationships/hyperlink" Target="https://www.gakkou.net/kou/view/index_304831.html" TargetMode="External" Id="rId7" /><Relationship Type="http://schemas.openxmlformats.org/officeDocument/2006/relationships/hyperlink" Target="https://www.gakkou.net/kou/view/index_304871.html" TargetMode="External" Id="rId8" /><Relationship Type="http://schemas.openxmlformats.org/officeDocument/2006/relationships/hyperlink" Target="https://www.gakkou.net/kou/view/index_304823.html" TargetMode="External" Id="rId9" /><Relationship Type="http://schemas.openxmlformats.org/officeDocument/2006/relationships/hyperlink" Target="https://www.gakkou.net/kou/view/index_304909.html" TargetMode="External" Id="rId10" /><Relationship Type="http://schemas.openxmlformats.org/officeDocument/2006/relationships/hyperlink" Target="https://www.gakkou.net/kou/view/index_304880.html" TargetMode="External" Id="rId11" /><Relationship Type="http://schemas.openxmlformats.org/officeDocument/2006/relationships/hyperlink" Target="https://www.gakkou.net/kou/view/index_304829.html" TargetMode="External" Id="rId12" /><Relationship Type="http://schemas.openxmlformats.org/officeDocument/2006/relationships/hyperlink" Target="https://www.gakkou.net/kou/view/index_304875.html" TargetMode="External" Id="rId13" /><Relationship Type="http://schemas.openxmlformats.org/officeDocument/2006/relationships/hyperlink" Target="https://www.gakkou.net/kou/view/index_304883.html" TargetMode="External" Id="rId14" /><Relationship Type="http://schemas.openxmlformats.org/officeDocument/2006/relationships/hyperlink" Target="https://www.gakkou.net/kou/view/index_304881.html" TargetMode="External" Id="rId15" /><Relationship Type="http://schemas.openxmlformats.org/officeDocument/2006/relationships/hyperlink" Target="https://www.gakkou.net/kou/view/index_304912.html" TargetMode="External" Id="rId16" /><Relationship Type="http://schemas.openxmlformats.org/officeDocument/2006/relationships/hyperlink" Target="https://www.gakkou.net/kou/view/index_304928.html" TargetMode="External" Id="rId17" /><Relationship Type="http://schemas.openxmlformats.org/officeDocument/2006/relationships/hyperlink" Target="https://www.gakkou.net/kou/view/index_304849.html" TargetMode="External" Id="rId18" /><Relationship Type="http://schemas.openxmlformats.org/officeDocument/2006/relationships/hyperlink" Target="https://www.gakkou.net/kou/view/index_304832.html" TargetMode="External" Id="rId19" /><Relationship Type="http://schemas.openxmlformats.org/officeDocument/2006/relationships/hyperlink" Target="https://www.gakkou.net/kou/view/index_304837.html" TargetMode="External" Id="rId20" /><Relationship Type="http://schemas.openxmlformats.org/officeDocument/2006/relationships/hyperlink" Target="https://www.gakkou.net/kou/view/index_304827.html" TargetMode="External" Id="rId21" /><Relationship Type="http://schemas.openxmlformats.org/officeDocument/2006/relationships/hyperlink" Target="https://www.gakkou.net/kou/view/index_304917.html" TargetMode="External" Id="rId22" /><Relationship Type="http://schemas.openxmlformats.org/officeDocument/2006/relationships/hyperlink" Target="https://www.gakkou.net/kou/view/index_304830.html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架電リスト（岡山県／23校）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岡山県</t>
        </is>
      </c>
      <c r="C5" s="5" t="inlineStr">
        <is>
          <t>岡山市東区</t>
        </is>
      </c>
      <c r="D5" s="5" t="inlineStr">
        <is>
          <t>岡山学芸館高等学校</t>
        </is>
      </c>
      <c r="E5" s="6" t="inlineStr">
        <is>
          <t>086-942-3864</t>
        </is>
      </c>
      <c r="F5" s="7" t="inlineStr">
        <is>
          <t>高</t>
        </is>
      </c>
      <c r="G5" s="5" t="inlineStr">
        <is>
          <t>普通科・専門学科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通信制課程も同じ番号</t>
        </is>
      </c>
      <c r="N5" s="11" t="inlineStr">
        <is>
          <t>https://www.gakugeikan.ed.jp/contact/index.html</t>
        </is>
      </c>
      <c r="O5" s="12" t="inlineStr">
        <is>
          <t>開く</t>
        </is>
      </c>
    </row>
    <row r="6">
      <c r="A6" s="4" t="n">
        <v>2</v>
      </c>
      <c r="B6" s="5" t="inlineStr">
        <is>
          <t>岡山県</t>
        </is>
      </c>
      <c r="C6" s="5" t="inlineStr">
        <is>
          <t>新見市</t>
        </is>
      </c>
      <c r="D6" s="5" t="inlineStr">
        <is>
          <t>岡山県共生高等学校</t>
        </is>
      </c>
      <c r="E6" s="6" t="inlineStr">
        <is>
          <t>0867-72-0526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0867-72-8032はFAX</t>
        </is>
      </c>
      <c r="N6" s="11" t="inlineStr">
        <is>
          <t>https://www.kyousei.ed.jp/</t>
        </is>
      </c>
      <c r="O6" s="12" t="inlineStr">
        <is>
          <t>開く</t>
        </is>
      </c>
    </row>
    <row r="7">
      <c r="A7" s="4" t="n">
        <v>3</v>
      </c>
      <c r="B7" s="5" t="inlineStr">
        <is>
          <t>岡山県</t>
        </is>
      </c>
      <c r="C7" s="5" t="inlineStr">
        <is>
          <t>倉敷市</t>
        </is>
      </c>
      <c r="D7" s="5" t="inlineStr">
        <is>
          <t>岡山県作陽高等学校</t>
        </is>
      </c>
      <c r="E7" s="6" t="inlineStr">
        <is>
          <t>086-441-1281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2023年4月に倉敷市玉島へ移転し「作陽学園高等学校」に校名変更。津山の旧番号0868-23-2188は使用不可の可能性</t>
        </is>
      </c>
      <c r="N7" s="11" t="inlineStr">
        <is>
          <t>https://www.sakuyo-h.ed.jp/access/</t>
        </is>
      </c>
      <c r="O7" s="12" t="inlineStr">
        <is>
          <t>開く</t>
        </is>
      </c>
    </row>
    <row r="8">
      <c r="A8" s="4" t="n">
        <v>4</v>
      </c>
      <c r="B8" s="5" t="inlineStr">
        <is>
          <t>岡山県</t>
        </is>
      </c>
      <c r="C8" s="5" t="inlineStr">
        <is>
          <t>津山市</t>
        </is>
      </c>
      <c r="D8" s="5" t="inlineStr">
        <is>
          <t>岡山県美作高等学校</t>
        </is>
      </c>
      <c r="E8" s="6" t="inlineStr">
        <is>
          <t>0868-22-4838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全日制の番号。通信制課程は0868-23-3116</t>
        </is>
      </c>
      <c r="N8" s="11" t="inlineStr">
        <is>
          <t>https://mimasaka.jp/gakuen/houjin.html</t>
        </is>
      </c>
      <c r="O8" s="12" t="inlineStr">
        <is>
          <t>開く</t>
        </is>
      </c>
    </row>
    <row r="9">
      <c r="A9" s="4" t="n">
        <v>5</v>
      </c>
      <c r="B9" s="5" t="inlineStr">
        <is>
          <t>岡山県</t>
        </is>
      </c>
      <c r="C9" s="5" t="inlineStr">
        <is>
          <t>岡山市南区</t>
        </is>
      </c>
      <c r="D9" s="5" t="inlineStr">
        <is>
          <t>岡山高等学校</t>
        </is>
      </c>
      <c r="E9" s="6" t="inlineStr">
        <is>
          <t>086-282-6336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中高一貫</t>
        </is>
      </c>
      <c r="N9" s="11" t="inlineStr">
        <is>
          <t>https://www.okayama-h.ed.jp/access/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岡山県</t>
        </is>
      </c>
      <c r="C10" s="5" t="inlineStr">
        <is>
          <t>浅口市</t>
        </is>
      </c>
      <c r="D10" s="5" t="inlineStr">
        <is>
          <t>おかやま山陽高等学校</t>
        </is>
      </c>
      <c r="E10" s="6" t="inlineStr">
        <is>
          <t>0865-44-3100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教員室直通は0865-44-7149</t>
        </is>
      </c>
      <c r="N10" s="11" t="inlineStr">
        <is>
          <t>https://www.okayama-sanyo-hs.ed.jp/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岡山県</t>
        </is>
      </c>
      <c r="C11" s="5" t="inlineStr">
        <is>
          <t>岡山市北区</t>
        </is>
      </c>
      <c r="D11" s="5" t="inlineStr">
        <is>
          <t>岡山商科大学附属高等学校</t>
        </is>
      </c>
      <c r="E11" s="6" t="inlineStr">
        <is>
          <t>086-252-3407</t>
        </is>
      </c>
      <c r="F11" s="7" t="inlineStr">
        <is>
          <t>高</t>
        </is>
      </c>
      <c r="G11" s="5" t="inlineStr">
        <is>
          <t>専門学科・総合学科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n"/>
      <c r="N11" s="11" t="inlineStr">
        <is>
          <t>https://www.osu-h.ed.jp/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岡山県</t>
        </is>
      </c>
      <c r="C12" s="5" t="inlineStr">
        <is>
          <t>赤磐市</t>
        </is>
      </c>
      <c r="D12" s="5" t="inlineStr">
        <is>
          <t>岡山白陵高等学校</t>
        </is>
      </c>
      <c r="E12" s="6" t="inlineStr">
        <is>
          <t>086-995-1255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中学校併設</t>
        </is>
      </c>
      <c r="N12" s="11" t="inlineStr">
        <is>
          <t>https://www.okahaku.ed.jp/access_inquiry/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岡山県</t>
        </is>
      </c>
      <c r="C13" s="5" t="inlineStr">
        <is>
          <t>岡山市北区</t>
        </is>
      </c>
      <c r="D13" s="5" t="inlineStr">
        <is>
          <t>岡山理科大学附属高等学校</t>
        </is>
      </c>
      <c r="E13" s="6" t="inlineStr">
        <is>
          <t>086-256-8511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通信制課程直通は086-256-8562</t>
        </is>
      </c>
      <c r="N13" s="11" t="inlineStr">
        <is>
          <t>https://okayama.ridaifu.net/contact/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岡山県</t>
        </is>
      </c>
      <c r="C14" s="5" t="inlineStr">
        <is>
          <t>笠岡市</t>
        </is>
      </c>
      <c r="D14" s="5" t="inlineStr">
        <is>
          <t>岡山龍谷高等学校</t>
        </is>
      </c>
      <c r="E14" s="6" t="inlineStr">
        <is>
          <t>0865-63-2525</t>
        </is>
      </c>
      <c r="F14" s="7" t="inlineStr">
        <is>
          <t>高</t>
        </is>
      </c>
      <c r="G14" s="5" t="inlineStr">
        <is>
          <t>普通科・専門学科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職員室は0865-63-2526</t>
        </is>
      </c>
      <c r="N14" s="11" t="inlineStr">
        <is>
          <t>https://www.ok-ryukoku.ed.jp/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岡山県</t>
        </is>
      </c>
      <c r="C15" s="5" t="inlineStr">
        <is>
          <t>倉敷市</t>
        </is>
      </c>
      <c r="D15" s="5" t="inlineStr">
        <is>
          <t>川崎医科大学附属高等学校</t>
        </is>
      </c>
      <c r="E15" s="6" t="inlineStr">
        <is>
          <t>086-462-3666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n"/>
      <c r="N15" s="11" t="inlineStr">
        <is>
          <t>https://s.kawasaki-m.ac.jp/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岡山県</t>
        </is>
      </c>
      <c r="C16" s="5" t="inlineStr">
        <is>
          <t>岡山市北区</t>
        </is>
      </c>
      <c r="D16" s="5" t="inlineStr">
        <is>
          <t>関西高等学校</t>
        </is>
      </c>
      <c r="E16" s="6" t="inlineStr">
        <is>
          <t>086-252-5121</t>
        </is>
      </c>
      <c r="F16" s="7" t="inlineStr">
        <is>
          <t>高</t>
        </is>
      </c>
      <c r="G16" s="5" t="inlineStr">
        <is>
          <t>普通科・専門学科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n"/>
      <c r="N16" s="11" t="inlineStr">
        <is>
          <t>https://kanzei.ac.jp/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岡山県</t>
        </is>
      </c>
      <c r="C17" s="5" t="inlineStr">
        <is>
          <t>吉備中央町</t>
        </is>
      </c>
      <c r="D17" s="5" t="inlineStr">
        <is>
          <t>吉備高原学園高等学校</t>
        </is>
      </c>
      <c r="E17" s="6" t="inlineStr">
        <is>
          <t>0866-56-8211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全寮制</t>
        </is>
      </c>
      <c r="N17" s="11" t="inlineStr">
        <is>
          <t>https://www.kibikogengakuen.ed.jp/inquiry/form/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岡山県</t>
        </is>
      </c>
      <c r="C18" s="5" t="inlineStr">
        <is>
          <t>倉敷市</t>
        </is>
      </c>
      <c r="D18" s="5" t="inlineStr">
        <is>
          <t>倉敷高等学校</t>
        </is>
      </c>
      <c r="E18" s="6" t="inlineStr">
        <is>
          <t>086-462-9000</t>
        </is>
      </c>
      <c r="F18" s="7" t="inlineStr">
        <is>
          <t>高</t>
        </is>
      </c>
      <c r="G18" s="5" t="inlineStr">
        <is>
          <t>普通科・専門学科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岡山県私学協会の一覧とも一致</t>
        </is>
      </c>
      <c r="N18" s="11" t="inlineStr">
        <is>
          <t>https://www.kurashiki.ac.jp/news/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岡山県</t>
        </is>
      </c>
      <c r="C19" s="5" t="inlineStr">
        <is>
          <t>倉敷市</t>
        </is>
      </c>
      <c r="D19" s="5" t="inlineStr">
        <is>
          <t>倉敷翠松高等学校</t>
        </is>
      </c>
      <c r="E19" s="6" t="inlineStr">
        <is>
          <t>086-422-3565</t>
        </is>
      </c>
      <c r="F19" s="7" t="inlineStr">
        <is>
          <t>高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教務室086-422-3570、専攻科086-427-0941</t>
        </is>
      </c>
      <c r="N19" s="11" t="inlineStr">
        <is>
          <t>https://www.suisho.ed.jp/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岡山県</t>
        </is>
      </c>
      <c r="C20" s="5" t="inlineStr">
        <is>
          <t>井原市</t>
        </is>
      </c>
      <c r="D20" s="5" t="inlineStr">
        <is>
          <t>興譲館高等学校</t>
        </is>
      </c>
      <c r="E20" s="6" t="inlineStr">
        <is>
          <t>0866-62-0124</t>
        </is>
      </c>
      <c r="F20" s="7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井原市の本校。通信制課程は0120-445033</t>
        </is>
      </c>
      <c r="N20" s="11" t="inlineStr">
        <is>
          <t>https://kojokan-h.ed.jp/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岡山県</t>
        </is>
      </c>
      <c r="C21" s="5" t="inlineStr">
        <is>
          <t>浅口市</t>
        </is>
      </c>
      <c r="D21" s="5" t="inlineStr">
        <is>
          <t>金光学園高等学校</t>
        </is>
      </c>
      <c r="E21" s="6" t="inlineStr">
        <is>
          <t>0865-42-3131</t>
        </is>
      </c>
      <c r="F21" s="7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中高共通番号</t>
        </is>
      </c>
      <c r="N21" s="11" t="inlineStr">
        <is>
          <t>https://www.konkougakuen.net/high/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岡山県</t>
        </is>
      </c>
      <c r="C22" s="5" t="inlineStr">
        <is>
          <t>岡山市中区</t>
        </is>
      </c>
      <c r="D22" s="5" t="inlineStr">
        <is>
          <t>山陽学園高等学校</t>
        </is>
      </c>
      <c r="E22" s="6" t="inlineStr">
        <is>
          <t>086-272-1181</t>
        </is>
      </c>
      <c r="F22" s="7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中高共通番号</t>
        </is>
      </c>
      <c r="N22" s="11" t="inlineStr">
        <is>
          <t>https://www.sanyogakuen.ed.jp/school/access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岡山県</t>
        </is>
      </c>
      <c r="C23" s="5" t="inlineStr">
        <is>
          <t>岡山市北区</t>
        </is>
      </c>
      <c r="D23" s="5" t="inlineStr">
        <is>
          <t>就実高等学校</t>
        </is>
      </c>
      <c r="E23" s="6" t="inlineStr">
        <is>
          <t>086-225-1326</t>
        </is>
      </c>
      <c r="F23" s="7" t="inlineStr">
        <is>
          <t>高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n"/>
      <c r="N23" s="11" t="inlineStr">
        <is>
          <t>https://www.shujitsu-gakuen.jp/contact/index.html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岡山県</t>
        </is>
      </c>
      <c r="C24" s="5" t="inlineStr">
        <is>
          <t>倉敷市</t>
        </is>
      </c>
      <c r="D24" s="5" t="inlineStr">
        <is>
          <t>清心女子高等学校（岡山県）</t>
        </is>
      </c>
      <c r="E24" s="6" t="inlineStr">
        <is>
          <t>086-462-1661</t>
        </is>
      </c>
      <c r="F24" s="7" t="inlineStr">
        <is>
          <t>高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ノートルダム清心学園（倉敷市）。中学校併設</t>
        </is>
      </c>
      <c r="N24" s="11" t="inlineStr">
        <is>
          <t>https://www.nd-seishin.ac.jp/school/access/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岡山県</t>
        </is>
      </c>
      <c r="C25" s="5" t="inlineStr">
        <is>
          <t>岡山市北区</t>
        </is>
      </c>
      <c r="D25" s="5" t="inlineStr">
        <is>
          <t>創志学園高等学校</t>
        </is>
      </c>
      <c r="E25" s="6" t="inlineStr">
        <is>
          <t>086-252-2101</t>
        </is>
      </c>
      <c r="F25" s="7" t="inlineStr">
        <is>
          <t>高</t>
        </is>
      </c>
      <c r="G25" s="5" t="inlineStr">
        <is>
          <t>普通科・専門学科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入試広報室は0120-151752</t>
        </is>
      </c>
      <c r="N25" s="11" t="inlineStr">
        <is>
          <t>https://www.soshigakuen.ed.jp/access/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岡山県</t>
        </is>
      </c>
      <c r="C26" s="5" t="inlineStr">
        <is>
          <t>高梁市</t>
        </is>
      </c>
      <c r="D26" s="5" t="inlineStr">
        <is>
          <t>方谷學舎高等学校</t>
        </is>
      </c>
      <c r="E26" s="6" t="inlineStr">
        <is>
          <t>0866-22-2205</t>
        </is>
      </c>
      <c r="F26" s="7" t="inlineStr">
        <is>
          <t>高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2023年6月に「岡山県高梁日新高等学校」から校名変更。事務室番号（教務室は0866-56-0015）</t>
        </is>
      </c>
      <c r="N26" s="11" t="inlineStr">
        <is>
          <t>https://www.houkoku-gakusha.ed.jp/introduction/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岡山県</t>
        </is>
      </c>
      <c r="C27" s="5" t="inlineStr">
        <is>
          <t>岡山市北区</t>
        </is>
      </c>
      <c r="D27" s="5" t="inlineStr">
        <is>
          <t>明誠学院高等学校</t>
        </is>
      </c>
      <c r="E27" s="6" t="inlineStr">
        <is>
          <t>086-252-5247</t>
        </is>
      </c>
      <c r="F27" s="7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n"/>
      <c r="N27" s="11" t="inlineStr">
        <is>
          <t>https://www.meiseigakuin.ac.jp/</t>
        </is>
      </c>
      <c r="O27" s="12" t="inlineStr">
        <is>
          <t>開く</t>
        </is>
      </c>
    </row>
  </sheetData>
  <autoFilter ref="A4:O27"/>
  <conditionalFormatting sqref="A5:O27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7" showDropDown="0" showInputMessage="0" showErrorMessage="0" allowBlank="1" type="list">
      <formula1>"未架電,不在・折返し待ち,担当者不在,資料送付,アポ獲得,検討中,NG,番号不明"</formula1>
    </dataValidation>
    <dataValidation sqref="H5:H27 K5:K27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3" t="inlineStr">
        <is>
          <t>岡山市北区</t>
        </is>
      </c>
      <c r="B4" s="13">
        <f>COUNTIF('架電リスト'!$C$5:$C$27,A4)</f>
        <v/>
      </c>
      <c r="C4" s="13">
        <f>COUNTIFS('架電リスト'!$C$5:$C$27,A4,'架電リスト'!$E$5:$E$27,"&lt;&gt;")</f>
        <v/>
      </c>
      <c r="D4" s="13">
        <f>B4-COUNTIFS('架電リスト'!$C$5:$C$27,A4,'架電リスト'!$J$5:$J$27,"未架電")-COUNTIFS('架電リスト'!$C$5:$C$27,A4,'架電リスト'!$J$5:$J$27,"")</f>
        <v/>
      </c>
      <c r="E4" s="13">
        <f>COUNTIFS('架電リスト'!$C$5:$C$27,$A4,'架電リスト'!$J$5:$J$27,"不在・折返し待ち")</f>
        <v/>
      </c>
      <c r="F4" s="13">
        <f>COUNTIFS('架電リスト'!$C$5:$C$27,$A4,'架電リスト'!$J$5:$J$27,"担当者不在")</f>
        <v/>
      </c>
      <c r="G4" s="13">
        <f>COUNTIFS('架電リスト'!$C$5:$C$27,$A4,'架電リスト'!$J$5:$J$27,"資料送付")</f>
        <v/>
      </c>
      <c r="H4" s="13">
        <f>COUNTIFS('架電リスト'!$C$5:$C$27,$A4,'架電リスト'!$J$5:$J$27,"アポ獲得")</f>
        <v/>
      </c>
      <c r="I4" s="13">
        <f>COUNTIFS('架電リスト'!$C$5:$C$27,$A4,'架電リスト'!$J$5:$J$27,"検討中")</f>
        <v/>
      </c>
      <c r="J4" s="13">
        <f>COUNTIFS('架電リスト'!$C$5:$C$27,$A4,'架電リスト'!$J$5:$J$27,"NG")</f>
        <v/>
      </c>
      <c r="K4" s="13">
        <f>COUNTIFS('架電リスト'!$C$5:$C$27,$A4,'架電リスト'!$J$5:$J$27,"番号不明")</f>
        <v/>
      </c>
    </row>
    <row r="5">
      <c r="A5" s="13" t="inlineStr">
        <is>
          <t>倉敷市</t>
        </is>
      </c>
      <c r="B5" s="13">
        <f>COUNTIF('架電リスト'!$C$5:$C$27,A5)</f>
        <v/>
      </c>
      <c r="C5" s="13">
        <f>COUNTIFS('架電リスト'!$C$5:$C$27,A5,'架電リスト'!$E$5:$E$27,"&lt;&gt;")</f>
        <v/>
      </c>
      <c r="D5" s="13">
        <f>B5-COUNTIFS('架電リスト'!$C$5:$C$27,A5,'架電リスト'!$J$5:$J$27,"未架電")-COUNTIFS('架電リスト'!$C$5:$C$27,A5,'架電リスト'!$J$5:$J$27,"")</f>
        <v/>
      </c>
      <c r="E5" s="13">
        <f>COUNTIFS('架電リスト'!$C$5:$C$27,$A5,'架電リスト'!$J$5:$J$27,"不在・折返し待ち")</f>
        <v/>
      </c>
      <c r="F5" s="13">
        <f>COUNTIFS('架電リスト'!$C$5:$C$27,$A5,'架電リスト'!$J$5:$J$27,"担当者不在")</f>
        <v/>
      </c>
      <c r="G5" s="13">
        <f>COUNTIFS('架電リスト'!$C$5:$C$27,$A5,'架電リスト'!$J$5:$J$27,"資料送付")</f>
        <v/>
      </c>
      <c r="H5" s="13">
        <f>COUNTIFS('架電リスト'!$C$5:$C$27,$A5,'架電リスト'!$J$5:$J$27,"アポ獲得")</f>
        <v/>
      </c>
      <c r="I5" s="13">
        <f>COUNTIFS('架電リスト'!$C$5:$C$27,$A5,'架電リスト'!$J$5:$J$27,"検討中")</f>
        <v/>
      </c>
      <c r="J5" s="13">
        <f>COUNTIFS('架電リスト'!$C$5:$C$27,$A5,'架電リスト'!$J$5:$J$27,"NG")</f>
        <v/>
      </c>
      <c r="K5" s="13">
        <f>COUNTIFS('架電リスト'!$C$5:$C$27,$A5,'架電リスト'!$J$5:$J$27,"番号不明")</f>
        <v/>
      </c>
    </row>
    <row r="6">
      <c r="A6" s="13" t="inlineStr">
        <is>
          <t>浅口市</t>
        </is>
      </c>
      <c r="B6" s="13">
        <f>COUNTIF('架電リスト'!$C$5:$C$27,A6)</f>
        <v/>
      </c>
      <c r="C6" s="13">
        <f>COUNTIFS('架電リスト'!$C$5:$C$27,A6,'架電リスト'!$E$5:$E$27,"&lt;&gt;")</f>
        <v/>
      </c>
      <c r="D6" s="13">
        <f>B6-COUNTIFS('架電リスト'!$C$5:$C$27,A6,'架電リスト'!$J$5:$J$27,"未架電")-COUNTIFS('架電リスト'!$C$5:$C$27,A6,'架電リスト'!$J$5:$J$27,"")</f>
        <v/>
      </c>
      <c r="E6" s="13">
        <f>COUNTIFS('架電リスト'!$C$5:$C$27,$A6,'架電リスト'!$J$5:$J$27,"不在・折返し待ち")</f>
        <v/>
      </c>
      <c r="F6" s="13">
        <f>COUNTIFS('架電リスト'!$C$5:$C$27,$A6,'架電リスト'!$J$5:$J$27,"担当者不在")</f>
        <v/>
      </c>
      <c r="G6" s="13">
        <f>COUNTIFS('架電リスト'!$C$5:$C$27,$A6,'架電リスト'!$J$5:$J$27,"資料送付")</f>
        <v/>
      </c>
      <c r="H6" s="13">
        <f>COUNTIFS('架電リスト'!$C$5:$C$27,$A6,'架電リスト'!$J$5:$J$27,"アポ獲得")</f>
        <v/>
      </c>
      <c r="I6" s="13">
        <f>COUNTIFS('架電リスト'!$C$5:$C$27,$A6,'架電リスト'!$J$5:$J$27,"検討中")</f>
        <v/>
      </c>
      <c r="J6" s="13">
        <f>COUNTIFS('架電リスト'!$C$5:$C$27,$A6,'架電リスト'!$J$5:$J$27,"NG")</f>
        <v/>
      </c>
      <c r="K6" s="13">
        <f>COUNTIFS('架電リスト'!$C$5:$C$27,$A6,'架電リスト'!$J$5:$J$27,"番号不明")</f>
        <v/>
      </c>
    </row>
    <row r="7">
      <c r="A7" s="13" t="inlineStr">
        <is>
          <t>岡山市東区</t>
        </is>
      </c>
      <c r="B7" s="13">
        <f>COUNTIF('架電リスト'!$C$5:$C$27,A7)</f>
        <v/>
      </c>
      <c r="C7" s="13">
        <f>COUNTIFS('架電リスト'!$C$5:$C$27,A7,'架電リスト'!$E$5:$E$27,"&lt;&gt;")</f>
        <v/>
      </c>
      <c r="D7" s="13">
        <f>B7-COUNTIFS('架電リスト'!$C$5:$C$27,A7,'架電リスト'!$J$5:$J$27,"未架電")-COUNTIFS('架電リスト'!$C$5:$C$27,A7,'架電リスト'!$J$5:$J$27,"")</f>
        <v/>
      </c>
      <c r="E7" s="13">
        <f>COUNTIFS('架電リスト'!$C$5:$C$27,$A7,'架電リスト'!$J$5:$J$27,"不在・折返し待ち")</f>
        <v/>
      </c>
      <c r="F7" s="13">
        <f>COUNTIFS('架電リスト'!$C$5:$C$27,$A7,'架電リスト'!$J$5:$J$27,"担当者不在")</f>
        <v/>
      </c>
      <c r="G7" s="13">
        <f>COUNTIFS('架電リスト'!$C$5:$C$27,$A7,'架電リスト'!$J$5:$J$27,"資料送付")</f>
        <v/>
      </c>
      <c r="H7" s="13">
        <f>COUNTIFS('架電リスト'!$C$5:$C$27,$A7,'架電リスト'!$J$5:$J$27,"アポ獲得")</f>
        <v/>
      </c>
      <c r="I7" s="13">
        <f>COUNTIFS('架電リスト'!$C$5:$C$27,$A7,'架電リスト'!$J$5:$J$27,"検討中")</f>
        <v/>
      </c>
      <c r="J7" s="13">
        <f>COUNTIFS('架電リスト'!$C$5:$C$27,$A7,'架電リスト'!$J$5:$J$27,"NG")</f>
        <v/>
      </c>
      <c r="K7" s="13">
        <f>COUNTIFS('架電リスト'!$C$5:$C$27,$A7,'架電リスト'!$J$5:$J$27,"番号不明")</f>
        <v/>
      </c>
    </row>
    <row r="8">
      <c r="A8" s="13" t="inlineStr">
        <is>
          <t>新見市</t>
        </is>
      </c>
      <c r="B8" s="13">
        <f>COUNTIF('架電リスト'!$C$5:$C$27,A8)</f>
        <v/>
      </c>
      <c r="C8" s="13">
        <f>COUNTIFS('架電リスト'!$C$5:$C$27,A8,'架電リスト'!$E$5:$E$27,"&lt;&gt;")</f>
        <v/>
      </c>
      <c r="D8" s="13">
        <f>B8-COUNTIFS('架電リスト'!$C$5:$C$27,A8,'架電リスト'!$J$5:$J$27,"未架電")-COUNTIFS('架電リスト'!$C$5:$C$27,A8,'架電リスト'!$J$5:$J$27,"")</f>
        <v/>
      </c>
      <c r="E8" s="13">
        <f>COUNTIFS('架電リスト'!$C$5:$C$27,$A8,'架電リスト'!$J$5:$J$27,"不在・折返し待ち")</f>
        <v/>
      </c>
      <c r="F8" s="13">
        <f>COUNTIFS('架電リスト'!$C$5:$C$27,$A8,'架電リスト'!$J$5:$J$27,"担当者不在")</f>
        <v/>
      </c>
      <c r="G8" s="13">
        <f>COUNTIFS('架電リスト'!$C$5:$C$27,$A8,'架電リスト'!$J$5:$J$27,"資料送付")</f>
        <v/>
      </c>
      <c r="H8" s="13">
        <f>COUNTIFS('架電リスト'!$C$5:$C$27,$A8,'架電リスト'!$J$5:$J$27,"アポ獲得")</f>
        <v/>
      </c>
      <c r="I8" s="13">
        <f>COUNTIFS('架電リスト'!$C$5:$C$27,$A8,'架電リスト'!$J$5:$J$27,"検討中")</f>
        <v/>
      </c>
      <c r="J8" s="13">
        <f>COUNTIFS('架電リスト'!$C$5:$C$27,$A8,'架電リスト'!$J$5:$J$27,"NG")</f>
        <v/>
      </c>
      <c r="K8" s="13">
        <f>COUNTIFS('架電リスト'!$C$5:$C$27,$A8,'架電リスト'!$J$5:$J$27,"番号不明")</f>
        <v/>
      </c>
    </row>
    <row r="9">
      <c r="A9" s="13" t="inlineStr">
        <is>
          <t>津山市</t>
        </is>
      </c>
      <c r="B9" s="13">
        <f>COUNTIF('架電リスト'!$C$5:$C$27,A9)</f>
        <v/>
      </c>
      <c r="C9" s="13">
        <f>COUNTIFS('架電リスト'!$C$5:$C$27,A9,'架電リスト'!$E$5:$E$27,"&lt;&gt;")</f>
        <v/>
      </c>
      <c r="D9" s="13">
        <f>B9-COUNTIFS('架電リスト'!$C$5:$C$27,A9,'架電リスト'!$J$5:$J$27,"未架電")-COUNTIFS('架電リスト'!$C$5:$C$27,A9,'架電リスト'!$J$5:$J$27,"")</f>
        <v/>
      </c>
      <c r="E9" s="13">
        <f>COUNTIFS('架電リスト'!$C$5:$C$27,$A9,'架電リスト'!$J$5:$J$27,"不在・折返し待ち")</f>
        <v/>
      </c>
      <c r="F9" s="13">
        <f>COUNTIFS('架電リスト'!$C$5:$C$27,$A9,'架電リスト'!$J$5:$J$27,"担当者不在")</f>
        <v/>
      </c>
      <c r="G9" s="13">
        <f>COUNTIFS('架電リスト'!$C$5:$C$27,$A9,'架電リスト'!$J$5:$J$27,"資料送付")</f>
        <v/>
      </c>
      <c r="H9" s="13">
        <f>COUNTIFS('架電リスト'!$C$5:$C$27,$A9,'架電リスト'!$J$5:$J$27,"アポ獲得")</f>
        <v/>
      </c>
      <c r="I9" s="13">
        <f>COUNTIFS('架電リスト'!$C$5:$C$27,$A9,'架電リスト'!$J$5:$J$27,"検討中")</f>
        <v/>
      </c>
      <c r="J9" s="13">
        <f>COUNTIFS('架電リスト'!$C$5:$C$27,$A9,'架電リスト'!$J$5:$J$27,"NG")</f>
        <v/>
      </c>
      <c r="K9" s="13">
        <f>COUNTIFS('架電リスト'!$C$5:$C$27,$A9,'架電リスト'!$J$5:$J$27,"番号不明")</f>
        <v/>
      </c>
    </row>
    <row r="10">
      <c r="A10" s="13" t="inlineStr">
        <is>
          <t>岡山市南区</t>
        </is>
      </c>
      <c r="B10" s="13">
        <f>COUNTIF('架電リスト'!$C$5:$C$27,A10)</f>
        <v/>
      </c>
      <c r="C10" s="13">
        <f>COUNTIFS('架電リスト'!$C$5:$C$27,A10,'架電リスト'!$E$5:$E$27,"&lt;&gt;")</f>
        <v/>
      </c>
      <c r="D10" s="13">
        <f>B10-COUNTIFS('架電リスト'!$C$5:$C$27,A10,'架電リスト'!$J$5:$J$27,"未架電")-COUNTIFS('架電リスト'!$C$5:$C$27,A10,'架電リスト'!$J$5:$J$27,"")</f>
        <v/>
      </c>
      <c r="E10" s="13">
        <f>COUNTIFS('架電リスト'!$C$5:$C$27,$A10,'架電リスト'!$J$5:$J$27,"不在・折返し待ち")</f>
        <v/>
      </c>
      <c r="F10" s="13">
        <f>COUNTIFS('架電リスト'!$C$5:$C$27,$A10,'架電リスト'!$J$5:$J$27,"担当者不在")</f>
        <v/>
      </c>
      <c r="G10" s="13">
        <f>COUNTIFS('架電リスト'!$C$5:$C$27,$A10,'架電リスト'!$J$5:$J$27,"資料送付")</f>
        <v/>
      </c>
      <c r="H10" s="13">
        <f>COUNTIFS('架電リスト'!$C$5:$C$27,$A10,'架電リスト'!$J$5:$J$27,"アポ獲得")</f>
        <v/>
      </c>
      <c r="I10" s="13">
        <f>COUNTIFS('架電リスト'!$C$5:$C$27,$A10,'架電リスト'!$J$5:$J$27,"検討中")</f>
        <v/>
      </c>
      <c r="J10" s="13">
        <f>COUNTIFS('架電リスト'!$C$5:$C$27,$A10,'架電リスト'!$J$5:$J$27,"NG")</f>
        <v/>
      </c>
      <c r="K10" s="13">
        <f>COUNTIFS('架電リスト'!$C$5:$C$27,$A10,'架電リスト'!$J$5:$J$27,"番号不明")</f>
        <v/>
      </c>
    </row>
    <row r="11">
      <c r="A11" s="13" t="inlineStr">
        <is>
          <t>赤磐市</t>
        </is>
      </c>
      <c r="B11" s="13">
        <f>COUNTIF('架電リスト'!$C$5:$C$27,A11)</f>
        <v/>
      </c>
      <c r="C11" s="13">
        <f>COUNTIFS('架電リスト'!$C$5:$C$27,A11,'架電リスト'!$E$5:$E$27,"&lt;&gt;")</f>
        <v/>
      </c>
      <c r="D11" s="13">
        <f>B11-COUNTIFS('架電リスト'!$C$5:$C$27,A11,'架電リスト'!$J$5:$J$27,"未架電")-COUNTIFS('架電リスト'!$C$5:$C$27,A11,'架電リスト'!$J$5:$J$27,"")</f>
        <v/>
      </c>
      <c r="E11" s="13">
        <f>COUNTIFS('架電リスト'!$C$5:$C$27,$A11,'架電リスト'!$J$5:$J$27,"不在・折返し待ち")</f>
        <v/>
      </c>
      <c r="F11" s="13">
        <f>COUNTIFS('架電リスト'!$C$5:$C$27,$A11,'架電リスト'!$J$5:$J$27,"担当者不在")</f>
        <v/>
      </c>
      <c r="G11" s="13">
        <f>COUNTIFS('架電リスト'!$C$5:$C$27,$A11,'架電リスト'!$J$5:$J$27,"資料送付")</f>
        <v/>
      </c>
      <c r="H11" s="13">
        <f>COUNTIFS('架電リスト'!$C$5:$C$27,$A11,'架電リスト'!$J$5:$J$27,"アポ獲得")</f>
        <v/>
      </c>
      <c r="I11" s="13">
        <f>COUNTIFS('架電リスト'!$C$5:$C$27,$A11,'架電リスト'!$J$5:$J$27,"検討中")</f>
        <v/>
      </c>
      <c r="J11" s="13">
        <f>COUNTIFS('架電リスト'!$C$5:$C$27,$A11,'架電リスト'!$J$5:$J$27,"NG")</f>
        <v/>
      </c>
      <c r="K11" s="13">
        <f>COUNTIFS('架電リスト'!$C$5:$C$27,$A11,'架電リスト'!$J$5:$J$27,"番号不明")</f>
        <v/>
      </c>
    </row>
    <row r="12">
      <c r="A12" s="13" t="inlineStr">
        <is>
          <t>笠岡市</t>
        </is>
      </c>
      <c r="B12" s="13">
        <f>COUNTIF('架電リスト'!$C$5:$C$27,A12)</f>
        <v/>
      </c>
      <c r="C12" s="13">
        <f>COUNTIFS('架電リスト'!$C$5:$C$27,A12,'架電リスト'!$E$5:$E$27,"&lt;&gt;")</f>
        <v/>
      </c>
      <c r="D12" s="13">
        <f>B12-COUNTIFS('架電リスト'!$C$5:$C$27,A12,'架電リスト'!$J$5:$J$27,"未架電")-COUNTIFS('架電リスト'!$C$5:$C$27,A12,'架電リスト'!$J$5:$J$27,"")</f>
        <v/>
      </c>
      <c r="E12" s="13">
        <f>COUNTIFS('架電リスト'!$C$5:$C$27,$A12,'架電リスト'!$J$5:$J$27,"不在・折返し待ち")</f>
        <v/>
      </c>
      <c r="F12" s="13">
        <f>COUNTIFS('架電リスト'!$C$5:$C$27,$A12,'架電リスト'!$J$5:$J$27,"担当者不在")</f>
        <v/>
      </c>
      <c r="G12" s="13">
        <f>COUNTIFS('架電リスト'!$C$5:$C$27,$A12,'架電リスト'!$J$5:$J$27,"資料送付")</f>
        <v/>
      </c>
      <c r="H12" s="13">
        <f>COUNTIFS('架電リスト'!$C$5:$C$27,$A12,'架電リスト'!$J$5:$J$27,"アポ獲得")</f>
        <v/>
      </c>
      <c r="I12" s="13">
        <f>COUNTIFS('架電リスト'!$C$5:$C$27,$A12,'架電リスト'!$J$5:$J$27,"検討中")</f>
        <v/>
      </c>
      <c r="J12" s="13">
        <f>COUNTIFS('架電リスト'!$C$5:$C$27,$A12,'架電リスト'!$J$5:$J$27,"NG")</f>
        <v/>
      </c>
      <c r="K12" s="13">
        <f>COUNTIFS('架電リスト'!$C$5:$C$27,$A12,'架電リスト'!$J$5:$J$27,"番号不明")</f>
        <v/>
      </c>
    </row>
    <row r="13">
      <c r="A13" s="13" t="inlineStr">
        <is>
          <t>吉備中央町</t>
        </is>
      </c>
      <c r="B13" s="13">
        <f>COUNTIF('架電リスト'!$C$5:$C$27,A13)</f>
        <v/>
      </c>
      <c r="C13" s="13">
        <f>COUNTIFS('架電リスト'!$C$5:$C$27,A13,'架電リスト'!$E$5:$E$27,"&lt;&gt;")</f>
        <v/>
      </c>
      <c r="D13" s="13">
        <f>B13-COUNTIFS('架電リスト'!$C$5:$C$27,A13,'架電リスト'!$J$5:$J$27,"未架電")-COUNTIFS('架電リスト'!$C$5:$C$27,A13,'架電リスト'!$J$5:$J$27,"")</f>
        <v/>
      </c>
      <c r="E13" s="13">
        <f>COUNTIFS('架電リスト'!$C$5:$C$27,$A13,'架電リスト'!$J$5:$J$27,"不在・折返し待ち")</f>
        <v/>
      </c>
      <c r="F13" s="13">
        <f>COUNTIFS('架電リスト'!$C$5:$C$27,$A13,'架電リスト'!$J$5:$J$27,"担当者不在")</f>
        <v/>
      </c>
      <c r="G13" s="13">
        <f>COUNTIFS('架電リスト'!$C$5:$C$27,$A13,'架電リスト'!$J$5:$J$27,"資料送付")</f>
        <v/>
      </c>
      <c r="H13" s="13">
        <f>COUNTIFS('架電リスト'!$C$5:$C$27,$A13,'架電リスト'!$J$5:$J$27,"アポ獲得")</f>
        <v/>
      </c>
      <c r="I13" s="13">
        <f>COUNTIFS('架電リスト'!$C$5:$C$27,$A13,'架電リスト'!$J$5:$J$27,"検討中")</f>
        <v/>
      </c>
      <c r="J13" s="13">
        <f>COUNTIFS('架電リスト'!$C$5:$C$27,$A13,'架電リスト'!$J$5:$J$27,"NG")</f>
        <v/>
      </c>
      <c r="K13" s="13">
        <f>COUNTIFS('架電リスト'!$C$5:$C$27,$A13,'架電リスト'!$J$5:$J$27,"番号不明")</f>
        <v/>
      </c>
    </row>
    <row r="14">
      <c r="A14" s="13" t="inlineStr">
        <is>
          <t>井原市</t>
        </is>
      </c>
      <c r="B14" s="13">
        <f>COUNTIF('架電リスト'!$C$5:$C$27,A14)</f>
        <v/>
      </c>
      <c r="C14" s="13">
        <f>COUNTIFS('架電リスト'!$C$5:$C$27,A14,'架電リスト'!$E$5:$E$27,"&lt;&gt;")</f>
        <v/>
      </c>
      <c r="D14" s="13">
        <f>B14-COUNTIFS('架電リスト'!$C$5:$C$27,A14,'架電リスト'!$J$5:$J$27,"未架電")-COUNTIFS('架電リスト'!$C$5:$C$27,A14,'架電リスト'!$J$5:$J$27,"")</f>
        <v/>
      </c>
      <c r="E14" s="13">
        <f>COUNTIFS('架電リスト'!$C$5:$C$27,$A14,'架電リスト'!$J$5:$J$27,"不在・折返し待ち")</f>
        <v/>
      </c>
      <c r="F14" s="13">
        <f>COUNTIFS('架電リスト'!$C$5:$C$27,$A14,'架電リスト'!$J$5:$J$27,"担当者不在")</f>
        <v/>
      </c>
      <c r="G14" s="13">
        <f>COUNTIFS('架電リスト'!$C$5:$C$27,$A14,'架電リスト'!$J$5:$J$27,"資料送付")</f>
        <v/>
      </c>
      <c r="H14" s="13">
        <f>COUNTIFS('架電リスト'!$C$5:$C$27,$A14,'架電リスト'!$J$5:$J$27,"アポ獲得")</f>
        <v/>
      </c>
      <c r="I14" s="13">
        <f>COUNTIFS('架電リスト'!$C$5:$C$27,$A14,'架電リスト'!$J$5:$J$27,"検討中")</f>
        <v/>
      </c>
      <c r="J14" s="13">
        <f>COUNTIFS('架電リスト'!$C$5:$C$27,$A14,'架電リスト'!$J$5:$J$27,"NG")</f>
        <v/>
      </c>
      <c r="K14" s="13">
        <f>COUNTIFS('架電リスト'!$C$5:$C$27,$A14,'架電リスト'!$J$5:$J$27,"番号不明")</f>
        <v/>
      </c>
    </row>
    <row r="15">
      <c r="A15" s="13" t="inlineStr">
        <is>
          <t>岡山市中区</t>
        </is>
      </c>
      <c r="B15" s="13">
        <f>COUNTIF('架電リスト'!$C$5:$C$27,A15)</f>
        <v/>
      </c>
      <c r="C15" s="13">
        <f>COUNTIFS('架電リスト'!$C$5:$C$27,A15,'架電リスト'!$E$5:$E$27,"&lt;&gt;")</f>
        <v/>
      </c>
      <c r="D15" s="13">
        <f>B15-COUNTIFS('架電リスト'!$C$5:$C$27,A15,'架電リスト'!$J$5:$J$27,"未架電")-COUNTIFS('架電リスト'!$C$5:$C$27,A15,'架電リスト'!$J$5:$J$27,"")</f>
        <v/>
      </c>
      <c r="E15" s="13">
        <f>COUNTIFS('架電リスト'!$C$5:$C$27,$A15,'架電リスト'!$J$5:$J$27,"不在・折返し待ち")</f>
        <v/>
      </c>
      <c r="F15" s="13">
        <f>COUNTIFS('架電リスト'!$C$5:$C$27,$A15,'架電リスト'!$J$5:$J$27,"担当者不在")</f>
        <v/>
      </c>
      <c r="G15" s="13">
        <f>COUNTIFS('架電リスト'!$C$5:$C$27,$A15,'架電リスト'!$J$5:$J$27,"資料送付")</f>
        <v/>
      </c>
      <c r="H15" s="13">
        <f>COUNTIFS('架電リスト'!$C$5:$C$27,$A15,'架電リスト'!$J$5:$J$27,"アポ獲得")</f>
        <v/>
      </c>
      <c r="I15" s="13">
        <f>COUNTIFS('架電リスト'!$C$5:$C$27,$A15,'架電リスト'!$J$5:$J$27,"検討中")</f>
        <v/>
      </c>
      <c r="J15" s="13">
        <f>COUNTIFS('架電リスト'!$C$5:$C$27,$A15,'架電リスト'!$J$5:$J$27,"NG")</f>
        <v/>
      </c>
      <c r="K15" s="13">
        <f>COUNTIFS('架電リスト'!$C$5:$C$27,$A15,'架電リスト'!$J$5:$J$27,"番号不明")</f>
        <v/>
      </c>
    </row>
    <row r="16">
      <c r="A16" s="13" t="inlineStr">
        <is>
          <t>高梁市</t>
        </is>
      </c>
      <c r="B16" s="13">
        <f>COUNTIF('架電リスト'!$C$5:$C$27,A16)</f>
        <v/>
      </c>
      <c r="C16" s="13">
        <f>COUNTIFS('架電リスト'!$C$5:$C$27,A16,'架電リスト'!$E$5:$E$27,"&lt;&gt;")</f>
        <v/>
      </c>
      <c r="D16" s="13">
        <f>B16-COUNTIFS('架電リスト'!$C$5:$C$27,A16,'架電リスト'!$J$5:$J$27,"未架電")-COUNTIFS('架電リスト'!$C$5:$C$27,A16,'架電リスト'!$J$5:$J$27,"")</f>
        <v/>
      </c>
      <c r="E16" s="13">
        <f>COUNTIFS('架電リスト'!$C$5:$C$27,$A16,'架電リスト'!$J$5:$J$27,"不在・折返し待ち")</f>
        <v/>
      </c>
      <c r="F16" s="13">
        <f>COUNTIFS('架電リスト'!$C$5:$C$27,$A16,'架電リスト'!$J$5:$J$27,"担当者不在")</f>
        <v/>
      </c>
      <c r="G16" s="13">
        <f>COUNTIFS('架電リスト'!$C$5:$C$27,$A16,'架電リスト'!$J$5:$J$27,"資料送付")</f>
        <v/>
      </c>
      <c r="H16" s="13">
        <f>COUNTIFS('架電リスト'!$C$5:$C$27,$A16,'架電リスト'!$J$5:$J$27,"アポ獲得")</f>
        <v/>
      </c>
      <c r="I16" s="13">
        <f>COUNTIFS('架電リスト'!$C$5:$C$27,$A16,'架電リスト'!$J$5:$J$27,"検討中")</f>
        <v/>
      </c>
      <c r="J16" s="13">
        <f>COUNTIFS('架電リスト'!$C$5:$C$27,$A16,'架電リスト'!$J$5:$J$27,"NG")</f>
        <v/>
      </c>
      <c r="K16" s="13">
        <f>COUNTIFS('架電リスト'!$C$5:$C$27,$A16,'架電リスト'!$J$5:$J$27,"番号不明")</f>
        <v/>
      </c>
    </row>
    <row r="17">
      <c r="A17" s="14" t="inlineStr">
        <is>
          <t>合計</t>
        </is>
      </c>
      <c r="B17" s="14">
        <f>SUM(B4:B16)</f>
        <v/>
      </c>
      <c r="C17" s="14">
        <f>SUM(C4:C16)</f>
        <v/>
      </c>
      <c r="D17" s="14">
        <f>SUM(D4:D16)</f>
        <v/>
      </c>
      <c r="E17" s="14">
        <f>SUM(E4:E16)</f>
        <v/>
      </c>
      <c r="F17" s="14">
        <f>SUM(F4:F16)</f>
        <v/>
      </c>
      <c r="G17" s="14">
        <f>SUM(G4:G16)</f>
        <v/>
      </c>
      <c r="H17" s="14">
        <f>SUM(H4:H16)</f>
        <v/>
      </c>
      <c r="I17" s="14">
        <f>SUM(I4:I16)</f>
        <v/>
      </c>
      <c r="J17" s="14">
        <f>SUM(J4:J16)</f>
        <v/>
      </c>
      <c r="K17" s="14">
        <f>SUM(K4:K16)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■ 使い方</t>
        </is>
      </c>
    </row>
    <row r="2">
      <c r="A2" s="16" t="inlineStr">
        <is>
          <t>・「架電リスト」の黄色の列（電話番号・架電日・担当者・架電結果・次回連絡日・メモ）に入力してください。</t>
        </is>
      </c>
    </row>
    <row r="3">
      <c r="A3" s="16" t="inlineStr">
        <is>
          <t>・架電結果はプルダウンから選択します（アポ獲得＝緑、NG＝グレーで行が自動着色）。</t>
        </is>
      </c>
    </row>
    <row r="4">
      <c r="A4" s="16" t="inlineStr">
        <is>
          <t>・「学校情報ページ」の「開く」をクリックすると、学校ネットの各校ページが開きます。</t>
        </is>
      </c>
    </row>
    <row r="5">
      <c r="A5" s="16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6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6" t="inlineStr">
        <is>
          <t>・都道府県や市区町村で絞り込む場合は、見出し行の▼（フィルター）を使用してください。</t>
        </is>
      </c>
    </row>
    <row r="8">
      <c r="A8" s="16" t="inlineStr">
        <is>
          <t>・集計シートは入力内容に連動して自動で集計されます。</t>
        </is>
      </c>
    </row>
    <row r="9">
      <c r="A9" s="16" t="inlineStr"/>
    </row>
    <row r="10">
      <c r="A10" s="15" t="inlineStr">
        <is>
          <t>■ 元データについての注意</t>
        </is>
      </c>
    </row>
    <row r="11">
      <c r="A11" s="16" t="inlineStr">
        <is>
          <t>・出典：ご提供いただいた学校ネットの検索結果（私立高校・岡山県、23校）の貼り付けデータ。並び順は都道府県ごとに元データの掲載順です。</t>
        </is>
      </c>
    </row>
    <row r="12">
      <c r="A12" s="16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6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6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2026-10-14T01:34:16Z</dcterms:created>
  <dcterms:modified xsi:type="dcterms:W3CDTF">2026-10-14T01:34:16Z</dcterms:modified>
</cp:coreProperties>
</file>