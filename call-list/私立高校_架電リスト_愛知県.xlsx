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'架電リスト'!$A$4:$O$59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3728.html" TargetMode="External" Id="rId1" /><Relationship Type="http://schemas.openxmlformats.org/officeDocument/2006/relationships/hyperlink" Target="https://www.gakkou.net/kou/view/index_303597.html" TargetMode="External" Id="rId2" /><Relationship Type="http://schemas.openxmlformats.org/officeDocument/2006/relationships/hyperlink" Target="https://www.gakkou.net/kou/view/index_303594.html" TargetMode="External" Id="rId3" /><Relationship Type="http://schemas.openxmlformats.org/officeDocument/2006/relationships/hyperlink" Target="https://www.gakkou.net/kou/view/index_303511.html" TargetMode="External" Id="rId4" /><Relationship Type="http://schemas.openxmlformats.org/officeDocument/2006/relationships/hyperlink" Target="https://www.gakkou.net/kou/view/index_303595.html" TargetMode="External" Id="rId5" /><Relationship Type="http://schemas.openxmlformats.org/officeDocument/2006/relationships/hyperlink" Target="https://www.gakkou.net/kou/view/index_303619.html" TargetMode="External" Id="rId6" /><Relationship Type="http://schemas.openxmlformats.org/officeDocument/2006/relationships/hyperlink" Target="https://www.gakkou.net/kou/view/index_303747.html" TargetMode="External" Id="rId7" /><Relationship Type="http://schemas.openxmlformats.org/officeDocument/2006/relationships/hyperlink" Target="https://www.gakkou.net/kou/view/index_303536.html" TargetMode="External" Id="rId8" /><Relationship Type="http://schemas.openxmlformats.org/officeDocument/2006/relationships/hyperlink" Target="https://www.gakkou.net/kou/view/index_303680.html" TargetMode="External" Id="rId9" /><Relationship Type="http://schemas.openxmlformats.org/officeDocument/2006/relationships/hyperlink" Target="https://www.gakkou.net/kou/view/index_303606.html" TargetMode="External" Id="rId10" /><Relationship Type="http://schemas.openxmlformats.org/officeDocument/2006/relationships/hyperlink" Target="https://www.gakkou.net/kou/view/index_303525.html" TargetMode="External" Id="rId11" /><Relationship Type="http://schemas.openxmlformats.org/officeDocument/2006/relationships/hyperlink" Target="https://www.gakkou.net/kou/view/index_303593.html" TargetMode="External" Id="rId12" /><Relationship Type="http://schemas.openxmlformats.org/officeDocument/2006/relationships/hyperlink" Target="https://www.gakkou.net/kou/view/index_303614.html" TargetMode="External" Id="rId13" /><Relationship Type="http://schemas.openxmlformats.org/officeDocument/2006/relationships/hyperlink" Target="https://www.gakkou.net/kou/view/index_303581.html" TargetMode="External" Id="rId14" /><Relationship Type="http://schemas.openxmlformats.org/officeDocument/2006/relationships/hyperlink" Target="https://www.gakkou.net/kou/view/index_303550.html" TargetMode="External" Id="rId15" /><Relationship Type="http://schemas.openxmlformats.org/officeDocument/2006/relationships/hyperlink" Target="https://www.gakkou.net/kou/view/index_303476.html" TargetMode="External" Id="rId16" /><Relationship Type="http://schemas.openxmlformats.org/officeDocument/2006/relationships/hyperlink" Target="https://www.gakkou.net/kou/view/index_303587.html" TargetMode="External" Id="rId17" /><Relationship Type="http://schemas.openxmlformats.org/officeDocument/2006/relationships/hyperlink" Target="https://www.gakkou.net/kou/view/index_303726.html" TargetMode="External" Id="rId18" /><Relationship Type="http://schemas.openxmlformats.org/officeDocument/2006/relationships/hyperlink" Target="https://www.gakkou.net/kou/view/index_303602.html" TargetMode="External" Id="rId19" /><Relationship Type="http://schemas.openxmlformats.org/officeDocument/2006/relationships/hyperlink" Target="https://www.gakkou.net/kou/view/index_303712.html" TargetMode="External" Id="rId20" /><Relationship Type="http://schemas.openxmlformats.org/officeDocument/2006/relationships/hyperlink" Target="https://www.gakkou.net/kou/view/index_303677.html" TargetMode="External" Id="rId21" /><Relationship Type="http://schemas.openxmlformats.org/officeDocument/2006/relationships/hyperlink" Target="https://www.gakkou.net/kou/view/index_303635.html" TargetMode="External" Id="rId22" /><Relationship Type="http://schemas.openxmlformats.org/officeDocument/2006/relationships/hyperlink" Target="https://www.gakkou.net/kou/view/index_303739.html" TargetMode="External" Id="rId23" /><Relationship Type="http://schemas.openxmlformats.org/officeDocument/2006/relationships/hyperlink" Target="https://www.gakkou.net/kou/view/index_303706.html" TargetMode="External" Id="rId24" /><Relationship Type="http://schemas.openxmlformats.org/officeDocument/2006/relationships/hyperlink" Target="https://www.gakkou.net/kou/view/index_303722.html" TargetMode="External" Id="rId25" /><Relationship Type="http://schemas.openxmlformats.org/officeDocument/2006/relationships/hyperlink" Target="https://www.gakkou.net/kou/view/index_303685.html" TargetMode="External" Id="rId26" /><Relationship Type="http://schemas.openxmlformats.org/officeDocument/2006/relationships/hyperlink" Target="https://www.gakkou.net/kou/view/index_303572.html" TargetMode="External" Id="rId27" /><Relationship Type="http://schemas.openxmlformats.org/officeDocument/2006/relationships/hyperlink" Target="https://www.gakkou.net/kou/view/index_303610.html" TargetMode="External" Id="rId28" /><Relationship Type="http://schemas.openxmlformats.org/officeDocument/2006/relationships/hyperlink" Target="https://www.gakkou.net/kou/view/index_303623.html" TargetMode="External" Id="rId29" /><Relationship Type="http://schemas.openxmlformats.org/officeDocument/2006/relationships/hyperlink" Target="https://www.gakkou.net/kou/view/index_303702.html" TargetMode="External" Id="rId30" /><Relationship Type="http://schemas.openxmlformats.org/officeDocument/2006/relationships/hyperlink" Target="https://www.gakkou.net/kou/view/index_303490.html" TargetMode="External" Id="rId31" /><Relationship Type="http://schemas.openxmlformats.org/officeDocument/2006/relationships/hyperlink" Target="https://www.gakkou.net/kou/view/index_303621.html" TargetMode="External" Id="rId32" /><Relationship Type="http://schemas.openxmlformats.org/officeDocument/2006/relationships/hyperlink" Target="https://www.gakkou.net/kou/view/index_303578.html" TargetMode="External" Id="rId33" /><Relationship Type="http://schemas.openxmlformats.org/officeDocument/2006/relationships/hyperlink" Target="https://www.gakkou.net/kou/view/index_303605.html" TargetMode="External" Id="rId34" /><Relationship Type="http://schemas.openxmlformats.org/officeDocument/2006/relationships/hyperlink" Target="https://www.gakkou.net/kou/view/index_303628.html" TargetMode="External" Id="rId35" /><Relationship Type="http://schemas.openxmlformats.org/officeDocument/2006/relationships/hyperlink" Target="https://www.gakkou.net/kou/view/index_303502.html" TargetMode="External" Id="rId36" /><Relationship Type="http://schemas.openxmlformats.org/officeDocument/2006/relationships/hyperlink" Target="https://www.gakkou.net/kou/view/index_303629.html" TargetMode="External" Id="rId37" /><Relationship Type="http://schemas.openxmlformats.org/officeDocument/2006/relationships/hyperlink" Target="https://www.gakkou.net/kou/view/index_303480.html" TargetMode="External" Id="rId38" /><Relationship Type="http://schemas.openxmlformats.org/officeDocument/2006/relationships/hyperlink" Target="https://www.gakkou.net/kou/view/index_303558.html" TargetMode="External" Id="rId39" /><Relationship Type="http://schemas.openxmlformats.org/officeDocument/2006/relationships/hyperlink" Target="https://www.gakkou.net/kou/view/index_303613.html" TargetMode="External" Id="rId40" /><Relationship Type="http://schemas.openxmlformats.org/officeDocument/2006/relationships/hyperlink" Target="https://www.gakkou.net/kou/view/index_303616.html" TargetMode="External" Id="rId41" /><Relationship Type="http://schemas.openxmlformats.org/officeDocument/2006/relationships/hyperlink" Target="https://www.gakkou.net/kou/view/index_303598.html" TargetMode="External" Id="rId42" /><Relationship Type="http://schemas.openxmlformats.org/officeDocument/2006/relationships/hyperlink" Target="https://www.gakkou.net/kou/view/index_303566.html" TargetMode="External" Id="rId43" /><Relationship Type="http://schemas.openxmlformats.org/officeDocument/2006/relationships/hyperlink" Target="https://www.gakkou.net/kou/view/index_303609.html" TargetMode="External" Id="rId44" /><Relationship Type="http://schemas.openxmlformats.org/officeDocument/2006/relationships/hyperlink" Target="https://www.gakkou.net/kou/view/index_303586.html" TargetMode="External" Id="rId45" /><Relationship Type="http://schemas.openxmlformats.org/officeDocument/2006/relationships/hyperlink" Target="https://www.gakkou.net/kou/view/index_303612.html" TargetMode="External" Id="rId46" /><Relationship Type="http://schemas.openxmlformats.org/officeDocument/2006/relationships/hyperlink" Target="https://www.gakkou.net/kou/view/index_303577.html" TargetMode="External" Id="rId47" /><Relationship Type="http://schemas.openxmlformats.org/officeDocument/2006/relationships/hyperlink" Target="https://www.gakkou.net/kou/view/index_306756.html" TargetMode="External" Id="rId48" /><Relationship Type="http://schemas.openxmlformats.org/officeDocument/2006/relationships/hyperlink" Target="https://www.gakkou.net/kou/view/index_303611.html" TargetMode="External" Id="rId49" /><Relationship Type="http://schemas.openxmlformats.org/officeDocument/2006/relationships/hyperlink" Target="https://www.gakkou.net/kou/view/index_303640.html" TargetMode="External" Id="rId50" /><Relationship Type="http://schemas.openxmlformats.org/officeDocument/2006/relationships/hyperlink" Target="https://www.gakkou.net/kou/view/index_303513.html" TargetMode="External" Id="rId51" /><Relationship Type="http://schemas.openxmlformats.org/officeDocument/2006/relationships/hyperlink" Target="https://www.gakkou.net/kou/view/index_303519.html" TargetMode="External" Id="rId52" /><Relationship Type="http://schemas.openxmlformats.org/officeDocument/2006/relationships/hyperlink" Target="https://www.gakkou.net/kou/view/index_303478.html" TargetMode="External" Id="rId53" /><Relationship Type="http://schemas.openxmlformats.org/officeDocument/2006/relationships/hyperlink" Target="https://www.gakkou.net/kou/view/index_303695.html" TargetMode="External" Id="rId54" /><Relationship Type="http://schemas.openxmlformats.org/officeDocument/2006/relationships/hyperlink" Target="https://www.gakkou.net/kou/view/index_303556.html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架電リスト（愛知県／55校）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愛知県</t>
        </is>
      </c>
      <c r="C5" s="5" t="inlineStr">
        <is>
          <t>稲沢市</t>
        </is>
      </c>
      <c r="D5" s="5" t="inlineStr">
        <is>
          <t>愛知啓成高等学校</t>
        </is>
      </c>
      <c r="E5" s="6" t="inlineStr">
        <is>
          <t>0587-32-5141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公式サイトで確認</t>
        </is>
      </c>
      <c r="N5" s="11" t="inlineStr">
        <is>
          <t>https://keisei.ed.jp/ ; https://www.city.inazawa.aichi.jp/0000002446.html</t>
        </is>
      </c>
      <c r="O5" s="12" t="inlineStr">
        <is>
          <t>開く</t>
        </is>
      </c>
    </row>
    <row r="6">
      <c r="A6" s="4" t="n">
        <v>2</v>
      </c>
      <c r="B6" s="5" t="inlineStr">
        <is>
          <t>愛知県</t>
        </is>
      </c>
      <c r="C6" s="5" t="inlineStr">
        <is>
          <t>名古屋市千種区</t>
        </is>
      </c>
      <c r="D6" s="5" t="inlineStr">
        <is>
          <t>愛知工業大学名電高等学校</t>
        </is>
      </c>
      <c r="E6" s="6" t="inlineStr">
        <is>
          <t>052-721-0311</t>
        </is>
      </c>
      <c r="F6" s="7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公式サイトに「代表」と記載</t>
        </is>
      </c>
      <c r="N6" s="11" t="inlineStr">
        <is>
          <t>https://www.meiden.ed.jp/others/contact.html</t>
        </is>
      </c>
      <c r="O6" s="12" t="inlineStr">
        <is>
          <t>開く</t>
        </is>
      </c>
    </row>
    <row r="7">
      <c r="A7" s="4" t="n">
        <v>3</v>
      </c>
      <c r="B7" s="5" t="inlineStr">
        <is>
          <t>愛知県</t>
        </is>
      </c>
      <c r="C7" s="5" t="inlineStr">
        <is>
          <t>名古屋市千種区</t>
        </is>
      </c>
      <c r="D7" s="5" t="inlineStr">
        <is>
          <t>愛知高等学校</t>
        </is>
      </c>
      <c r="E7" s="6" t="inlineStr">
        <is>
          <t>052-721-1521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公式サイトに「代表」と記載。中高共通</t>
        </is>
      </c>
      <c r="N7" s="11" t="inlineStr">
        <is>
          <t>https://www.aichi-h.ed.jp/hs/access/</t>
        </is>
      </c>
      <c r="O7" s="12" t="inlineStr">
        <is>
          <t>開く</t>
        </is>
      </c>
    </row>
    <row r="8">
      <c r="A8" s="4" t="n">
        <v>4</v>
      </c>
      <c r="B8" s="5" t="inlineStr">
        <is>
          <t>愛知県</t>
        </is>
      </c>
      <c r="C8" s="5" t="inlineStr">
        <is>
          <t>岡崎市</t>
        </is>
      </c>
      <c r="D8" s="5" t="inlineStr">
        <is>
          <t>愛知産業大学三河高等学校</t>
        </is>
      </c>
      <c r="E8" s="6" t="inlineStr">
        <is>
          <t>0564-48-5211</t>
        </is>
      </c>
      <c r="F8" s="7" t="inlineStr">
        <is>
          <t>高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全日制の番号（公式サイト）。通信制課程は0564-48-5230</t>
        </is>
      </c>
      <c r="N8" s="11" t="inlineStr">
        <is>
          <t>https://www.mikawa.ed.jp/introduction/information/</t>
        </is>
      </c>
      <c r="O8" s="12" t="inlineStr">
        <is>
          <t>開く</t>
        </is>
      </c>
    </row>
    <row r="9">
      <c r="A9" s="4" t="n">
        <v>5</v>
      </c>
      <c r="B9" s="5" t="inlineStr">
        <is>
          <t>愛知県</t>
        </is>
      </c>
      <c r="C9" s="5" t="inlineStr">
        <is>
          <t>名古屋市千種区</t>
        </is>
      </c>
      <c r="D9" s="5" t="inlineStr">
        <is>
          <t>愛知淑徳高等学校</t>
        </is>
      </c>
      <c r="E9" s="6" t="inlineStr">
        <is>
          <t>052-781-1151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公式サイトで代表番号として確認。中高共通</t>
        </is>
      </c>
      <c r="N9" s="11" t="inlineStr">
        <is>
          <t>https://www.aichishukutoku-h.jp/contact/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愛知県</t>
        </is>
      </c>
      <c r="C10" s="5" t="inlineStr">
        <is>
          <t>名古屋市瑞穂区</t>
        </is>
      </c>
      <c r="D10" s="5" t="inlineStr">
        <is>
          <t>愛知みずほ大学瑞穂高等学校</t>
        </is>
      </c>
      <c r="E10" s="6" t="inlineStr">
        <is>
          <t>052-882-1811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公式サイトで確認</t>
        </is>
      </c>
      <c r="N10" s="11" t="inlineStr">
        <is>
          <t>https://www.aichi-mizuho.ac.jp/mhs/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愛知県</t>
        </is>
      </c>
      <c r="C11" s="5" t="inlineStr">
        <is>
          <t>弥富市</t>
        </is>
      </c>
      <c r="D11" s="5" t="inlineStr">
        <is>
          <t>愛知黎明高等学校</t>
        </is>
      </c>
      <c r="E11" s="6" t="inlineStr">
        <is>
          <t>0567-68-2233</t>
        </is>
      </c>
      <c r="F11" s="7" t="inlineStr">
        <is>
          <t>高</t>
        </is>
      </c>
      <c r="G11" s="5" t="inlineStr">
        <is>
          <t>普通科・専門学科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複数サイトで一致、公式未確認。定時制あり</t>
        </is>
      </c>
      <c r="N11" s="11" t="inlineStr">
        <is>
          <t>https://www.mapion.co.jp/phonebook/M11004/23235/ILSP0000040620_ipclm/ ; https://school.js88.com/scl_h/22011520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愛知県</t>
        </is>
      </c>
      <c r="C12" s="5" t="inlineStr">
        <is>
          <t>安城市</t>
        </is>
      </c>
      <c r="D12" s="5" t="inlineStr">
        <is>
          <t>安城学園高等学校</t>
        </is>
      </c>
      <c r="E12" s="6" t="inlineStr">
        <is>
          <t>0566-76-5105</t>
        </is>
      </c>
      <c r="F12" s="7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公式サイトで確認。法人本部（0566-77-7788）とは別</t>
        </is>
      </c>
      <c r="N12" s="11" t="inlineStr">
        <is>
          <t>https://www.angaku.jp/contact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愛知県</t>
        </is>
      </c>
      <c r="C13" s="5" t="inlineStr">
        <is>
          <t>長久手市</t>
        </is>
      </c>
      <c r="D13" s="5" t="inlineStr">
        <is>
          <t>栄徳高等学校</t>
        </is>
      </c>
      <c r="E13" s="6" t="inlineStr">
        <is>
          <t>0561-62-5000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公式サイトに「代表」と記載</t>
        </is>
      </c>
      <c r="N13" s="11" t="inlineStr">
        <is>
          <t>https://www.eitoku-h.ed.jp/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愛知県</t>
        </is>
      </c>
      <c r="C14" s="5" t="inlineStr">
        <is>
          <t>名古屋市昭和区</t>
        </is>
      </c>
      <c r="D14" s="5" t="inlineStr">
        <is>
          <t>桜花学園高等学校</t>
        </is>
      </c>
      <c r="E14" s="6" t="inlineStr">
        <is>
          <t>052-741-1221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公式サイトで確認</t>
        </is>
      </c>
      <c r="N14" s="11" t="inlineStr">
        <is>
          <t>https://ohka-hs.com/profile/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愛知県</t>
        </is>
      </c>
      <c r="C15" s="5" t="inlineStr">
        <is>
          <t>岡崎市</t>
        </is>
      </c>
      <c r="D15" s="5" t="inlineStr">
        <is>
          <t>岡崎城西高等学校</t>
        </is>
      </c>
      <c r="E15" s="6" t="inlineStr">
        <is>
          <t>0564-31-4165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公式サイトで確認（安城学園岡崎城西）</t>
        </is>
      </c>
      <c r="N15" s="11" t="inlineStr">
        <is>
          <t>https://www.johsei.jp/contact/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愛知県</t>
        </is>
      </c>
      <c r="C16" s="5" t="inlineStr">
        <is>
          <t>名古屋市守山区</t>
        </is>
      </c>
      <c r="D16" s="5" t="inlineStr">
        <is>
          <t>菊華高等学校</t>
        </is>
      </c>
      <c r="E16" s="6" t="inlineStr">
        <is>
          <t>052-791-8261</t>
        </is>
      </c>
      <c r="F16" s="7" t="inlineStr">
        <is>
          <t>高</t>
        </is>
      </c>
      <c r="G16" s="5" t="inlineStr">
        <is>
          <t>普通科・専門学科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全日制の本校の番号（公式サイト）</t>
        </is>
      </c>
      <c r="N16" s="11" t="inlineStr">
        <is>
          <t>https://kikuka.ed.jp/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愛知県</t>
        </is>
      </c>
      <c r="C17" s="5" t="inlineStr">
        <is>
          <t>名古屋市瑞穂区</t>
        </is>
      </c>
      <c r="D17" s="5" t="inlineStr">
        <is>
          <t>享栄高等学校</t>
        </is>
      </c>
      <c r="E17" s="6" t="inlineStr">
        <is>
          <t>052-841-8151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公式サイトに「代表」と記載</t>
        </is>
      </c>
      <c r="N17" s="11" t="inlineStr">
        <is>
          <t>https://www.kyoei-h.ed.jp/contact/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愛知県</t>
        </is>
      </c>
      <c r="C18" s="5" t="inlineStr">
        <is>
          <t>名古屋市東区</t>
        </is>
      </c>
      <c r="D18" s="5" t="inlineStr">
        <is>
          <t>金城学院高等学校</t>
        </is>
      </c>
      <c r="E18" s="6" t="inlineStr">
        <is>
          <t>052-931-6236</t>
        </is>
      </c>
      <c r="F18" s="7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高校の番号（公式サイト）。中学校は052-931-0821、大学は別番号</t>
        </is>
      </c>
      <c r="N18" s="11" t="inlineStr">
        <is>
          <t>https://www.hs.kinjo-u.ac.jp/contact/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愛知県</t>
        </is>
      </c>
      <c r="C19" s="5" t="inlineStr">
        <is>
          <t>名古屋市西区</t>
        </is>
      </c>
      <c r="D19" s="5" t="inlineStr">
        <is>
          <t>啓明学館高等学校</t>
        </is>
      </c>
      <c r="E19" s="6" t="inlineStr">
        <is>
          <t>052-571-2561</t>
        </is>
      </c>
      <c r="F19" s="13" t="inlineStr">
        <is>
          <t>中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公式サイトの事務所の番号（「代表」の表記なし）。職員室は052-571-7366</t>
        </is>
      </c>
      <c r="N19" s="11" t="inlineStr">
        <is>
          <t>https://keimeigakkan-h.ed.jp/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愛知県</t>
        </is>
      </c>
      <c r="C20" s="5" t="inlineStr">
        <is>
          <t>豊橋市</t>
        </is>
      </c>
      <c r="D20" s="5" t="inlineStr">
        <is>
          <t>桜丘高等学校（愛知県）</t>
        </is>
      </c>
      <c r="E20" s="6" t="inlineStr">
        <is>
          <t>0570-039-396</t>
        </is>
      </c>
      <c r="F20" s="13" t="inlineStr">
        <is>
          <t>中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公式サイトのナビダイヤル（学園・高校共通、通話料がかかる番号）。旧番号0532-61-6421が一部サイトに残る</t>
        </is>
      </c>
      <c r="N20" s="11" t="inlineStr">
        <is>
          <t>https://www.sakuragaoka-gakuen.ed.jp/h/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愛知県</t>
        </is>
      </c>
      <c r="C21" s="5" t="inlineStr">
        <is>
          <t>名古屋市東区</t>
        </is>
      </c>
      <c r="D21" s="5" t="inlineStr">
        <is>
          <t>至学館高等学校</t>
        </is>
      </c>
      <c r="E21" s="6" t="inlineStr">
        <is>
          <t>052-723-0851</t>
        </is>
      </c>
      <c r="F21" s="7" t="inlineStr">
        <is>
          <t>高</t>
        </is>
      </c>
      <c r="G21" s="5" t="inlineStr">
        <is>
          <t>普通科・専門学科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公式サイトで確認</t>
        </is>
      </c>
      <c r="N21" s="11" t="inlineStr">
        <is>
          <t>https://www.shigakukan-h.ed.jp/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愛知県</t>
        </is>
      </c>
      <c r="C22" s="5" t="inlineStr">
        <is>
          <t>一宮市</t>
        </is>
      </c>
      <c r="D22" s="5" t="inlineStr">
        <is>
          <t>修文学院高等学校</t>
        </is>
      </c>
      <c r="E22" s="6" t="inlineStr">
        <is>
          <t>0586-45-2102</t>
        </is>
      </c>
      <c r="F22" s="7" t="inlineStr">
        <is>
          <t>高</t>
        </is>
      </c>
      <c r="G22" s="5" t="inlineStr">
        <is>
          <t>普通科・専門学科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公式サイトで確認。【校名変更】2022年に修文女子高校から改称・共学化</t>
        </is>
      </c>
      <c r="N22" s="11" t="inlineStr">
        <is>
          <t>https://www.gakuin-hs.shubun.ac.jp/contact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愛知県</t>
        </is>
      </c>
      <c r="C23" s="5" t="inlineStr">
        <is>
          <t>名古屋市千種区</t>
        </is>
      </c>
      <c r="D23" s="5" t="inlineStr">
        <is>
          <t>椙山女学園高等学校</t>
        </is>
      </c>
      <c r="E23" s="6" t="inlineStr">
        <is>
          <t>052-751-8131</t>
        </is>
      </c>
      <c r="F23" s="7" t="inlineStr">
        <is>
          <t>高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公式サイトに「代表」と記載</t>
        </is>
      </c>
      <c r="N23" s="11" t="inlineStr">
        <is>
          <t>https://www.sugiyama-u.ac.jp/high/index.html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愛知県</t>
        </is>
      </c>
      <c r="C24" s="5" t="inlineStr">
        <is>
          <t>瀬戸市</t>
        </is>
      </c>
      <c r="D24" s="5" t="inlineStr">
        <is>
          <t>聖カピタニオ女子高等学校</t>
        </is>
      </c>
      <c r="E24" s="6" t="inlineStr">
        <is>
          <t>0561-82-7711</t>
        </is>
      </c>
      <c r="F24" s="7" t="inlineStr">
        <is>
          <t>高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公式サイトで確認</t>
        </is>
      </c>
      <c r="N24" s="11" t="inlineStr">
        <is>
          <t>https://www.st-capitanio.ed.jp/access/access.html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愛知県</t>
        </is>
      </c>
      <c r="C25" s="5" t="inlineStr">
        <is>
          <t>扶桑町</t>
        </is>
      </c>
      <c r="D25" s="5" t="inlineStr">
        <is>
          <t>誠信高等学校</t>
        </is>
      </c>
      <c r="E25" s="6" t="inlineStr">
        <is>
          <t>0587-93-5380</t>
        </is>
      </c>
      <c r="F25" s="7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公式サイトに「代表」と記載。0587-93-8172はFAXなので注意</t>
        </is>
      </c>
      <c r="N25" s="11" t="inlineStr">
        <is>
          <t>https://www.a-seishin.ed.jp/contact/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愛知県</t>
        </is>
      </c>
      <c r="C26" s="5" t="inlineStr">
        <is>
          <t>豊明市</t>
        </is>
      </c>
      <c r="D26" s="5" t="inlineStr">
        <is>
          <t>星城高等学校</t>
        </is>
      </c>
      <c r="E26" s="6" t="inlineStr">
        <is>
          <t>0562-97-3111</t>
        </is>
      </c>
      <c r="F26" s="7" t="inlineStr">
        <is>
          <t>高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公式サイトに「代表」と記載</t>
        </is>
      </c>
      <c r="N26" s="11" t="inlineStr">
        <is>
          <t>https://www.seijoh.ed.jp/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愛知県</t>
        </is>
      </c>
      <c r="C27" s="5" t="inlineStr">
        <is>
          <t>愛西市</t>
        </is>
      </c>
      <c r="D27" s="5" t="inlineStr">
        <is>
          <t>清林館高等学校</t>
        </is>
      </c>
      <c r="E27" s="6" t="inlineStr">
        <is>
          <t>0567-28-3010</t>
        </is>
      </c>
      <c r="F27" s="7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公式サイトで確認</t>
        </is>
      </c>
      <c r="N27" s="11" t="inlineStr">
        <is>
          <t>https://www.seirinkan.ed.jp/high/access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愛知県</t>
        </is>
      </c>
      <c r="C28" s="5" t="inlineStr">
        <is>
          <t>瀬戸市</t>
        </is>
      </c>
      <c r="D28" s="5" t="inlineStr">
        <is>
          <t>聖霊高等学校</t>
        </is>
      </c>
      <c r="E28" s="6" t="inlineStr">
        <is>
          <t>0561-21-3121</t>
        </is>
      </c>
      <c r="F28" s="7" t="inlineStr">
        <is>
          <t>高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公式サイトで確認。中高共通</t>
        </is>
      </c>
      <c r="N28" s="11" t="inlineStr">
        <is>
          <t>https://www.seto-seirei-js.ed.jp/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愛知県</t>
        </is>
      </c>
      <c r="C29" s="5" t="inlineStr">
        <is>
          <t>一宮市</t>
        </is>
      </c>
      <c r="D29" s="5" t="inlineStr">
        <is>
          <t>大成高等学校（愛知県）</t>
        </is>
      </c>
      <c r="E29" s="6" t="inlineStr">
        <is>
          <t>0586-77-9900</t>
        </is>
      </c>
      <c r="F29" s="7" t="inlineStr">
        <is>
          <t>高</t>
        </is>
      </c>
      <c r="G29" s="5" t="inlineStr">
        <is>
          <t>普通科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公式サイトと一宮市のサイトで一致</t>
        </is>
      </c>
      <c r="N29" s="11" t="inlineStr">
        <is>
          <t>https://www.aichi-shinwa-taisei.ed.jp/high/ ; https://www.city.ichinomiya.aichi.jp/shisetsu/hoikugakko/1008935/1009298.html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愛知県</t>
        </is>
      </c>
      <c r="C30" s="5" t="inlineStr">
        <is>
          <t>江南市</t>
        </is>
      </c>
      <c r="D30" s="5" t="inlineStr">
        <is>
          <t>滝高等学校</t>
        </is>
      </c>
      <c r="E30" s="6" t="inlineStr">
        <is>
          <t>0587-56-2127</t>
        </is>
      </c>
      <c r="F30" s="7" t="inlineStr">
        <is>
          <t>高</t>
        </is>
      </c>
      <c r="G30" s="5" t="inlineStr">
        <is>
          <t>普通科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公式サイトで確認</t>
        </is>
      </c>
      <c r="N30" s="11" t="inlineStr">
        <is>
          <t>https://www.taki-hj.ac.jp/guide/access.html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愛知県</t>
        </is>
      </c>
      <c r="C31" s="5" t="inlineStr">
        <is>
          <t>名古屋市南区</t>
        </is>
      </c>
      <c r="D31" s="5" t="inlineStr">
        <is>
          <t>大同大学大同高等学校</t>
        </is>
      </c>
      <c r="E31" s="6" t="inlineStr">
        <is>
          <t>052-611-0511</t>
        </is>
      </c>
      <c r="F31" s="7" t="inlineStr">
        <is>
          <t>高</t>
        </is>
      </c>
      <c r="G31" s="5" t="inlineStr">
        <is>
          <t>普通科・専門学科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公式サイトに「代表」と記載</t>
        </is>
      </c>
      <c r="N31" s="11" t="inlineStr">
        <is>
          <t>https://www.daido-h.ed.jp/access/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愛知県</t>
        </is>
      </c>
      <c r="C32" s="5" t="inlineStr">
        <is>
          <t>名古屋市昭和区</t>
        </is>
      </c>
      <c r="D32" s="5" t="inlineStr">
        <is>
          <t>中京大学附属中京高等学校</t>
        </is>
      </c>
      <c r="E32" s="6" t="inlineStr">
        <is>
          <t>052-761-5311</t>
        </is>
      </c>
      <c r="F32" s="7" t="inlineStr">
        <is>
          <t>高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公式サイトに「代表」と記載。通信制課程も同じ番号</t>
        </is>
      </c>
      <c r="N32" s="11" t="inlineStr">
        <is>
          <t>https://www.chukyo.ed.jp/contact/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愛知県</t>
        </is>
      </c>
      <c r="C33" s="5" t="inlineStr">
        <is>
          <t>日進市</t>
        </is>
      </c>
      <c r="D33" s="5" t="inlineStr">
        <is>
          <t>中部大学第一高等学校</t>
        </is>
      </c>
      <c r="E33" s="6" t="inlineStr">
        <is>
          <t>0561-73-8111</t>
        </is>
      </c>
      <c r="F33" s="7" t="inlineStr">
        <is>
          <t>高</t>
        </is>
      </c>
      <c r="G33" s="5" t="inlineStr">
        <is>
          <t>普通科・専門学科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inlineStr">
        <is>
          <t>2つのサイトで一致、公式未確認</t>
        </is>
      </c>
      <c r="N33" s="11" t="inlineStr">
        <is>
          <t>https://www.mapion.co.jp/phonebook/M11004/23230/ILSP0000041881_ipclm/ ; https://www.gakkou.net/kou/view/index_303623.html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愛知県</t>
        </is>
      </c>
      <c r="C34" s="5" t="inlineStr">
        <is>
          <t>春日井市</t>
        </is>
      </c>
      <c r="D34" s="5" t="inlineStr">
        <is>
          <t>中部大学春日丘高等学校</t>
        </is>
      </c>
      <c r="E34" s="6" t="inlineStr">
        <is>
          <t>0568-51-1131</t>
        </is>
      </c>
      <c r="F34" s="7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inlineStr">
        <is>
          <t>公式サイトで確認。中学校は0568-51-1115</t>
        </is>
      </c>
      <c r="N34" s="11" t="inlineStr">
        <is>
          <t>https://www.haruhigaoka.ed.jp/senior/ ; https://www.city.kasugai.lg.jp/shisei/shisetsu/kosodate/1010552/1010560.html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愛知県</t>
        </is>
      </c>
      <c r="C35" s="5" t="inlineStr">
        <is>
          <t>新城市</t>
        </is>
      </c>
      <c r="D35" s="5" t="inlineStr">
        <is>
          <t>黄柳野高等学校</t>
        </is>
      </c>
      <c r="E35" s="6" t="inlineStr">
        <is>
          <t>0536-34-0330</t>
        </is>
      </c>
      <c r="F35" s="7" t="inlineStr">
        <is>
          <t>高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複数サイトで一致、公式未確認</t>
        </is>
      </c>
      <c r="N35" s="11" t="inlineStr">
        <is>
          <t>https://www.mapion.co.jp/phonebook/M11004/23221/ILSP0000041060_ipclm/ ; https://www.navitime.co.jp/poi?spot=00004-23108700184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愛知県</t>
        </is>
      </c>
      <c r="C36" s="5" t="inlineStr">
        <is>
          <t>名古屋市天白区</t>
        </is>
      </c>
      <c r="D36" s="5" t="inlineStr">
        <is>
          <t>東海学園高等学校</t>
        </is>
      </c>
      <c r="E36" s="6" t="inlineStr">
        <is>
          <t>052-801-6222</t>
        </is>
      </c>
      <c r="F36" s="7" t="inlineStr">
        <is>
          <t>高</t>
        </is>
      </c>
      <c r="G36" s="5" t="inlineStr">
        <is>
          <t>普通科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inlineStr">
        <is>
          <t>公式サイトで確認。東海高校（東区）とは別の学校</t>
        </is>
      </c>
      <c r="N36" s="11" t="inlineStr">
        <is>
          <t>https://tokaigakuen.ed.jp/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愛知県</t>
        </is>
      </c>
      <c r="C37" s="5" t="inlineStr">
        <is>
          <t>名古屋市東区</t>
        </is>
      </c>
      <c r="D37" s="5" t="inlineStr">
        <is>
          <t>東海高等学校</t>
        </is>
      </c>
      <c r="E37" s="6" t="inlineStr">
        <is>
          <t>052-936-5111</t>
        </is>
      </c>
      <c r="F37" s="7" t="inlineStr">
        <is>
          <t>高</t>
        </is>
      </c>
      <c r="G37" s="5" t="inlineStr">
        <is>
          <t>普通科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中高共通の代表（事務所）。高校の直通は052-936-5112。東海学園（天白区）とは別の学校</t>
        </is>
      </c>
      <c r="N37" s="11" t="inlineStr">
        <is>
          <t>https://www.tokai-jh.ed.jp/profile/06.html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愛知県</t>
        </is>
      </c>
      <c r="C38" s="5" t="inlineStr">
        <is>
          <t>名古屋市名東区</t>
        </is>
      </c>
      <c r="D38" s="5" t="inlineStr">
        <is>
          <t>東邦高等学校</t>
        </is>
      </c>
      <c r="E38" s="6" t="inlineStr">
        <is>
          <t>052-782-1171</t>
        </is>
      </c>
      <c r="F38" s="7" t="inlineStr">
        <is>
          <t>高</t>
        </is>
      </c>
      <c r="G38" s="5" t="inlineStr">
        <is>
          <t>普通科・専門学科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inlineStr">
        <is>
          <t>公式サイトに「代表」と記載。052-782-1241は愛知東邦大学の番号</t>
        </is>
      </c>
      <c r="N38" s="11" t="inlineStr">
        <is>
          <t>https://www.toho-h.ed.jp/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愛知県</t>
        </is>
      </c>
      <c r="C39" s="5" t="inlineStr">
        <is>
          <t>豊田市</t>
        </is>
      </c>
      <c r="D39" s="5" t="inlineStr">
        <is>
          <t>杜若高等学校</t>
        </is>
      </c>
      <c r="E39" s="6" t="inlineStr">
        <is>
          <t>0565-45-5000</t>
        </is>
      </c>
      <c r="F39" s="7" t="inlineStr">
        <is>
          <t>高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inlineStr">
        <is>
          <t>公式サイトで確認</t>
        </is>
      </c>
      <c r="N39" s="11" t="inlineStr">
        <is>
          <t>https://www.tojaku-h.ed.jp/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愛知県</t>
        </is>
      </c>
      <c r="C40" s="5" t="inlineStr">
        <is>
          <t>豊川市</t>
        </is>
      </c>
      <c r="D40" s="5" t="inlineStr">
        <is>
          <t>豊川高等学校</t>
        </is>
      </c>
      <c r="E40" s="6" t="inlineStr">
        <is>
          <t>0533-86-4121</t>
        </is>
      </c>
      <c r="F40" s="7" t="inlineStr">
        <is>
          <t>高</t>
        </is>
      </c>
      <c r="G40" s="5" t="inlineStr">
        <is>
          <t>普通科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inlineStr">
        <is>
          <t>公式サイトに「学校代表」と記載</t>
        </is>
      </c>
      <c r="N40" s="11" t="inlineStr">
        <is>
          <t>https://toyokawa.ed.jp/contact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愛知県</t>
        </is>
      </c>
      <c r="C41" s="5" t="inlineStr">
        <is>
          <t>豊田市</t>
        </is>
      </c>
      <c r="D41" s="5" t="inlineStr">
        <is>
          <t>豊田大谷高等学校</t>
        </is>
      </c>
      <c r="E41" s="6" t="inlineStr">
        <is>
          <t>0565-48-3511</t>
        </is>
      </c>
      <c r="F41" s="7" t="inlineStr">
        <is>
          <t>高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2つのサイトで一致（代表として掲載）、公式未確認</t>
        </is>
      </c>
      <c r="N41" s="11" t="inlineStr">
        <is>
          <t>https://www.navita.co.jp/s/11101207/ ; https://www.mapion.co.jp/phonebook/M11004/23211/ILSP0000041953_ipclm/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愛知県</t>
        </is>
      </c>
      <c r="C42" s="5" t="inlineStr">
        <is>
          <t>豊橋市</t>
        </is>
      </c>
      <c r="D42" s="5" t="inlineStr">
        <is>
          <t>豊橋中央高等学校</t>
        </is>
      </c>
      <c r="E42" s="6" t="inlineStr">
        <is>
          <t>0532-54-1301</t>
        </is>
      </c>
      <c r="F42" s="7" t="inlineStr">
        <is>
          <t>高</t>
        </is>
      </c>
      <c r="G42" s="5" t="inlineStr">
        <is>
          <t>普通科・専門学科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inlineStr">
        <is>
          <t>公式サイトで確認</t>
        </is>
      </c>
      <c r="N42" s="11" t="inlineStr">
        <is>
          <t>https://toyohashi-chuo.ed.jp/?page_id=53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愛知県</t>
        </is>
      </c>
      <c r="C43" s="5" t="inlineStr">
        <is>
          <t>名古屋市中村区</t>
        </is>
      </c>
      <c r="D43" s="5" t="inlineStr">
        <is>
          <t>同朋高等学校</t>
        </is>
      </c>
      <c r="E43" s="6" t="inlineStr">
        <is>
          <t>052-411-1159</t>
        </is>
      </c>
      <c r="F43" s="13" t="inlineStr">
        <is>
          <t>中</t>
        </is>
      </c>
      <c r="G43" s="5" t="inlineStr">
        <is>
          <t>普通科・専門学科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公式サイトの職員室の番号。入試広報室は052-411-1216。ほかの番号を載せるサイトもあり</t>
        </is>
      </c>
      <c r="N43" s="11" t="inlineStr">
        <is>
          <t>https://www.doho-h.ed.jp/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愛知県</t>
        </is>
      </c>
      <c r="C44" s="5" t="inlineStr">
        <is>
          <t>名古屋市瑞穂区</t>
        </is>
      </c>
      <c r="D44" s="5" t="inlineStr">
        <is>
          <t>名古屋葵大学高等学校</t>
        </is>
      </c>
      <c r="E44" s="6" t="inlineStr">
        <is>
          <t>052-841-8181</t>
        </is>
      </c>
      <c r="F44" s="7" t="inlineStr">
        <is>
          <t>高</t>
        </is>
      </c>
      <c r="G44" s="5" t="inlineStr">
        <is>
          <t>普通科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公式サイトで確認。中高共通。【校名変更】2025年4月に名古屋女子大学高校から改称</t>
        </is>
      </c>
      <c r="N44" s="11" t="inlineStr">
        <is>
          <t>https://www.nagoya-aoi.ed.jp/contact/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愛知県</t>
        </is>
      </c>
      <c r="C45" s="5" t="inlineStr">
        <is>
          <t>名古屋市瑞穂区</t>
        </is>
      </c>
      <c r="D45" s="5" t="inlineStr">
        <is>
          <t>名古屋大谷高等学校</t>
        </is>
      </c>
      <c r="E45" s="6" t="inlineStr">
        <is>
          <t>052-852-1121</t>
        </is>
      </c>
      <c r="F45" s="7" t="inlineStr">
        <is>
          <t>高</t>
        </is>
      </c>
      <c r="G45" s="5" t="inlineStr">
        <is>
          <t>普通科・専門学科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公式サイトで確認</t>
        </is>
      </c>
      <c r="N45" s="11" t="inlineStr">
        <is>
          <t>https://nagoyaotani.owari.ac.jp/access/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愛知県</t>
        </is>
      </c>
      <c r="C46" s="5" t="inlineStr">
        <is>
          <t>名古屋市千種区</t>
        </is>
      </c>
      <c r="D46" s="5" t="inlineStr">
        <is>
          <t>名古屋経済大学市邨高等学校</t>
        </is>
      </c>
      <c r="E46" s="6" t="inlineStr">
        <is>
          <t>052-721-0161</t>
        </is>
      </c>
      <c r="F46" s="7" t="inlineStr">
        <is>
          <t>高</t>
        </is>
      </c>
      <c r="G46" s="5" t="inlineStr">
        <is>
          <t>普通科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公式資料に「代表」と記載</t>
        </is>
      </c>
      <c r="N46" s="11" t="inlineStr">
        <is>
          <t>https://ichimura.ed.jp/access/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愛知県</t>
        </is>
      </c>
      <c r="C47" s="5" t="inlineStr">
        <is>
          <t>名古屋市瑞穂区</t>
        </is>
      </c>
      <c r="D47" s="5" t="inlineStr">
        <is>
          <t>名古屋経済大学高蔵高等学校</t>
        </is>
      </c>
      <c r="E47" s="6" t="inlineStr">
        <is>
          <t>052-853-0050</t>
        </is>
      </c>
      <c r="F47" s="7" t="inlineStr">
        <is>
          <t>高</t>
        </is>
      </c>
      <c r="G47" s="5" t="inlineStr">
        <is>
          <t>普通科・専門学科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inlineStr">
        <is>
          <t>公式サイトで確認。中高共通</t>
        </is>
      </c>
      <c r="N47" s="11" t="inlineStr">
        <is>
          <t>https://www.takakura-hj.info/access</t>
        </is>
      </c>
      <c r="O47" s="12" t="inlineStr">
        <is>
          <t>開く</t>
        </is>
      </c>
    </row>
    <row r="48">
      <c r="A48" s="4" t="n">
        <v>44</v>
      </c>
      <c r="B48" s="5" t="inlineStr">
        <is>
          <t>愛知県</t>
        </is>
      </c>
      <c r="C48" s="5" t="inlineStr">
        <is>
          <t>名古屋市昭和区</t>
        </is>
      </c>
      <c r="D48" s="5" t="inlineStr">
        <is>
          <t>名古屋工業高等学校</t>
        </is>
      </c>
      <c r="E48" s="6" t="inlineStr">
        <is>
          <t>052-871-2681</t>
        </is>
      </c>
      <c r="F48" s="7" t="inlineStr">
        <is>
          <t>高</t>
        </is>
      </c>
      <c r="G48" s="5" t="inlineStr">
        <is>
          <t>専門学科</t>
        </is>
      </c>
      <c r="H48" s="8" t="n"/>
      <c r="I48" s="9" t="n"/>
      <c r="J48" s="9" t="inlineStr">
        <is>
          <t>未架電</t>
        </is>
      </c>
      <c r="K48" s="8" t="n"/>
      <c r="L48" s="9" t="n"/>
      <c r="M48" s="10" t="inlineStr">
        <is>
          <t>公式サイトと愛知県私学協会の資料で一致（私立）</t>
        </is>
      </c>
      <c r="N48" s="11" t="inlineStr">
        <is>
          <t>https://nagoya-th.ed.jp/ ; https://www.aichi-shigaku.gr.jp/guidebook2025/pageindices/index68.html</t>
        </is>
      </c>
      <c r="O48" s="12" t="inlineStr">
        <is>
          <t>開く</t>
        </is>
      </c>
    </row>
    <row r="49">
      <c r="A49" s="4" t="n">
        <v>45</v>
      </c>
      <c r="B49" s="5" t="inlineStr">
        <is>
          <t>愛知県</t>
        </is>
      </c>
      <c r="C49" s="5" t="inlineStr">
        <is>
          <t>名古屋市東区</t>
        </is>
      </c>
      <c r="D49" s="5" t="inlineStr">
        <is>
          <t>名古屋高等学校</t>
        </is>
      </c>
      <c r="E49" s="6" t="inlineStr">
        <is>
          <t>052-721-5271</t>
        </is>
      </c>
      <c r="F49" s="7" t="inlineStr">
        <is>
          <t>高</t>
        </is>
      </c>
      <c r="G49" s="5" t="inlineStr">
        <is>
          <t>普通科</t>
        </is>
      </c>
      <c r="H49" s="8" t="n"/>
      <c r="I49" s="9" t="n"/>
      <c r="J49" s="9" t="inlineStr">
        <is>
          <t>未架電</t>
        </is>
      </c>
      <c r="K49" s="8" t="n"/>
      <c r="L49" s="9" t="n"/>
      <c r="M49" s="10" t="inlineStr">
        <is>
          <t>公式サイトで確認。052-722-2835は同窓会の番号</t>
        </is>
      </c>
      <c r="N49" s="11" t="inlineStr">
        <is>
          <t>https://www.meigaku.ac.jp/access/</t>
        </is>
      </c>
      <c r="O49" s="12" t="inlineStr">
        <is>
          <t>開く</t>
        </is>
      </c>
    </row>
    <row r="50">
      <c r="A50" s="4" t="n">
        <v>46</v>
      </c>
      <c r="B50" s="5" t="inlineStr">
        <is>
          <t>愛知県</t>
        </is>
      </c>
      <c r="C50" s="5" t="inlineStr">
        <is>
          <t>名古屋市昭和区</t>
        </is>
      </c>
      <c r="D50" s="5" t="inlineStr">
        <is>
          <t>名古屋国際高等学校</t>
        </is>
      </c>
      <c r="E50" s="6" t="inlineStr">
        <is>
          <t>052-858-2200</t>
        </is>
      </c>
      <c r="F50" s="13" t="inlineStr">
        <is>
          <t>中</t>
        </is>
      </c>
      <c r="G50" s="5" t="inlineStr">
        <is>
          <t>普通科・専門学科</t>
        </is>
      </c>
      <c r="H50" s="8" t="n"/>
      <c r="I50" s="9" t="n"/>
      <c r="J50" s="9" t="inlineStr">
        <is>
          <t>未架電</t>
        </is>
      </c>
      <c r="K50" s="8" t="n"/>
      <c r="L50" s="9" t="n"/>
      <c r="M50" s="10" t="inlineStr">
        <is>
          <t>中高代表として掲載。高校の番号として052-853-5151を載せるサイトもあり食い違い</t>
        </is>
      </c>
      <c r="N50" s="11" t="inlineStr">
        <is>
          <t>https://www.unesco-school.mext.go.jp/schools/list/nagoya-international-junior-senior-high-school/ ; https://www.aichi.sc/gakkou/kokusai/</t>
        </is>
      </c>
      <c r="O50" s="12" t="inlineStr">
        <is>
          <t>開く</t>
        </is>
      </c>
    </row>
    <row r="51">
      <c r="A51" s="4" t="n">
        <v>47</v>
      </c>
      <c r="B51" s="5" t="inlineStr">
        <is>
          <t>愛知県</t>
        </is>
      </c>
      <c r="C51" s="5" t="inlineStr">
        <is>
          <t>名古屋市中区</t>
        </is>
      </c>
      <c r="D51" s="5" t="inlineStr">
        <is>
          <t>名古屋たちばな高等学校</t>
        </is>
      </c>
      <c r="E51" s="6" t="inlineStr">
        <is>
          <t>052-322-1911</t>
        </is>
      </c>
      <c r="F51" s="7" t="inlineStr">
        <is>
          <t>高</t>
        </is>
      </c>
      <c r="G51" s="5" t="inlineStr">
        <is>
          <t>専門学科</t>
        </is>
      </c>
      <c r="H51" s="8" t="n"/>
      <c r="I51" s="9" t="n"/>
      <c r="J51" s="9" t="inlineStr">
        <is>
          <t>未架電</t>
        </is>
      </c>
      <c r="K51" s="8" t="n"/>
      <c r="L51" s="9" t="n"/>
      <c r="M51" s="10" t="inlineStr">
        <is>
          <t>公式サイトで確認</t>
        </is>
      </c>
      <c r="N51" s="11" t="inlineStr">
        <is>
          <t>https://tachibana-hs.ed.jp/</t>
        </is>
      </c>
      <c r="O51" s="12" t="inlineStr">
        <is>
          <t>開く</t>
        </is>
      </c>
    </row>
    <row r="52">
      <c r="A52" s="4" t="n">
        <v>48</v>
      </c>
      <c r="B52" s="5" t="inlineStr">
        <is>
          <t>愛知県</t>
        </is>
      </c>
      <c r="C52" s="5" t="inlineStr">
        <is>
          <t>名古屋市昭和区</t>
        </is>
      </c>
      <c r="D52" s="5" t="inlineStr">
        <is>
          <t>南山高等学校 女子部</t>
        </is>
      </c>
      <c r="E52" s="6" t="inlineStr">
        <is>
          <t>052-831-0704</t>
        </is>
      </c>
      <c r="F52" s="7" t="inlineStr">
        <is>
          <t>高</t>
        </is>
      </c>
      <c r="G52" s="5" t="inlineStr">
        <is>
          <t>普通科</t>
        </is>
      </c>
      <c r="H52" s="8" t="n"/>
      <c r="I52" s="9" t="n"/>
      <c r="J52" s="9" t="inlineStr">
        <is>
          <t>未架電</t>
        </is>
      </c>
      <c r="K52" s="8" t="n"/>
      <c r="L52" s="9" t="n"/>
      <c r="M52" s="10" t="inlineStr">
        <is>
          <t>公式サイトで確認。中高共通。男子部とは別番号</t>
        </is>
      </c>
      <c r="N52" s="11" t="inlineStr">
        <is>
          <t>https://www.nanzan-girls.ed.jp/access.html</t>
        </is>
      </c>
      <c r="O52" s="12" t="inlineStr">
        <is>
          <t>開く</t>
        </is>
      </c>
    </row>
    <row r="53">
      <c r="A53" s="4" t="n">
        <v>49</v>
      </c>
      <c r="B53" s="5" t="inlineStr">
        <is>
          <t>愛知県</t>
        </is>
      </c>
      <c r="C53" s="5" t="inlineStr">
        <is>
          <t>名古屋市昭和区</t>
        </is>
      </c>
      <c r="D53" s="5" t="inlineStr">
        <is>
          <t>南山高等学校 男子部</t>
        </is>
      </c>
      <c r="E53" s="6" t="inlineStr">
        <is>
          <t>052-831-6455</t>
        </is>
      </c>
      <c r="F53" s="7" t="inlineStr">
        <is>
          <t>高</t>
        </is>
      </c>
      <c r="G53" s="5" t="inlineStr">
        <is>
          <t>普通科</t>
        </is>
      </c>
      <c r="H53" s="8" t="n"/>
      <c r="I53" s="9" t="n"/>
      <c r="J53" s="9" t="inlineStr">
        <is>
          <t>未架電</t>
        </is>
      </c>
      <c r="K53" s="8" t="n"/>
      <c r="L53" s="9" t="n"/>
      <c r="M53" s="10" t="inlineStr">
        <is>
          <t>公式サイトで確認。女子部とは別番号</t>
        </is>
      </c>
      <c r="N53" s="11" t="inlineStr">
        <is>
          <t>https://www.nanzan-boys.ed.jp/</t>
        </is>
      </c>
      <c r="O53" s="12" t="inlineStr">
        <is>
          <t>開く</t>
        </is>
      </c>
    </row>
    <row r="54">
      <c r="A54" s="4" t="n">
        <v>50</v>
      </c>
      <c r="B54" s="5" t="inlineStr">
        <is>
          <t>愛知県</t>
        </is>
      </c>
      <c r="C54" s="5" t="inlineStr">
        <is>
          <t>美浜町</t>
        </is>
      </c>
      <c r="D54" s="5" t="inlineStr">
        <is>
          <t>日本福祉大学付属高等学校</t>
        </is>
      </c>
      <c r="E54" s="6" t="inlineStr">
        <is>
          <t>0569-87-2311</t>
        </is>
      </c>
      <c r="F54" s="7" t="inlineStr">
        <is>
          <t>高</t>
        </is>
      </c>
      <c r="G54" s="5" t="inlineStr">
        <is>
          <t>普通科</t>
        </is>
      </c>
      <c r="H54" s="8" t="n"/>
      <c r="I54" s="9" t="n"/>
      <c r="J54" s="9" t="inlineStr">
        <is>
          <t>未架電</t>
        </is>
      </c>
      <c r="K54" s="8" t="n"/>
      <c r="L54" s="9" t="n"/>
      <c r="M54" s="10" t="inlineStr">
        <is>
          <t>公式サイトで確認。大学の代表（0569-87-2211）とは別</t>
        </is>
      </c>
      <c r="N54" s="11" t="inlineStr">
        <is>
          <t>https://www.n-fukushi.ac.jp/koukou/</t>
        </is>
      </c>
      <c r="O54" s="12" t="inlineStr">
        <is>
          <t>開く</t>
        </is>
      </c>
    </row>
    <row r="55">
      <c r="A55" s="4" t="n">
        <v>51</v>
      </c>
      <c r="B55" s="5" t="inlineStr">
        <is>
          <t>愛知県</t>
        </is>
      </c>
      <c r="C55" s="5" t="inlineStr">
        <is>
          <t>岡崎市</t>
        </is>
      </c>
      <c r="D55" s="5" t="inlineStr">
        <is>
          <t>人間環境大学附属岡崎高等学校</t>
        </is>
      </c>
      <c r="E55" s="6" t="inlineStr">
        <is>
          <t>0564-22-0274</t>
        </is>
      </c>
      <c r="F55" s="7" t="inlineStr">
        <is>
          <t>高</t>
        </is>
      </c>
      <c r="G55" s="5" t="inlineStr">
        <is>
          <t>普通科</t>
        </is>
      </c>
      <c r="H55" s="8" t="n"/>
      <c r="I55" s="9" t="n"/>
      <c r="J55" s="9" t="inlineStr">
        <is>
          <t>未架電</t>
        </is>
      </c>
      <c r="K55" s="8" t="n"/>
      <c r="L55" s="9" t="n"/>
      <c r="M55" s="10" t="inlineStr">
        <is>
          <t>公式サイトで確認。2022年に旧校名から改称</t>
        </is>
      </c>
      <c r="N55" s="11" t="inlineStr">
        <is>
          <t>https://www.jinkan-okazaki.ed.jp/about/</t>
        </is>
      </c>
      <c r="O55" s="12" t="inlineStr">
        <is>
          <t>開く</t>
        </is>
      </c>
    </row>
    <row r="56">
      <c r="A56" s="4" t="n">
        <v>52</v>
      </c>
      <c r="B56" s="5" t="inlineStr">
        <is>
          <t>愛知県</t>
        </is>
      </c>
      <c r="C56" s="5" t="inlineStr">
        <is>
          <t>岡崎市</t>
        </is>
      </c>
      <c r="D56" s="5" t="inlineStr">
        <is>
          <t>光ヶ丘女子高等学校</t>
        </is>
      </c>
      <c r="E56" s="6" t="inlineStr">
        <is>
          <t>0564-51-5651</t>
        </is>
      </c>
      <c r="F56" s="7" t="inlineStr">
        <is>
          <t>高</t>
        </is>
      </c>
      <c r="G56" s="5" t="inlineStr">
        <is>
          <t>普通科・専門学科</t>
        </is>
      </c>
      <c r="H56" s="8" t="n"/>
      <c r="I56" s="9" t="n"/>
      <c r="J56" s="9" t="inlineStr">
        <is>
          <t>未架電</t>
        </is>
      </c>
      <c r="K56" s="8" t="n"/>
      <c r="L56" s="9" t="n"/>
      <c r="M56" s="10" t="inlineStr">
        <is>
          <t>公式サイトで確認</t>
        </is>
      </c>
      <c r="N56" s="11" t="inlineStr">
        <is>
          <t>https://hikarigaoka-h.ed.jp/</t>
        </is>
      </c>
      <c r="O56" s="12" t="inlineStr">
        <is>
          <t>開く</t>
        </is>
      </c>
    </row>
    <row r="57">
      <c r="A57" s="4" t="n">
        <v>53</v>
      </c>
      <c r="B57" s="5" t="inlineStr">
        <is>
          <t>愛知県</t>
        </is>
      </c>
      <c r="C57" s="5" t="inlineStr">
        <is>
          <t>豊橋市</t>
        </is>
      </c>
      <c r="D57" s="5" t="inlineStr">
        <is>
          <t>藤ノ花女子高等学校</t>
        </is>
      </c>
      <c r="E57" s="6" t="inlineStr">
        <is>
          <t>0532-61-5468</t>
        </is>
      </c>
      <c r="F57" s="7" t="inlineStr">
        <is>
          <t>高</t>
        </is>
      </c>
      <c r="G57" s="5" t="inlineStr">
        <is>
          <t>普通科・専門学科</t>
        </is>
      </c>
      <c r="H57" s="8" t="n"/>
      <c r="I57" s="9" t="n"/>
      <c r="J57" s="9" t="inlineStr">
        <is>
          <t>未架電</t>
        </is>
      </c>
      <c r="K57" s="8" t="n"/>
      <c r="L57" s="9" t="n"/>
      <c r="M57" s="10" t="inlineStr">
        <is>
          <t>公式サイトで確認</t>
        </is>
      </c>
      <c r="N57" s="11" t="inlineStr">
        <is>
          <t>https://www.fujinohana-h.ed.jp/</t>
        </is>
      </c>
      <c r="O57" s="12" t="inlineStr">
        <is>
          <t>開く</t>
        </is>
      </c>
    </row>
    <row r="58">
      <c r="A58" s="4" t="n">
        <v>54</v>
      </c>
      <c r="B58" s="5" t="inlineStr">
        <is>
          <t>愛知県</t>
        </is>
      </c>
      <c r="C58" s="5" t="inlineStr">
        <is>
          <t>小牧市</t>
        </is>
      </c>
      <c r="D58" s="5" t="inlineStr">
        <is>
          <t>誉高等学校</t>
        </is>
      </c>
      <c r="E58" s="6" t="inlineStr">
        <is>
          <t>0568-79-7700</t>
        </is>
      </c>
      <c r="F58" s="7" t="inlineStr">
        <is>
          <t>高</t>
        </is>
      </c>
      <c r="G58" s="5" t="inlineStr">
        <is>
          <t>普通科</t>
        </is>
      </c>
      <c r="H58" s="8" t="n"/>
      <c r="I58" s="9" t="n"/>
      <c r="J58" s="9" t="inlineStr">
        <is>
          <t>未架電</t>
        </is>
      </c>
      <c r="K58" s="8" t="n"/>
      <c r="L58" s="9" t="n"/>
      <c r="M58" s="10" t="inlineStr">
        <is>
          <t>小牧市のサイトほかで一致、公式未確認</t>
        </is>
      </c>
      <c r="N58" s="11" t="inlineStr">
        <is>
          <t>https://www.mapion.co.jp/phonebook/M11004/23219/ILSP0000041861_ipclm/ ; https://www.city.komaki.aichi.jp/admin/soshiki/fumei/highscool/4872.html</t>
        </is>
      </c>
      <c r="O58" s="12" t="inlineStr">
        <is>
          <t>開く</t>
        </is>
      </c>
    </row>
    <row r="59">
      <c r="A59" s="4" t="n">
        <v>55</v>
      </c>
      <c r="B59" s="5" t="inlineStr">
        <is>
          <t>愛知県</t>
        </is>
      </c>
      <c r="C59" s="5" t="inlineStr">
        <is>
          <t>名古屋市中村区</t>
        </is>
      </c>
      <c r="D59" s="5" t="inlineStr">
        <is>
          <t>名城大学附属高等学校</t>
        </is>
      </c>
      <c r="E59" s="6" t="inlineStr">
        <is>
          <t>052-481-7436</t>
        </is>
      </c>
      <c r="F59" s="7" t="inlineStr">
        <is>
          <t>高</t>
        </is>
      </c>
      <c r="G59" s="5" t="inlineStr">
        <is>
          <t>普通科・総合学科</t>
        </is>
      </c>
      <c r="H59" s="8" t="n"/>
      <c r="I59" s="9" t="n"/>
      <c r="J59" s="9" t="inlineStr">
        <is>
          <t>未架電</t>
        </is>
      </c>
      <c r="K59" s="8" t="n"/>
      <c r="L59" s="9" t="n"/>
      <c r="M59" s="10" t="inlineStr">
        <is>
          <t>公式サイトで確認</t>
        </is>
      </c>
      <c r="N59" s="11" t="inlineStr">
        <is>
          <t>https://www.meijo-h.ed.jp/profile/</t>
        </is>
      </c>
      <c r="O59" s="12" t="inlineStr">
        <is>
          <t>開く</t>
        </is>
      </c>
    </row>
  </sheetData>
  <autoFilter ref="A4:O59"/>
  <conditionalFormatting sqref="A5:O59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59" showDropDown="0" showInputMessage="0" showErrorMessage="0" allowBlank="1" type="list">
      <formula1>"未架電,不在・折返し待ち,担当者不在,資料送付,アポ獲得,検討中,NG,番号不明"</formula1>
    </dataValidation>
    <dataValidation sqref="H5:H59 K5:K59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名古屋市昭和区</t>
        </is>
      </c>
      <c r="B4" s="14">
        <f>COUNTIF('架電リスト'!$C$5:$C$59,A4)</f>
        <v/>
      </c>
      <c r="C4" s="14">
        <f>COUNTIFS('架電リスト'!$C$5:$C$59,A4,'架電リスト'!$E$5:$E$59,"&lt;&gt;")</f>
        <v/>
      </c>
      <c r="D4" s="14">
        <f>B4-COUNTIFS('架電リスト'!$C$5:$C$59,A4,'架電リスト'!$J$5:$J$59,"未架電")-COUNTIFS('架電リスト'!$C$5:$C$59,A4,'架電リスト'!$J$5:$J$59,"")</f>
        <v/>
      </c>
      <c r="E4" s="14">
        <f>COUNTIFS('架電リスト'!$C$5:$C$59,$A4,'架電リスト'!$J$5:$J$59,"不在・折返し待ち")</f>
        <v/>
      </c>
      <c r="F4" s="14">
        <f>COUNTIFS('架電リスト'!$C$5:$C$59,$A4,'架電リスト'!$J$5:$J$59,"担当者不在")</f>
        <v/>
      </c>
      <c r="G4" s="14">
        <f>COUNTIFS('架電リスト'!$C$5:$C$59,$A4,'架電リスト'!$J$5:$J$59,"資料送付")</f>
        <v/>
      </c>
      <c r="H4" s="14">
        <f>COUNTIFS('架電リスト'!$C$5:$C$59,$A4,'架電リスト'!$J$5:$J$59,"アポ獲得")</f>
        <v/>
      </c>
      <c r="I4" s="14">
        <f>COUNTIFS('架電リスト'!$C$5:$C$59,$A4,'架電リスト'!$J$5:$J$59,"検討中")</f>
        <v/>
      </c>
      <c r="J4" s="14">
        <f>COUNTIFS('架電リスト'!$C$5:$C$59,$A4,'架電リスト'!$J$5:$J$59,"NG")</f>
        <v/>
      </c>
      <c r="K4" s="14">
        <f>COUNTIFS('架電リスト'!$C$5:$C$59,$A4,'架電リスト'!$J$5:$J$59,"番号不明")</f>
        <v/>
      </c>
    </row>
    <row r="5">
      <c r="A5" s="14" t="inlineStr">
        <is>
          <t>名古屋市千種区</t>
        </is>
      </c>
      <c r="B5" s="14">
        <f>COUNTIF('架電リスト'!$C$5:$C$59,A5)</f>
        <v/>
      </c>
      <c r="C5" s="14">
        <f>COUNTIFS('架電リスト'!$C$5:$C$59,A5,'架電リスト'!$E$5:$E$59,"&lt;&gt;")</f>
        <v/>
      </c>
      <c r="D5" s="14">
        <f>B5-COUNTIFS('架電リスト'!$C$5:$C$59,A5,'架電リスト'!$J$5:$J$59,"未架電")-COUNTIFS('架電リスト'!$C$5:$C$59,A5,'架電リスト'!$J$5:$J$59,"")</f>
        <v/>
      </c>
      <c r="E5" s="14">
        <f>COUNTIFS('架電リスト'!$C$5:$C$59,$A5,'架電リスト'!$J$5:$J$59,"不在・折返し待ち")</f>
        <v/>
      </c>
      <c r="F5" s="14">
        <f>COUNTIFS('架電リスト'!$C$5:$C$59,$A5,'架電リスト'!$J$5:$J$59,"担当者不在")</f>
        <v/>
      </c>
      <c r="G5" s="14">
        <f>COUNTIFS('架電リスト'!$C$5:$C$59,$A5,'架電リスト'!$J$5:$J$59,"資料送付")</f>
        <v/>
      </c>
      <c r="H5" s="14">
        <f>COUNTIFS('架電リスト'!$C$5:$C$59,$A5,'架電リスト'!$J$5:$J$59,"アポ獲得")</f>
        <v/>
      </c>
      <c r="I5" s="14">
        <f>COUNTIFS('架電リスト'!$C$5:$C$59,$A5,'架電リスト'!$J$5:$J$59,"検討中")</f>
        <v/>
      </c>
      <c r="J5" s="14">
        <f>COUNTIFS('架電リスト'!$C$5:$C$59,$A5,'架電リスト'!$J$5:$J$59,"NG")</f>
        <v/>
      </c>
      <c r="K5" s="14">
        <f>COUNTIFS('架電リスト'!$C$5:$C$59,$A5,'架電リスト'!$J$5:$J$59,"番号不明")</f>
        <v/>
      </c>
    </row>
    <row r="6">
      <c r="A6" s="14" t="inlineStr">
        <is>
          <t>名古屋市瑞穂区</t>
        </is>
      </c>
      <c r="B6" s="14">
        <f>COUNTIF('架電リスト'!$C$5:$C$59,A6)</f>
        <v/>
      </c>
      <c r="C6" s="14">
        <f>COUNTIFS('架電リスト'!$C$5:$C$59,A6,'架電リスト'!$E$5:$E$59,"&lt;&gt;")</f>
        <v/>
      </c>
      <c r="D6" s="14">
        <f>B6-COUNTIFS('架電リスト'!$C$5:$C$59,A6,'架電リスト'!$J$5:$J$59,"未架電")-COUNTIFS('架電リスト'!$C$5:$C$59,A6,'架電リスト'!$J$5:$J$59,"")</f>
        <v/>
      </c>
      <c r="E6" s="14">
        <f>COUNTIFS('架電リスト'!$C$5:$C$59,$A6,'架電リスト'!$J$5:$J$59,"不在・折返し待ち")</f>
        <v/>
      </c>
      <c r="F6" s="14">
        <f>COUNTIFS('架電リスト'!$C$5:$C$59,$A6,'架電リスト'!$J$5:$J$59,"担当者不在")</f>
        <v/>
      </c>
      <c r="G6" s="14">
        <f>COUNTIFS('架電リスト'!$C$5:$C$59,$A6,'架電リスト'!$J$5:$J$59,"資料送付")</f>
        <v/>
      </c>
      <c r="H6" s="14">
        <f>COUNTIFS('架電リスト'!$C$5:$C$59,$A6,'架電リスト'!$J$5:$J$59,"アポ獲得")</f>
        <v/>
      </c>
      <c r="I6" s="14">
        <f>COUNTIFS('架電リスト'!$C$5:$C$59,$A6,'架電リスト'!$J$5:$J$59,"検討中")</f>
        <v/>
      </c>
      <c r="J6" s="14">
        <f>COUNTIFS('架電リスト'!$C$5:$C$59,$A6,'架電リスト'!$J$5:$J$59,"NG")</f>
        <v/>
      </c>
      <c r="K6" s="14">
        <f>COUNTIFS('架電リスト'!$C$5:$C$59,$A6,'架電リスト'!$J$5:$J$59,"番号不明")</f>
        <v/>
      </c>
    </row>
    <row r="7">
      <c r="A7" s="14" t="inlineStr">
        <is>
          <t>岡崎市</t>
        </is>
      </c>
      <c r="B7" s="14">
        <f>COUNTIF('架電リスト'!$C$5:$C$59,A7)</f>
        <v/>
      </c>
      <c r="C7" s="14">
        <f>COUNTIFS('架電リスト'!$C$5:$C$59,A7,'架電リスト'!$E$5:$E$59,"&lt;&gt;")</f>
        <v/>
      </c>
      <c r="D7" s="14">
        <f>B7-COUNTIFS('架電リスト'!$C$5:$C$59,A7,'架電リスト'!$J$5:$J$59,"未架電")-COUNTIFS('架電リスト'!$C$5:$C$59,A7,'架電リスト'!$J$5:$J$59,"")</f>
        <v/>
      </c>
      <c r="E7" s="14">
        <f>COUNTIFS('架電リスト'!$C$5:$C$59,$A7,'架電リスト'!$J$5:$J$59,"不在・折返し待ち")</f>
        <v/>
      </c>
      <c r="F7" s="14">
        <f>COUNTIFS('架電リスト'!$C$5:$C$59,$A7,'架電リスト'!$J$5:$J$59,"担当者不在")</f>
        <v/>
      </c>
      <c r="G7" s="14">
        <f>COUNTIFS('架電リスト'!$C$5:$C$59,$A7,'架電リスト'!$J$5:$J$59,"資料送付")</f>
        <v/>
      </c>
      <c r="H7" s="14">
        <f>COUNTIFS('架電リスト'!$C$5:$C$59,$A7,'架電リスト'!$J$5:$J$59,"アポ獲得")</f>
        <v/>
      </c>
      <c r="I7" s="14">
        <f>COUNTIFS('架電リスト'!$C$5:$C$59,$A7,'架電リスト'!$J$5:$J$59,"検討中")</f>
        <v/>
      </c>
      <c r="J7" s="14">
        <f>COUNTIFS('架電リスト'!$C$5:$C$59,$A7,'架電リスト'!$J$5:$J$59,"NG")</f>
        <v/>
      </c>
      <c r="K7" s="14">
        <f>COUNTIFS('架電リスト'!$C$5:$C$59,$A7,'架電リスト'!$J$5:$J$59,"番号不明")</f>
        <v/>
      </c>
    </row>
    <row r="8">
      <c r="A8" s="14" t="inlineStr">
        <is>
          <t>名古屋市東区</t>
        </is>
      </c>
      <c r="B8" s="14">
        <f>COUNTIF('架電リスト'!$C$5:$C$59,A8)</f>
        <v/>
      </c>
      <c r="C8" s="14">
        <f>COUNTIFS('架電リスト'!$C$5:$C$59,A8,'架電リスト'!$E$5:$E$59,"&lt;&gt;")</f>
        <v/>
      </c>
      <c r="D8" s="14">
        <f>B8-COUNTIFS('架電リスト'!$C$5:$C$59,A8,'架電リスト'!$J$5:$J$59,"未架電")-COUNTIFS('架電リスト'!$C$5:$C$59,A8,'架電リスト'!$J$5:$J$59,"")</f>
        <v/>
      </c>
      <c r="E8" s="14">
        <f>COUNTIFS('架電リスト'!$C$5:$C$59,$A8,'架電リスト'!$J$5:$J$59,"不在・折返し待ち")</f>
        <v/>
      </c>
      <c r="F8" s="14">
        <f>COUNTIFS('架電リスト'!$C$5:$C$59,$A8,'架電リスト'!$J$5:$J$59,"担当者不在")</f>
        <v/>
      </c>
      <c r="G8" s="14">
        <f>COUNTIFS('架電リスト'!$C$5:$C$59,$A8,'架電リスト'!$J$5:$J$59,"資料送付")</f>
        <v/>
      </c>
      <c r="H8" s="14">
        <f>COUNTIFS('架電リスト'!$C$5:$C$59,$A8,'架電リスト'!$J$5:$J$59,"アポ獲得")</f>
        <v/>
      </c>
      <c r="I8" s="14">
        <f>COUNTIFS('架電リスト'!$C$5:$C$59,$A8,'架電リスト'!$J$5:$J$59,"検討中")</f>
        <v/>
      </c>
      <c r="J8" s="14">
        <f>COUNTIFS('架電リスト'!$C$5:$C$59,$A8,'架電リスト'!$J$5:$J$59,"NG")</f>
        <v/>
      </c>
      <c r="K8" s="14">
        <f>COUNTIFS('架電リスト'!$C$5:$C$59,$A8,'架電リスト'!$J$5:$J$59,"番号不明")</f>
        <v/>
      </c>
    </row>
    <row r="9">
      <c r="A9" s="14" t="inlineStr">
        <is>
          <t>豊橋市</t>
        </is>
      </c>
      <c r="B9" s="14">
        <f>COUNTIF('架電リスト'!$C$5:$C$59,A9)</f>
        <v/>
      </c>
      <c r="C9" s="14">
        <f>COUNTIFS('架電リスト'!$C$5:$C$59,A9,'架電リスト'!$E$5:$E$59,"&lt;&gt;")</f>
        <v/>
      </c>
      <c r="D9" s="14">
        <f>B9-COUNTIFS('架電リスト'!$C$5:$C$59,A9,'架電リスト'!$J$5:$J$59,"未架電")-COUNTIFS('架電リスト'!$C$5:$C$59,A9,'架電リスト'!$J$5:$J$59,"")</f>
        <v/>
      </c>
      <c r="E9" s="14">
        <f>COUNTIFS('架電リスト'!$C$5:$C$59,$A9,'架電リスト'!$J$5:$J$59,"不在・折返し待ち")</f>
        <v/>
      </c>
      <c r="F9" s="14">
        <f>COUNTIFS('架電リスト'!$C$5:$C$59,$A9,'架電リスト'!$J$5:$J$59,"担当者不在")</f>
        <v/>
      </c>
      <c r="G9" s="14">
        <f>COUNTIFS('架電リスト'!$C$5:$C$59,$A9,'架電リスト'!$J$5:$J$59,"資料送付")</f>
        <v/>
      </c>
      <c r="H9" s="14">
        <f>COUNTIFS('架電リスト'!$C$5:$C$59,$A9,'架電リスト'!$J$5:$J$59,"アポ獲得")</f>
        <v/>
      </c>
      <c r="I9" s="14">
        <f>COUNTIFS('架電リスト'!$C$5:$C$59,$A9,'架電リスト'!$J$5:$J$59,"検討中")</f>
        <v/>
      </c>
      <c r="J9" s="14">
        <f>COUNTIFS('架電リスト'!$C$5:$C$59,$A9,'架電リスト'!$J$5:$J$59,"NG")</f>
        <v/>
      </c>
      <c r="K9" s="14">
        <f>COUNTIFS('架電リスト'!$C$5:$C$59,$A9,'架電リスト'!$J$5:$J$59,"番号不明")</f>
        <v/>
      </c>
    </row>
    <row r="10">
      <c r="A10" s="14" t="inlineStr">
        <is>
          <t>一宮市</t>
        </is>
      </c>
      <c r="B10" s="14">
        <f>COUNTIF('架電リスト'!$C$5:$C$59,A10)</f>
        <v/>
      </c>
      <c r="C10" s="14">
        <f>COUNTIFS('架電リスト'!$C$5:$C$59,A10,'架電リスト'!$E$5:$E$59,"&lt;&gt;")</f>
        <v/>
      </c>
      <c r="D10" s="14">
        <f>B10-COUNTIFS('架電リスト'!$C$5:$C$59,A10,'架電リスト'!$J$5:$J$59,"未架電")-COUNTIFS('架電リスト'!$C$5:$C$59,A10,'架電リスト'!$J$5:$J$59,"")</f>
        <v/>
      </c>
      <c r="E10" s="14">
        <f>COUNTIFS('架電リスト'!$C$5:$C$59,$A10,'架電リスト'!$J$5:$J$59,"不在・折返し待ち")</f>
        <v/>
      </c>
      <c r="F10" s="14">
        <f>COUNTIFS('架電リスト'!$C$5:$C$59,$A10,'架電リスト'!$J$5:$J$59,"担当者不在")</f>
        <v/>
      </c>
      <c r="G10" s="14">
        <f>COUNTIFS('架電リスト'!$C$5:$C$59,$A10,'架電リスト'!$J$5:$J$59,"資料送付")</f>
        <v/>
      </c>
      <c r="H10" s="14">
        <f>COUNTIFS('架電リスト'!$C$5:$C$59,$A10,'架電リスト'!$J$5:$J$59,"アポ獲得")</f>
        <v/>
      </c>
      <c r="I10" s="14">
        <f>COUNTIFS('架電リスト'!$C$5:$C$59,$A10,'架電リスト'!$J$5:$J$59,"検討中")</f>
        <v/>
      </c>
      <c r="J10" s="14">
        <f>COUNTIFS('架電リスト'!$C$5:$C$59,$A10,'架電リスト'!$J$5:$J$59,"NG")</f>
        <v/>
      </c>
      <c r="K10" s="14">
        <f>COUNTIFS('架電リスト'!$C$5:$C$59,$A10,'架電リスト'!$J$5:$J$59,"番号不明")</f>
        <v/>
      </c>
    </row>
    <row r="11">
      <c r="A11" s="14" t="inlineStr">
        <is>
          <t>瀬戸市</t>
        </is>
      </c>
      <c r="B11" s="14">
        <f>COUNTIF('架電リスト'!$C$5:$C$59,A11)</f>
        <v/>
      </c>
      <c r="C11" s="14">
        <f>COUNTIFS('架電リスト'!$C$5:$C$59,A11,'架電リスト'!$E$5:$E$59,"&lt;&gt;")</f>
        <v/>
      </c>
      <c r="D11" s="14">
        <f>B11-COUNTIFS('架電リスト'!$C$5:$C$59,A11,'架電リスト'!$J$5:$J$59,"未架電")-COUNTIFS('架電リスト'!$C$5:$C$59,A11,'架電リスト'!$J$5:$J$59,"")</f>
        <v/>
      </c>
      <c r="E11" s="14">
        <f>COUNTIFS('架電リスト'!$C$5:$C$59,$A11,'架電リスト'!$J$5:$J$59,"不在・折返し待ち")</f>
        <v/>
      </c>
      <c r="F11" s="14">
        <f>COUNTIFS('架電リスト'!$C$5:$C$59,$A11,'架電リスト'!$J$5:$J$59,"担当者不在")</f>
        <v/>
      </c>
      <c r="G11" s="14">
        <f>COUNTIFS('架電リスト'!$C$5:$C$59,$A11,'架電リスト'!$J$5:$J$59,"資料送付")</f>
        <v/>
      </c>
      <c r="H11" s="14">
        <f>COUNTIFS('架電リスト'!$C$5:$C$59,$A11,'架電リスト'!$J$5:$J$59,"アポ獲得")</f>
        <v/>
      </c>
      <c r="I11" s="14">
        <f>COUNTIFS('架電リスト'!$C$5:$C$59,$A11,'架電リスト'!$J$5:$J$59,"検討中")</f>
        <v/>
      </c>
      <c r="J11" s="14">
        <f>COUNTIFS('架電リスト'!$C$5:$C$59,$A11,'架電リスト'!$J$5:$J$59,"NG")</f>
        <v/>
      </c>
      <c r="K11" s="14">
        <f>COUNTIFS('架電リスト'!$C$5:$C$59,$A11,'架電リスト'!$J$5:$J$59,"番号不明")</f>
        <v/>
      </c>
    </row>
    <row r="12">
      <c r="A12" s="14" t="inlineStr">
        <is>
          <t>豊田市</t>
        </is>
      </c>
      <c r="B12" s="14">
        <f>COUNTIF('架電リスト'!$C$5:$C$59,A12)</f>
        <v/>
      </c>
      <c r="C12" s="14">
        <f>COUNTIFS('架電リスト'!$C$5:$C$59,A12,'架電リスト'!$E$5:$E$59,"&lt;&gt;")</f>
        <v/>
      </c>
      <c r="D12" s="14">
        <f>B12-COUNTIFS('架電リスト'!$C$5:$C$59,A12,'架電リスト'!$J$5:$J$59,"未架電")-COUNTIFS('架電リスト'!$C$5:$C$59,A12,'架電リスト'!$J$5:$J$59,"")</f>
        <v/>
      </c>
      <c r="E12" s="14">
        <f>COUNTIFS('架電リスト'!$C$5:$C$59,$A12,'架電リスト'!$J$5:$J$59,"不在・折返し待ち")</f>
        <v/>
      </c>
      <c r="F12" s="14">
        <f>COUNTIFS('架電リスト'!$C$5:$C$59,$A12,'架電リスト'!$J$5:$J$59,"担当者不在")</f>
        <v/>
      </c>
      <c r="G12" s="14">
        <f>COUNTIFS('架電リスト'!$C$5:$C$59,$A12,'架電リスト'!$J$5:$J$59,"資料送付")</f>
        <v/>
      </c>
      <c r="H12" s="14">
        <f>COUNTIFS('架電リスト'!$C$5:$C$59,$A12,'架電リスト'!$J$5:$J$59,"アポ獲得")</f>
        <v/>
      </c>
      <c r="I12" s="14">
        <f>COUNTIFS('架電リスト'!$C$5:$C$59,$A12,'架電リスト'!$J$5:$J$59,"検討中")</f>
        <v/>
      </c>
      <c r="J12" s="14">
        <f>COUNTIFS('架電リスト'!$C$5:$C$59,$A12,'架電リスト'!$J$5:$J$59,"NG")</f>
        <v/>
      </c>
      <c r="K12" s="14">
        <f>COUNTIFS('架電リスト'!$C$5:$C$59,$A12,'架電リスト'!$J$5:$J$59,"番号不明")</f>
        <v/>
      </c>
    </row>
    <row r="13">
      <c r="A13" s="14" t="inlineStr">
        <is>
          <t>名古屋市中村区</t>
        </is>
      </c>
      <c r="B13" s="14">
        <f>COUNTIF('架電リスト'!$C$5:$C$59,A13)</f>
        <v/>
      </c>
      <c r="C13" s="14">
        <f>COUNTIFS('架電リスト'!$C$5:$C$59,A13,'架電リスト'!$E$5:$E$59,"&lt;&gt;")</f>
        <v/>
      </c>
      <c r="D13" s="14">
        <f>B13-COUNTIFS('架電リスト'!$C$5:$C$59,A13,'架電リスト'!$J$5:$J$59,"未架電")-COUNTIFS('架電リスト'!$C$5:$C$59,A13,'架電リスト'!$J$5:$J$59,"")</f>
        <v/>
      </c>
      <c r="E13" s="14">
        <f>COUNTIFS('架電リスト'!$C$5:$C$59,$A13,'架電リスト'!$J$5:$J$59,"不在・折返し待ち")</f>
        <v/>
      </c>
      <c r="F13" s="14">
        <f>COUNTIFS('架電リスト'!$C$5:$C$59,$A13,'架電リスト'!$J$5:$J$59,"担当者不在")</f>
        <v/>
      </c>
      <c r="G13" s="14">
        <f>COUNTIFS('架電リスト'!$C$5:$C$59,$A13,'架電リスト'!$J$5:$J$59,"資料送付")</f>
        <v/>
      </c>
      <c r="H13" s="14">
        <f>COUNTIFS('架電リスト'!$C$5:$C$59,$A13,'架電リスト'!$J$5:$J$59,"アポ獲得")</f>
        <v/>
      </c>
      <c r="I13" s="14">
        <f>COUNTIFS('架電リスト'!$C$5:$C$59,$A13,'架電リスト'!$J$5:$J$59,"検討中")</f>
        <v/>
      </c>
      <c r="J13" s="14">
        <f>COUNTIFS('架電リスト'!$C$5:$C$59,$A13,'架電リスト'!$J$5:$J$59,"NG")</f>
        <v/>
      </c>
      <c r="K13" s="14">
        <f>COUNTIFS('架電リスト'!$C$5:$C$59,$A13,'架電リスト'!$J$5:$J$59,"番号不明")</f>
        <v/>
      </c>
    </row>
    <row r="14">
      <c r="A14" s="14" t="inlineStr">
        <is>
          <t>稲沢市</t>
        </is>
      </c>
      <c r="B14" s="14">
        <f>COUNTIF('架電リスト'!$C$5:$C$59,A14)</f>
        <v/>
      </c>
      <c r="C14" s="14">
        <f>COUNTIFS('架電リスト'!$C$5:$C$59,A14,'架電リスト'!$E$5:$E$59,"&lt;&gt;")</f>
        <v/>
      </c>
      <c r="D14" s="14">
        <f>B14-COUNTIFS('架電リスト'!$C$5:$C$59,A14,'架電リスト'!$J$5:$J$59,"未架電")-COUNTIFS('架電リスト'!$C$5:$C$59,A14,'架電リスト'!$J$5:$J$59,"")</f>
        <v/>
      </c>
      <c r="E14" s="14">
        <f>COUNTIFS('架電リスト'!$C$5:$C$59,$A14,'架電リスト'!$J$5:$J$59,"不在・折返し待ち")</f>
        <v/>
      </c>
      <c r="F14" s="14">
        <f>COUNTIFS('架電リスト'!$C$5:$C$59,$A14,'架電リスト'!$J$5:$J$59,"担当者不在")</f>
        <v/>
      </c>
      <c r="G14" s="14">
        <f>COUNTIFS('架電リスト'!$C$5:$C$59,$A14,'架電リスト'!$J$5:$J$59,"資料送付")</f>
        <v/>
      </c>
      <c r="H14" s="14">
        <f>COUNTIFS('架電リスト'!$C$5:$C$59,$A14,'架電リスト'!$J$5:$J$59,"アポ獲得")</f>
        <v/>
      </c>
      <c r="I14" s="14">
        <f>COUNTIFS('架電リスト'!$C$5:$C$59,$A14,'架電リスト'!$J$5:$J$59,"検討中")</f>
        <v/>
      </c>
      <c r="J14" s="14">
        <f>COUNTIFS('架電リスト'!$C$5:$C$59,$A14,'架電リスト'!$J$5:$J$59,"NG")</f>
        <v/>
      </c>
      <c r="K14" s="14">
        <f>COUNTIFS('架電リスト'!$C$5:$C$59,$A14,'架電リスト'!$J$5:$J$59,"番号不明")</f>
        <v/>
      </c>
    </row>
    <row r="15">
      <c r="A15" s="14" t="inlineStr">
        <is>
          <t>弥富市</t>
        </is>
      </c>
      <c r="B15" s="14">
        <f>COUNTIF('架電リスト'!$C$5:$C$59,A15)</f>
        <v/>
      </c>
      <c r="C15" s="14">
        <f>COUNTIFS('架電リスト'!$C$5:$C$59,A15,'架電リスト'!$E$5:$E$59,"&lt;&gt;")</f>
        <v/>
      </c>
      <c r="D15" s="14">
        <f>B15-COUNTIFS('架電リスト'!$C$5:$C$59,A15,'架電リスト'!$J$5:$J$59,"未架電")-COUNTIFS('架電リスト'!$C$5:$C$59,A15,'架電リスト'!$J$5:$J$59,"")</f>
        <v/>
      </c>
      <c r="E15" s="14">
        <f>COUNTIFS('架電リスト'!$C$5:$C$59,$A15,'架電リスト'!$J$5:$J$59,"不在・折返し待ち")</f>
        <v/>
      </c>
      <c r="F15" s="14">
        <f>COUNTIFS('架電リスト'!$C$5:$C$59,$A15,'架電リスト'!$J$5:$J$59,"担当者不在")</f>
        <v/>
      </c>
      <c r="G15" s="14">
        <f>COUNTIFS('架電リスト'!$C$5:$C$59,$A15,'架電リスト'!$J$5:$J$59,"資料送付")</f>
        <v/>
      </c>
      <c r="H15" s="14">
        <f>COUNTIFS('架電リスト'!$C$5:$C$59,$A15,'架電リスト'!$J$5:$J$59,"アポ獲得")</f>
        <v/>
      </c>
      <c r="I15" s="14">
        <f>COUNTIFS('架電リスト'!$C$5:$C$59,$A15,'架電リスト'!$J$5:$J$59,"検討中")</f>
        <v/>
      </c>
      <c r="J15" s="14">
        <f>COUNTIFS('架電リスト'!$C$5:$C$59,$A15,'架電リスト'!$J$5:$J$59,"NG")</f>
        <v/>
      </c>
      <c r="K15" s="14">
        <f>COUNTIFS('架電リスト'!$C$5:$C$59,$A15,'架電リスト'!$J$5:$J$59,"番号不明")</f>
        <v/>
      </c>
    </row>
    <row r="16">
      <c r="A16" s="14" t="inlineStr">
        <is>
          <t>安城市</t>
        </is>
      </c>
      <c r="B16" s="14">
        <f>COUNTIF('架電リスト'!$C$5:$C$59,A16)</f>
        <v/>
      </c>
      <c r="C16" s="14">
        <f>COUNTIFS('架電リスト'!$C$5:$C$59,A16,'架電リスト'!$E$5:$E$59,"&lt;&gt;")</f>
        <v/>
      </c>
      <c r="D16" s="14">
        <f>B16-COUNTIFS('架電リスト'!$C$5:$C$59,A16,'架電リスト'!$J$5:$J$59,"未架電")-COUNTIFS('架電リスト'!$C$5:$C$59,A16,'架電リスト'!$J$5:$J$59,"")</f>
        <v/>
      </c>
      <c r="E16" s="14">
        <f>COUNTIFS('架電リスト'!$C$5:$C$59,$A16,'架電リスト'!$J$5:$J$59,"不在・折返し待ち")</f>
        <v/>
      </c>
      <c r="F16" s="14">
        <f>COUNTIFS('架電リスト'!$C$5:$C$59,$A16,'架電リスト'!$J$5:$J$59,"担当者不在")</f>
        <v/>
      </c>
      <c r="G16" s="14">
        <f>COUNTIFS('架電リスト'!$C$5:$C$59,$A16,'架電リスト'!$J$5:$J$59,"資料送付")</f>
        <v/>
      </c>
      <c r="H16" s="14">
        <f>COUNTIFS('架電リスト'!$C$5:$C$59,$A16,'架電リスト'!$J$5:$J$59,"アポ獲得")</f>
        <v/>
      </c>
      <c r="I16" s="14">
        <f>COUNTIFS('架電リスト'!$C$5:$C$59,$A16,'架電リスト'!$J$5:$J$59,"検討中")</f>
        <v/>
      </c>
      <c r="J16" s="14">
        <f>COUNTIFS('架電リスト'!$C$5:$C$59,$A16,'架電リスト'!$J$5:$J$59,"NG")</f>
        <v/>
      </c>
      <c r="K16" s="14">
        <f>COUNTIFS('架電リスト'!$C$5:$C$59,$A16,'架電リスト'!$J$5:$J$59,"番号不明")</f>
        <v/>
      </c>
    </row>
    <row r="17">
      <c r="A17" s="14" t="inlineStr">
        <is>
          <t>長久手市</t>
        </is>
      </c>
      <c r="B17" s="14">
        <f>COUNTIF('架電リスト'!$C$5:$C$59,A17)</f>
        <v/>
      </c>
      <c r="C17" s="14">
        <f>COUNTIFS('架電リスト'!$C$5:$C$59,A17,'架電リスト'!$E$5:$E$59,"&lt;&gt;")</f>
        <v/>
      </c>
      <c r="D17" s="14">
        <f>B17-COUNTIFS('架電リスト'!$C$5:$C$59,A17,'架電リスト'!$J$5:$J$59,"未架電")-COUNTIFS('架電リスト'!$C$5:$C$59,A17,'架電リスト'!$J$5:$J$59,"")</f>
        <v/>
      </c>
      <c r="E17" s="14">
        <f>COUNTIFS('架電リスト'!$C$5:$C$59,$A17,'架電リスト'!$J$5:$J$59,"不在・折返し待ち")</f>
        <v/>
      </c>
      <c r="F17" s="14">
        <f>COUNTIFS('架電リスト'!$C$5:$C$59,$A17,'架電リスト'!$J$5:$J$59,"担当者不在")</f>
        <v/>
      </c>
      <c r="G17" s="14">
        <f>COUNTIFS('架電リスト'!$C$5:$C$59,$A17,'架電リスト'!$J$5:$J$59,"資料送付")</f>
        <v/>
      </c>
      <c r="H17" s="14">
        <f>COUNTIFS('架電リスト'!$C$5:$C$59,$A17,'架電リスト'!$J$5:$J$59,"アポ獲得")</f>
        <v/>
      </c>
      <c r="I17" s="14">
        <f>COUNTIFS('架電リスト'!$C$5:$C$59,$A17,'架電リスト'!$J$5:$J$59,"検討中")</f>
        <v/>
      </c>
      <c r="J17" s="14">
        <f>COUNTIFS('架電リスト'!$C$5:$C$59,$A17,'架電リスト'!$J$5:$J$59,"NG")</f>
        <v/>
      </c>
      <c r="K17" s="14">
        <f>COUNTIFS('架電リスト'!$C$5:$C$59,$A17,'架電リスト'!$J$5:$J$59,"番号不明")</f>
        <v/>
      </c>
    </row>
    <row r="18">
      <c r="A18" s="14" t="inlineStr">
        <is>
          <t>名古屋市守山区</t>
        </is>
      </c>
      <c r="B18" s="14">
        <f>COUNTIF('架電リスト'!$C$5:$C$59,A18)</f>
        <v/>
      </c>
      <c r="C18" s="14">
        <f>COUNTIFS('架電リスト'!$C$5:$C$59,A18,'架電リスト'!$E$5:$E$59,"&lt;&gt;")</f>
        <v/>
      </c>
      <c r="D18" s="14">
        <f>B18-COUNTIFS('架電リスト'!$C$5:$C$59,A18,'架電リスト'!$J$5:$J$59,"未架電")-COUNTIFS('架電リスト'!$C$5:$C$59,A18,'架電リスト'!$J$5:$J$59,"")</f>
        <v/>
      </c>
      <c r="E18" s="14">
        <f>COUNTIFS('架電リスト'!$C$5:$C$59,$A18,'架電リスト'!$J$5:$J$59,"不在・折返し待ち")</f>
        <v/>
      </c>
      <c r="F18" s="14">
        <f>COUNTIFS('架電リスト'!$C$5:$C$59,$A18,'架電リスト'!$J$5:$J$59,"担当者不在")</f>
        <v/>
      </c>
      <c r="G18" s="14">
        <f>COUNTIFS('架電リスト'!$C$5:$C$59,$A18,'架電リスト'!$J$5:$J$59,"資料送付")</f>
        <v/>
      </c>
      <c r="H18" s="14">
        <f>COUNTIFS('架電リスト'!$C$5:$C$59,$A18,'架電リスト'!$J$5:$J$59,"アポ獲得")</f>
        <v/>
      </c>
      <c r="I18" s="14">
        <f>COUNTIFS('架電リスト'!$C$5:$C$59,$A18,'架電リスト'!$J$5:$J$59,"検討中")</f>
        <v/>
      </c>
      <c r="J18" s="14">
        <f>COUNTIFS('架電リスト'!$C$5:$C$59,$A18,'架電リスト'!$J$5:$J$59,"NG")</f>
        <v/>
      </c>
      <c r="K18" s="14">
        <f>COUNTIFS('架電リスト'!$C$5:$C$59,$A18,'架電リスト'!$J$5:$J$59,"番号不明")</f>
        <v/>
      </c>
    </row>
    <row r="19">
      <c r="A19" s="14" t="inlineStr">
        <is>
          <t>名古屋市西区</t>
        </is>
      </c>
      <c r="B19" s="14">
        <f>COUNTIF('架電リスト'!$C$5:$C$59,A19)</f>
        <v/>
      </c>
      <c r="C19" s="14">
        <f>COUNTIFS('架電リスト'!$C$5:$C$59,A19,'架電リスト'!$E$5:$E$59,"&lt;&gt;")</f>
        <v/>
      </c>
      <c r="D19" s="14">
        <f>B19-COUNTIFS('架電リスト'!$C$5:$C$59,A19,'架電リスト'!$J$5:$J$59,"未架電")-COUNTIFS('架電リスト'!$C$5:$C$59,A19,'架電リスト'!$J$5:$J$59,"")</f>
        <v/>
      </c>
      <c r="E19" s="14">
        <f>COUNTIFS('架電リスト'!$C$5:$C$59,$A19,'架電リスト'!$J$5:$J$59,"不在・折返し待ち")</f>
        <v/>
      </c>
      <c r="F19" s="14">
        <f>COUNTIFS('架電リスト'!$C$5:$C$59,$A19,'架電リスト'!$J$5:$J$59,"担当者不在")</f>
        <v/>
      </c>
      <c r="G19" s="14">
        <f>COUNTIFS('架電リスト'!$C$5:$C$59,$A19,'架電リスト'!$J$5:$J$59,"資料送付")</f>
        <v/>
      </c>
      <c r="H19" s="14">
        <f>COUNTIFS('架電リスト'!$C$5:$C$59,$A19,'架電リスト'!$J$5:$J$59,"アポ獲得")</f>
        <v/>
      </c>
      <c r="I19" s="14">
        <f>COUNTIFS('架電リスト'!$C$5:$C$59,$A19,'架電リスト'!$J$5:$J$59,"検討中")</f>
        <v/>
      </c>
      <c r="J19" s="14">
        <f>COUNTIFS('架電リスト'!$C$5:$C$59,$A19,'架電リスト'!$J$5:$J$59,"NG")</f>
        <v/>
      </c>
      <c r="K19" s="14">
        <f>COUNTIFS('架電リスト'!$C$5:$C$59,$A19,'架電リスト'!$J$5:$J$59,"番号不明")</f>
        <v/>
      </c>
    </row>
    <row r="20">
      <c r="A20" s="14" t="inlineStr">
        <is>
          <t>扶桑町</t>
        </is>
      </c>
      <c r="B20" s="14">
        <f>COUNTIF('架電リスト'!$C$5:$C$59,A20)</f>
        <v/>
      </c>
      <c r="C20" s="14">
        <f>COUNTIFS('架電リスト'!$C$5:$C$59,A20,'架電リスト'!$E$5:$E$59,"&lt;&gt;")</f>
        <v/>
      </c>
      <c r="D20" s="14">
        <f>B20-COUNTIFS('架電リスト'!$C$5:$C$59,A20,'架電リスト'!$J$5:$J$59,"未架電")-COUNTIFS('架電リスト'!$C$5:$C$59,A20,'架電リスト'!$J$5:$J$59,"")</f>
        <v/>
      </c>
      <c r="E20" s="14">
        <f>COUNTIFS('架電リスト'!$C$5:$C$59,$A20,'架電リスト'!$J$5:$J$59,"不在・折返し待ち")</f>
        <v/>
      </c>
      <c r="F20" s="14">
        <f>COUNTIFS('架電リスト'!$C$5:$C$59,$A20,'架電リスト'!$J$5:$J$59,"担当者不在")</f>
        <v/>
      </c>
      <c r="G20" s="14">
        <f>COUNTIFS('架電リスト'!$C$5:$C$59,$A20,'架電リスト'!$J$5:$J$59,"資料送付")</f>
        <v/>
      </c>
      <c r="H20" s="14">
        <f>COUNTIFS('架電リスト'!$C$5:$C$59,$A20,'架電リスト'!$J$5:$J$59,"アポ獲得")</f>
        <v/>
      </c>
      <c r="I20" s="14">
        <f>COUNTIFS('架電リスト'!$C$5:$C$59,$A20,'架電リスト'!$J$5:$J$59,"検討中")</f>
        <v/>
      </c>
      <c r="J20" s="14">
        <f>COUNTIFS('架電リスト'!$C$5:$C$59,$A20,'架電リスト'!$J$5:$J$59,"NG")</f>
        <v/>
      </c>
      <c r="K20" s="14">
        <f>COUNTIFS('架電リスト'!$C$5:$C$59,$A20,'架電リスト'!$J$5:$J$59,"番号不明")</f>
        <v/>
      </c>
    </row>
    <row r="21">
      <c r="A21" s="14" t="inlineStr">
        <is>
          <t>豊明市</t>
        </is>
      </c>
      <c r="B21" s="14">
        <f>COUNTIF('架電リスト'!$C$5:$C$59,A21)</f>
        <v/>
      </c>
      <c r="C21" s="14">
        <f>COUNTIFS('架電リスト'!$C$5:$C$59,A21,'架電リスト'!$E$5:$E$59,"&lt;&gt;")</f>
        <v/>
      </c>
      <c r="D21" s="14">
        <f>B21-COUNTIFS('架電リスト'!$C$5:$C$59,A21,'架電リスト'!$J$5:$J$59,"未架電")-COUNTIFS('架電リスト'!$C$5:$C$59,A21,'架電リスト'!$J$5:$J$59,"")</f>
        <v/>
      </c>
      <c r="E21" s="14">
        <f>COUNTIFS('架電リスト'!$C$5:$C$59,$A21,'架電リスト'!$J$5:$J$59,"不在・折返し待ち")</f>
        <v/>
      </c>
      <c r="F21" s="14">
        <f>COUNTIFS('架電リスト'!$C$5:$C$59,$A21,'架電リスト'!$J$5:$J$59,"担当者不在")</f>
        <v/>
      </c>
      <c r="G21" s="14">
        <f>COUNTIFS('架電リスト'!$C$5:$C$59,$A21,'架電リスト'!$J$5:$J$59,"資料送付")</f>
        <v/>
      </c>
      <c r="H21" s="14">
        <f>COUNTIFS('架電リスト'!$C$5:$C$59,$A21,'架電リスト'!$J$5:$J$59,"アポ獲得")</f>
        <v/>
      </c>
      <c r="I21" s="14">
        <f>COUNTIFS('架電リスト'!$C$5:$C$59,$A21,'架電リスト'!$J$5:$J$59,"検討中")</f>
        <v/>
      </c>
      <c r="J21" s="14">
        <f>COUNTIFS('架電リスト'!$C$5:$C$59,$A21,'架電リスト'!$J$5:$J$59,"NG")</f>
        <v/>
      </c>
      <c r="K21" s="14">
        <f>COUNTIFS('架電リスト'!$C$5:$C$59,$A21,'架電リスト'!$J$5:$J$59,"番号不明")</f>
        <v/>
      </c>
    </row>
    <row r="22">
      <c r="A22" s="14" t="inlineStr">
        <is>
          <t>愛西市</t>
        </is>
      </c>
      <c r="B22" s="14">
        <f>COUNTIF('架電リスト'!$C$5:$C$59,A22)</f>
        <v/>
      </c>
      <c r="C22" s="14">
        <f>COUNTIFS('架電リスト'!$C$5:$C$59,A22,'架電リスト'!$E$5:$E$59,"&lt;&gt;")</f>
        <v/>
      </c>
      <c r="D22" s="14">
        <f>B22-COUNTIFS('架電リスト'!$C$5:$C$59,A22,'架電リスト'!$J$5:$J$59,"未架電")-COUNTIFS('架電リスト'!$C$5:$C$59,A22,'架電リスト'!$J$5:$J$59,"")</f>
        <v/>
      </c>
      <c r="E22" s="14">
        <f>COUNTIFS('架電リスト'!$C$5:$C$59,$A22,'架電リスト'!$J$5:$J$59,"不在・折返し待ち")</f>
        <v/>
      </c>
      <c r="F22" s="14">
        <f>COUNTIFS('架電リスト'!$C$5:$C$59,$A22,'架電リスト'!$J$5:$J$59,"担当者不在")</f>
        <v/>
      </c>
      <c r="G22" s="14">
        <f>COUNTIFS('架電リスト'!$C$5:$C$59,$A22,'架電リスト'!$J$5:$J$59,"資料送付")</f>
        <v/>
      </c>
      <c r="H22" s="14">
        <f>COUNTIFS('架電リスト'!$C$5:$C$59,$A22,'架電リスト'!$J$5:$J$59,"アポ獲得")</f>
        <v/>
      </c>
      <c r="I22" s="14">
        <f>COUNTIFS('架電リスト'!$C$5:$C$59,$A22,'架電リスト'!$J$5:$J$59,"検討中")</f>
        <v/>
      </c>
      <c r="J22" s="14">
        <f>COUNTIFS('架電リスト'!$C$5:$C$59,$A22,'架電リスト'!$J$5:$J$59,"NG")</f>
        <v/>
      </c>
      <c r="K22" s="14">
        <f>COUNTIFS('架電リスト'!$C$5:$C$59,$A22,'架電リスト'!$J$5:$J$59,"番号不明")</f>
        <v/>
      </c>
    </row>
    <row r="23">
      <c r="A23" s="14" t="inlineStr">
        <is>
          <t>江南市</t>
        </is>
      </c>
      <c r="B23" s="14">
        <f>COUNTIF('架電リスト'!$C$5:$C$59,A23)</f>
        <v/>
      </c>
      <c r="C23" s="14">
        <f>COUNTIFS('架電リスト'!$C$5:$C$59,A23,'架電リスト'!$E$5:$E$59,"&lt;&gt;")</f>
        <v/>
      </c>
      <c r="D23" s="14">
        <f>B23-COUNTIFS('架電リスト'!$C$5:$C$59,A23,'架電リスト'!$J$5:$J$59,"未架電")-COUNTIFS('架電リスト'!$C$5:$C$59,A23,'架電リスト'!$J$5:$J$59,"")</f>
        <v/>
      </c>
      <c r="E23" s="14">
        <f>COUNTIFS('架電リスト'!$C$5:$C$59,$A23,'架電リスト'!$J$5:$J$59,"不在・折返し待ち")</f>
        <v/>
      </c>
      <c r="F23" s="14">
        <f>COUNTIFS('架電リスト'!$C$5:$C$59,$A23,'架電リスト'!$J$5:$J$59,"担当者不在")</f>
        <v/>
      </c>
      <c r="G23" s="14">
        <f>COUNTIFS('架電リスト'!$C$5:$C$59,$A23,'架電リスト'!$J$5:$J$59,"資料送付")</f>
        <v/>
      </c>
      <c r="H23" s="14">
        <f>COUNTIFS('架電リスト'!$C$5:$C$59,$A23,'架電リスト'!$J$5:$J$59,"アポ獲得")</f>
        <v/>
      </c>
      <c r="I23" s="14">
        <f>COUNTIFS('架電リスト'!$C$5:$C$59,$A23,'架電リスト'!$J$5:$J$59,"検討中")</f>
        <v/>
      </c>
      <c r="J23" s="14">
        <f>COUNTIFS('架電リスト'!$C$5:$C$59,$A23,'架電リスト'!$J$5:$J$59,"NG")</f>
        <v/>
      </c>
      <c r="K23" s="14">
        <f>COUNTIFS('架電リスト'!$C$5:$C$59,$A23,'架電リスト'!$J$5:$J$59,"番号不明")</f>
        <v/>
      </c>
    </row>
    <row r="24">
      <c r="A24" s="14" t="inlineStr">
        <is>
          <t>名古屋市南区</t>
        </is>
      </c>
      <c r="B24" s="14">
        <f>COUNTIF('架電リスト'!$C$5:$C$59,A24)</f>
        <v/>
      </c>
      <c r="C24" s="14">
        <f>COUNTIFS('架電リスト'!$C$5:$C$59,A24,'架電リスト'!$E$5:$E$59,"&lt;&gt;")</f>
        <v/>
      </c>
      <c r="D24" s="14">
        <f>B24-COUNTIFS('架電リスト'!$C$5:$C$59,A24,'架電リスト'!$J$5:$J$59,"未架電")-COUNTIFS('架電リスト'!$C$5:$C$59,A24,'架電リスト'!$J$5:$J$59,"")</f>
        <v/>
      </c>
      <c r="E24" s="14">
        <f>COUNTIFS('架電リスト'!$C$5:$C$59,$A24,'架電リスト'!$J$5:$J$59,"不在・折返し待ち")</f>
        <v/>
      </c>
      <c r="F24" s="14">
        <f>COUNTIFS('架電リスト'!$C$5:$C$59,$A24,'架電リスト'!$J$5:$J$59,"担当者不在")</f>
        <v/>
      </c>
      <c r="G24" s="14">
        <f>COUNTIFS('架電リスト'!$C$5:$C$59,$A24,'架電リスト'!$J$5:$J$59,"資料送付")</f>
        <v/>
      </c>
      <c r="H24" s="14">
        <f>COUNTIFS('架電リスト'!$C$5:$C$59,$A24,'架電リスト'!$J$5:$J$59,"アポ獲得")</f>
        <v/>
      </c>
      <c r="I24" s="14">
        <f>COUNTIFS('架電リスト'!$C$5:$C$59,$A24,'架電リスト'!$J$5:$J$59,"検討中")</f>
        <v/>
      </c>
      <c r="J24" s="14">
        <f>COUNTIFS('架電リスト'!$C$5:$C$59,$A24,'架電リスト'!$J$5:$J$59,"NG")</f>
        <v/>
      </c>
      <c r="K24" s="14">
        <f>COUNTIFS('架電リスト'!$C$5:$C$59,$A24,'架電リスト'!$J$5:$J$59,"番号不明")</f>
        <v/>
      </c>
    </row>
    <row r="25">
      <c r="A25" s="14" t="inlineStr">
        <is>
          <t>日進市</t>
        </is>
      </c>
      <c r="B25" s="14">
        <f>COUNTIF('架電リスト'!$C$5:$C$59,A25)</f>
        <v/>
      </c>
      <c r="C25" s="14">
        <f>COUNTIFS('架電リスト'!$C$5:$C$59,A25,'架電リスト'!$E$5:$E$59,"&lt;&gt;")</f>
        <v/>
      </c>
      <c r="D25" s="14">
        <f>B25-COUNTIFS('架電リスト'!$C$5:$C$59,A25,'架電リスト'!$J$5:$J$59,"未架電")-COUNTIFS('架電リスト'!$C$5:$C$59,A25,'架電リスト'!$J$5:$J$59,"")</f>
        <v/>
      </c>
      <c r="E25" s="14">
        <f>COUNTIFS('架電リスト'!$C$5:$C$59,$A25,'架電リスト'!$J$5:$J$59,"不在・折返し待ち")</f>
        <v/>
      </c>
      <c r="F25" s="14">
        <f>COUNTIFS('架電リスト'!$C$5:$C$59,$A25,'架電リスト'!$J$5:$J$59,"担当者不在")</f>
        <v/>
      </c>
      <c r="G25" s="14">
        <f>COUNTIFS('架電リスト'!$C$5:$C$59,$A25,'架電リスト'!$J$5:$J$59,"資料送付")</f>
        <v/>
      </c>
      <c r="H25" s="14">
        <f>COUNTIFS('架電リスト'!$C$5:$C$59,$A25,'架電リスト'!$J$5:$J$59,"アポ獲得")</f>
        <v/>
      </c>
      <c r="I25" s="14">
        <f>COUNTIFS('架電リスト'!$C$5:$C$59,$A25,'架電リスト'!$J$5:$J$59,"検討中")</f>
        <v/>
      </c>
      <c r="J25" s="14">
        <f>COUNTIFS('架電リスト'!$C$5:$C$59,$A25,'架電リスト'!$J$5:$J$59,"NG")</f>
        <v/>
      </c>
      <c r="K25" s="14">
        <f>COUNTIFS('架電リスト'!$C$5:$C$59,$A25,'架電リスト'!$J$5:$J$59,"番号不明")</f>
        <v/>
      </c>
    </row>
    <row r="26">
      <c r="A26" s="14" t="inlineStr">
        <is>
          <t>春日井市</t>
        </is>
      </c>
      <c r="B26" s="14">
        <f>COUNTIF('架電リスト'!$C$5:$C$59,A26)</f>
        <v/>
      </c>
      <c r="C26" s="14">
        <f>COUNTIFS('架電リスト'!$C$5:$C$59,A26,'架電リスト'!$E$5:$E$59,"&lt;&gt;")</f>
        <v/>
      </c>
      <c r="D26" s="14">
        <f>B26-COUNTIFS('架電リスト'!$C$5:$C$59,A26,'架電リスト'!$J$5:$J$59,"未架電")-COUNTIFS('架電リスト'!$C$5:$C$59,A26,'架電リスト'!$J$5:$J$59,"")</f>
        <v/>
      </c>
      <c r="E26" s="14">
        <f>COUNTIFS('架電リスト'!$C$5:$C$59,$A26,'架電リスト'!$J$5:$J$59,"不在・折返し待ち")</f>
        <v/>
      </c>
      <c r="F26" s="14">
        <f>COUNTIFS('架電リスト'!$C$5:$C$59,$A26,'架電リスト'!$J$5:$J$59,"担当者不在")</f>
        <v/>
      </c>
      <c r="G26" s="14">
        <f>COUNTIFS('架電リスト'!$C$5:$C$59,$A26,'架電リスト'!$J$5:$J$59,"資料送付")</f>
        <v/>
      </c>
      <c r="H26" s="14">
        <f>COUNTIFS('架電リスト'!$C$5:$C$59,$A26,'架電リスト'!$J$5:$J$59,"アポ獲得")</f>
        <v/>
      </c>
      <c r="I26" s="14">
        <f>COUNTIFS('架電リスト'!$C$5:$C$59,$A26,'架電リスト'!$J$5:$J$59,"検討中")</f>
        <v/>
      </c>
      <c r="J26" s="14">
        <f>COUNTIFS('架電リスト'!$C$5:$C$59,$A26,'架電リスト'!$J$5:$J$59,"NG")</f>
        <v/>
      </c>
      <c r="K26" s="14">
        <f>COUNTIFS('架電リスト'!$C$5:$C$59,$A26,'架電リスト'!$J$5:$J$59,"番号不明")</f>
        <v/>
      </c>
    </row>
    <row r="27">
      <c r="A27" s="14" t="inlineStr">
        <is>
          <t>新城市</t>
        </is>
      </c>
      <c r="B27" s="14">
        <f>COUNTIF('架電リスト'!$C$5:$C$59,A27)</f>
        <v/>
      </c>
      <c r="C27" s="14">
        <f>COUNTIFS('架電リスト'!$C$5:$C$59,A27,'架電リスト'!$E$5:$E$59,"&lt;&gt;")</f>
        <v/>
      </c>
      <c r="D27" s="14">
        <f>B27-COUNTIFS('架電リスト'!$C$5:$C$59,A27,'架電リスト'!$J$5:$J$59,"未架電")-COUNTIFS('架電リスト'!$C$5:$C$59,A27,'架電リスト'!$J$5:$J$59,"")</f>
        <v/>
      </c>
      <c r="E27" s="14">
        <f>COUNTIFS('架電リスト'!$C$5:$C$59,$A27,'架電リスト'!$J$5:$J$59,"不在・折返し待ち")</f>
        <v/>
      </c>
      <c r="F27" s="14">
        <f>COUNTIFS('架電リスト'!$C$5:$C$59,$A27,'架電リスト'!$J$5:$J$59,"担当者不在")</f>
        <v/>
      </c>
      <c r="G27" s="14">
        <f>COUNTIFS('架電リスト'!$C$5:$C$59,$A27,'架電リスト'!$J$5:$J$59,"資料送付")</f>
        <v/>
      </c>
      <c r="H27" s="14">
        <f>COUNTIFS('架電リスト'!$C$5:$C$59,$A27,'架電リスト'!$J$5:$J$59,"アポ獲得")</f>
        <v/>
      </c>
      <c r="I27" s="14">
        <f>COUNTIFS('架電リスト'!$C$5:$C$59,$A27,'架電リスト'!$J$5:$J$59,"検討中")</f>
        <v/>
      </c>
      <c r="J27" s="14">
        <f>COUNTIFS('架電リスト'!$C$5:$C$59,$A27,'架電リスト'!$J$5:$J$59,"NG")</f>
        <v/>
      </c>
      <c r="K27" s="14">
        <f>COUNTIFS('架電リスト'!$C$5:$C$59,$A27,'架電リスト'!$J$5:$J$59,"番号不明")</f>
        <v/>
      </c>
    </row>
    <row r="28">
      <c r="A28" s="14" t="inlineStr">
        <is>
          <t>名古屋市天白区</t>
        </is>
      </c>
      <c r="B28" s="14">
        <f>COUNTIF('架電リスト'!$C$5:$C$59,A28)</f>
        <v/>
      </c>
      <c r="C28" s="14">
        <f>COUNTIFS('架電リスト'!$C$5:$C$59,A28,'架電リスト'!$E$5:$E$59,"&lt;&gt;")</f>
        <v/>
      </c>
      <c r="D28" s="14">
        <f>B28-COUNTIFS('架電リスト'!$C$5:$C$59,A28,'架電リスト'!$J$5:$J$59,"未架電")-COUNTIFS('架電リスト'!$C$5:$C$59,A28,'架電リスト'!$J$5:$J$59,"")</f>
        <v/>
      </c>
      <c r="E28" s="14">
        <f>COUNTIFS('架電リスト'!$C$5:$C$59,$A28,'架電リスト'!$J$5:$J$59,"不在・折返し待ち")</f>
        <v/>
      </c>
      <c r="F28" s="14">
        <f>COUNTIFS('架電リスト'!$C$5:$C$59,$A28,'架電リスト'!$J$5:$J$59,"担当者不在")</f>
        <v/>
      </c>
      <c r="G28" s="14">
        <f>COUNTIFS('架電リスト'!$C$5:$C$59,$A28,'架電リスト'!$J$5:$J$59,"資料送付")</f>
        <v/>
      </c>
      <c r="H28" s="14">
        <f>COUNTIFS('架電リスト'!$C$5:$C$59,$A28,'架電リスト'!$J$5:$J$59,"アポ獲得")</f>
        <v/>
      </c>
      <c r="I28" s="14">
        <f>COUNTIFS('架電リスト'!$C$5:$C$59,$A28,'架電リスト'!$J$5:$J$59,"検討中")</f>
        <v/>
      </c>
      <c r="J28" s="14">
        <f>COUNTIFS('架電リスト'!$C$5:$C$59,$A28,'架電リスト'!$J$5:$J$59,"NG")</f>
        <v/>
      </c>
      <c r="K28" s="14">
        <f>COUNTIFS('架電リスト'!$C$5:$C$59,$A28,'架電リスト'!$J$5:$J$59,"番号不明")</f>
        <v/>
      </c>
    </row>
    <row r="29">
      <c r="A29" s="14" t="inlineStr">
        <is>
          <t>名古屋市名東区</t>
        </is>
      </c>
      <c r="B29" s="14">
        <f>COUNTIF('架電リスト'!$C$5:$C$59,A29)</f>
        <v/>
      </c>
      <c r="C29" s="14">
        <f>COUNTIFS('架電リスト'!$C$5:$C$59,A29,'架電リスト'!$E$5:$E$59,"&lt;&gt;")</f>
        <v/>
      </c>
      <c r="D29" s="14">
        <f>B29-COUNTIFS('架電リスト'!$C$5:$C$59,A29,'架電リスト'!$J$5:$J$59,"未架電")-COUNTIFS('架電リスト'!$C$5:$C$59,A29,'架電リスト'!$J$5:$J$59,"")</f>
        <v/>
      </c>
      <c r="E29" s="14">
        <f>COUNTIFS('架電リスト'!$C$5:$C$59,$A29,'架電リスト'!$J$5:$J$59,"不在・折返し待ち")</f>
        <v/>
      </c>
      <c r="F29" s="14">
        <f>COUNTIFS('架電リスト'!$C$5:$C$59,$A29,'架電リスト'!$J$5:$J$59,"担当者不在")</f>
        <v/>
      </c>
      <c r="G29" s="14">
        <f>COUNTIFS('架電リスト'!$C$5:$C$59,$A29,'架電リスト'!$J$5:$J$59,"資料送付")</f>
        <v/>
      </c>
      <c r="H29" s="14">
        <f>COUNTIFS('架電リスト'!$C$5:$C$59,$A29,'架電リスト'!$J$5:$J$59,"アポ獲得")</f>
        <v/>
      </c>
      <c r="I29" s="14">
        <f>COUNTIFS('架電リスト'!$C$5:$C$59,$A29,'架電リスト'!$J$5:$J$59,"検討中")</f>
        <v/>
      </c>
      <c r="J29" s="14">
        <f>COUNTIFS('架電リスト'!$C$5:$C$59,$A29,'架電リスト'!$J$5:$J$59,"NG")</f>
        <v/>
      </c>
      <c r="K29" s="14">
        <f>COUNTIFS('架電リスト'!$C$5:$C$59,$A29,'架電リスト'!$J$5:$J$59,"番号不明")</f>
        <v/>
      </c>
    </row>
    <row r="30">
      <c r="A30" s="14" t="inlineStr">
        <is>
          <t>豊川市</t>
        </is>
      </c>
      <c r="B30" s="14">
        <f>COUNTIF('架電リスト'!$C$5:$C$59,A30)</f>
        <v/>
      </c>
      <c r="C30" s="14">
        <f>COUNTIFS('架電リスト'!$C$5:$C$59,A30,'架電リスト'!$E$5:$E$59,"&lt;&gt;")</f>
        <v/>
      </c>
      <c r="D30" s="14">
        <f>B30-COUNTIFS('架電リスト'!$C$5:$C$59,A30,'架電リスト'!$J$5:$J$59,"未架電")-COUNTIFS('架電リスト'!$C$5:$C$59,A30,'架電リスト'!$J$5:$J$59,"")</f>
        <v/>
      </c>
      <c r="E30" s="14">
        <f>COUNTIFS('架電リスト'!$C$5:$C$59,$A30,'架電リスト'!$J$5:$J$59,"不在・折返し待ち")</f>
        <v/>
      </c>
      <c r="F30" s="14">
        <f>COUNTIFS('架電リスト'!$C$5:$C$59,$A30,'架電リスト'!$J$5:$J$59,"担当者不在")</f>
        <v/>
      </c>
      <c r="G30" s="14">
        <f>COUNTIFS('架電リスト'!$C$5:$C$59,$A30,'架電リスト'!$J$5:$J$59,"資料送付")</f>
        <v/>
      </c>
      <c r="H30" s="14">
        <f>COUNTIFS('架電リスト'!$C$5:$C$59,$A30,'架電リスト'!$J$5:$J$59,"アポ獲得")</f>
        <v/>
      </c>
      <c r="I30" s="14">
        <f>COUNTIFS('架電リスト'!$C$5:$C$59,$A30,'架電リスト'!$J$5:$J$59,"検討中")</f>
        <v/>
      </c>
      <c r="J30" s="14">
        <f>COUNTIFS('架電リスト'!$C$5:$C$59,$A30,'架電リスト'!$J$5:$J$59,"NG")</f>
        <v/>
      </c>
      <c r="K30" s="14">
        <f>COUNTIFS('架電リスト'!$C$5:$C$59,$A30,'架電リスト'!$J$5:$J$59,"番号不明")</f>
        <v/>
      </c>
    </row>
    <row r="31">
      <c r="A31" s="14" t="inlineStr">
        <is>
          <t>名古屋市中区</t>
        </is>
      </c>
      <c r="B31" s="14">
        <f>COUNTIF('架電リスト'!$C$5:$C$59,A31)</f>
        <v/>
      </c>
      <c r="C31" s="14">
        <f>COUNTIFS('架電リスト'!$C$5:$C$59,A31,'架電リスト'!$E$5:$E$59,"&lt;&gt;")</f>
        <v/>
      </c>
      <c r="D31" s="14">
        <f>B31-COUNTIFS('架電リスト'!$C$5:$C$59,A31,'架電リスト'!$J$5:$J$59,"未架電")-COUNTIFS('架電リスト'!$C$5:$C$59,A31,'架電リスト'!$J$5:$J$59,"")</f>
        <v/>
      </c>
      <c r="E31" s="14">
        <f>COUNTIFS('架電リスト'!$C$5:$C$59,$A31,'架電リスト'!$J$5:$J$59,"不在・折返し待ち")</f>
        <v/>
      </c>
      <c r="F31" s="14">
        <f>COUNTIFS('架電リスト'!$C$5:$C$59,$A31,'架電リスト'!$J$5:$J$59,"担当者不在")</f>
        <v/>
      </c>
      <c r="G31" s="14">
        <f>COUNTIFS('架電リスト'!$C$5:$C$59,$A31,'架電リスト'!$J$5:$J$59,"資料送付")</f>
        <v/>
      </c>
      <c r="H31" s="14">
        <f>COUNTIFS('架電リスト'!$C$5:$C$59,$A31,'架電リスト'!$J$5:$J$59,"アポ獲得")</f>
        <v/>
      </c>
      <c r="I31" s="14">
        <f>COUNTIFS('架電リスト'!$C$5:$C$59,$A31,'架電リスト'!$J$5:$J$59,"検討中")</f>
        <v/>
      </c>
      <c r="J31" s="14">
        <f>COUNTIFS('架電リスト'!$C$5:$C$59,$A31,'架電リスト'!$J$5:$J$59,"NG")</f>
        <v/>
      </c>
      <c r="K31" s="14">
        <f>COUNTIFS('架電リスト'!$C$5:$C$59,$A31,'架電リスト'!$J$5:$J$59,"番号不明")</f>
        <v/>
      </c>
    </row>
    <row r="32">
      <c r="A32" s="14" t="inlineStr">
        <is>
          <t>美浜町</t>
        </is>
      </c>
      <c r="B32" s="14">
        <f>COUNTIF('架電リスト'!$C$5:$C$59,A32)</f>
        <v/>
      </c>
      <c r="C32" s="14">
        <f>COUNTIFS('架電リスト'!$C$5:$C$59,A32,'架電リスト'!$E$5:$E$59,"&lt;&gt;")</f>
        <v/>
      </c>
      <c r="D32" s="14">
        <f>B32-COUNTIFS('架電リスト'!$C$5:$C$59,A32,'架電リスト'!$J$5:$J$59,"未架電")-COUNTIFS('架電リスト'!$C$5:$C$59,A32,'架電リスト'!$J$5:$J$59,"")</f>
        <v/>
      </c>
      <c r="E32" s="14">
        <f>COUNTIFS('架電リスト'!$C$5:$C$59,$A32,'架電リスト'!$J$5:$J$59,"不在・折返し待ち")</f>
        <v/>
      </c>
      <c r="F32" s="14">
        <f>COUNTIFS('架電リスト'!$C$5:$C$59,$A32,'架電リスト'!$J$5:$J$59,"担当者不在")</f>
        <v/>
      </c>
      <c r="G32" s="14">
        <f>COUNTIFS('架電リスト'!$C$5:$C$59,$A32,'架電リスト'!$J$5:$J$59,"資料送付")</f>
        <v/>
      </c>
      <c r="H32" s="14">
        <f>COUNTIFS('架電リスト'!$C$5:$C$59,$A32,'架電リスト'!$J$5:$J$59,"アポ獲得")</f>
        <v/>
      </c>
      <c r="I32" s="14">
        <f>COUNTIFS('架電リスト'!$C$5:$C$59,$A32,'架電リスト'!$J$5:$J$59,"検討中")</f>
        <v/>
      </c>
      <c r="J32" s="14">
        <f>COUNTIFS('架電リスト'!$C$5:$C$59,$A32,'架電リスト'!$J$5:$J$59,"NG")</f>
        <v/>
      </c>
      <c r="K32" s="14">
        <f>COUNTIFS('架電リスト'!$C$5:$C$59,$A32,'架電リスト'!$J$5:$J$59,"番号不明")</f>
        <v/>
      </c>
    </row>
    <row r="33">
      <c r="A33" s="14" t="inlineStr">
        <is>
          <t>小牧市</t>
        </is>
      </c>
      <c r="B33" s="14">
        <f>COUNTIF('架電リスト'!$C$5:$C$59,A33)</f>
        <v/>
      </c>
      <c r="C33" s="14">
        <f>COUNTIFS('架電リスト'!$C$5:$C$59,A33,'架電リスト'!$E$5:$E$59,"&lt;&gt;")</f>
        <v/>
      </c>
      <c r="D33" s="14">
        <f>B33-COUNTIFS('架電リスト'!$C$5:$C$59,A33,'架電リスト'!$J$5:$J$59,"未架電")-COUNTIFS('架電リスト'!$C$5:$C$59,A33,'架電リスト'!$J$5:$J$59,"")</f>
        <v/>
      </c>
      <c r="E33" s="14">
        <f>COUNTIFS('架電リスト'!$C$5:$C$59,$A33,'架電リスト'!$J$5:$J$59,"不在・折返し待ち")</f>
        <v/>
      </c>
      <c r="F33" s="14">
        <f>COUNTIFS('架電リスト'!$C$5:$C$59,$A33,'架電リスト'!$J$5:$J$59,"担当者不在")</f>
        <v/>
      </c>
      <c r="G33" s="14">
        <f>COUNTIFS('架電リスト'!$C$5:$C$59,$A33,'架電リスト'!$J$5:$J$59,"資料送付")</f>
        <v/>
      </c>
      <c r="H33" s="14">
        <f>COUNTIFS('架電リスト'!$C$5:$C$59,$A33,'架電リスト'!$J$5:$J$59,"アポ獲得")</f>
        <v/>
      </c>
      <c r="I33" s="14">
        <f>COUNTIFS('架電リスト'!$C$5:$C$59,$A33,'架電リスト'!$J$5:$J$59,"検討中")</f>
        <v/>
      </c>
      <c r="J33" s="14">
        <f>COUNTIFS('架電リスト'!$C$5:$C$59,$A33,'架電リスト'!$J$5:$J$59,"NG")</f>
        <v/>
      </c>
      <c r="K33" s="14">
        <f>COUNTIFS('架電リスト'!$C$5:$C$59,$A33,'架電リスト'!$J$5:$J$59,"番号不明")</f>
        <v/>
      </c>
    </row>
    <row r="34">
      <c r="A34" s="15" t="inlineStr">
        <is>
          <t>合計</t>
        </is>
      </c>
      <c r="B34" s="15">
        <f>SUM(B4:B33)</f>
        <v/>
      </c>
      <c r="C34" s="15">
        <f>SUM(C4:C33)</f>
        <v/>
      </c>
      <c r="D34" s="15">
        <f>SUM(D4:D33)</f>
        <v/>
      </c>
      <c r="E34" s="15">
        <f>SUM(E4:E33)</f>
        <v/>
      </c>
      <c r="F34" s="15">
        <f>SUM(F4:F33)</f>
        <v/>
      </c>
      <c r="G34" s="15">
        <f>SUM(G4:G33)</f>
        <v/>
      </c>
      <c r="H34" s="15">
        <f>SUM(H4:H33)</f>
        <v/>
      </c>
      <c r="I34" s="15">
        <f>SUM(I4:I33)</f>
        <v/>
      </c>
      <c r="J34" s="15">
        <f>SUM(J4:J33)</f>
        <v/>
      </c>
      <c r="K34" s="15">
        <f>SUM(K4:K33)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・出典：ご提供いただいた学校ネットの検索結果（私立高校・愛知県、55校）の貼り付けデータ。並び順は都道府県ごとに元データの掲載順です。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2026-10-13T08:54:08Z</dcterms:created>
  <dcterms:modified xsi:type="dcterms:W3CDTF">2026-10-13T08:54:08Z</dcterms:modified>
</cp:coreProperties>
</file>