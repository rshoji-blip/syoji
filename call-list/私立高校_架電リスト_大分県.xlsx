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'架電リスト'!$A$4:$O$18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6033.html" TargetMode="External" Id="rId1" /><Relationship Type="http://schemas.openxmlformats.org/officeDocument/2006/relationships/hyperlink" Target="https://www.gakkou.net/kou/view/index_305980.html" TargetMode="External" Id="rId2" /><Relationship Type="http://schemas.openxmlformats.org/officeDocument/2006/relationships/hyperlink" Target="https://www.gakkou.net/kou/view/index_305968.html" TargetMode="External" Id="rId3" /><Relationship Type="http://schemas.openxmlformats.org/officeDocument/2006/relationships/hyperlink" Target="https://www.gakkou.net/kou/view/index_305977.html" TargetMode="External" Id="rId4" /><Relationship Type="http://schemas.openxmlformats.org/officeDocument/2006/relationships/hyperlink" Target="https://www.gakkou.net/kou/view/index_305964.html" TargetMode="External" Id="rId5" /><Relationship Type="http://schemas.openxmlformats.org/officeDocument/2006/relationships/hyperlink" Target="https://www.gakkou.net/kou/view/index_306028.html" TargetMode="External" Id="rId6" /><Relationship Type="http://schemas.openxmlformats.org/officeDocument/2006/relationships/hyperlink" Target="https://www.gakkou.net/kou/view/index_306027.html" TargetMode="External" Id="rId7" /><Relationship Type="http://schemas.openxmlformats.org/officeDocument/2006/relationships/hyperlink" Target="https://www.gakkou.net/kou/view/index_306021.html" TargetMode="External" Id="rId8" /><Relationship Type="http://schemas.openxmlformats.org/officeDocument/2006/relationships/hyperlink" Target="https://www.gakkou.net/kou/view/index_305993.html" TargetMode="External" Id="rId9" /><Relationship Type="http://schemas.openxmlformats.org/officeDocument/2006/relationships/hyperlink" Target="https://www.gakkou.net/kou/view/index_305976.html" TargetMode="External" Id="rId10" /><Relationship Type="http://schemas.openxmlformats.org/officeDocument/2006/relationships/hyperlink" Target="https://www.gakkou.net/kou/view/index_306007.html" TargetMode="External" Id="rId11" /><Relationship Type="http://schemas.openxmlformats.org/officeDocument/2006/relationships/hyperlink" Target="https://www.gakkou.net/kou/view/index_306005.html" TargetMode="External" Id="rId12" /><Relationship Type="http://schemas.openxmlformats.org/officeDocument/2006/relationships/hyperlink" Target="https://www.gakkou.net/kou/view/index_305996.html" TargetMode="External" Id="rId13" /><Relationship Type="http://schemas.openxmlformats.org/officeDocument/2006/relationships/hyperlink" Target="https://www.gakkou.net/kou/view/index_305974.html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架電リスト（大分県／14校）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大分県</t>
        </is>
      </c>
      <c r="C5" s="5" t="inlineStr">
        <is>
          <t>竹田市</t>
        </is>
      </c>
      <c r="D5" s="5" t="inlineStr">
        <is>
          <t>稲葉学園高等学校</t>
        </is>
      </c>
      <c r="E5" s="6" t="inlineStr">
        <is>
          <t>0974-63-3223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旧・竹田南高等学校。NAVITIMEは0974-63-3613を掲載</t>
        </is>
      </c>
      <c r="N5" s="11" t="inlineStr">
        <is>
          <t>https://inabagakuen.jp/access/</t>
        </is>
      </c>
      <c r="O5" s="12" t="inlineStr">
        <is>
          <t>開く</t>
        </is>
      </c>
    </row>
    <row r="6">
      <c r="A6" s="4" t="n">
        <v>2</v>
      </c>
      <c r="B6" s="5" t="inlineStr">
        <is>
          <t>大分県</t>
        </is>
      </c>
      <c r="C6" s="5" t="inlineStr">
        <is>
          <t>大分市</t>
        </is>
      </c>
      <c r="D6" s="5" t="inlineStr">
        <is>
          <t>岩田高等学校</t>
        </is>
      </c>
      <c r="E6" s="6" t="inlineStr">
        <is>
          <t>097-558-3007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中高共通番号</t>
        </is>
      </c>
      <c r="N6" s="11" t="inlineStr">
        <is>
          <t>https://www.iwata.ed.jp/menu2-6.html</t>
        </is>
      </c>
      <c r="O6" s="12" t="inlineStr">
        <is>
          <t>開く</t>
        </is>
      </c>
    </row>
    <row r="7">
      <c r="A7" s="4" t="n">
        <v>3</v>
      </c>
      <c r="B7" s="5" t="inlineStr">
        <is>
          <t>大分県</t>
        </is>
      </c>
      <c r="C7" s="5" t="inlineStr">
        <is>
          <t>大分市</t>
        </is>
      </c>
      <c r="D7" s="5" t="inlineStr">
        <is>
          <t>大分高等学校</t>
        </is>
      </c>
      <c r="E7" s="6" t="inlineStr">
        <is>
          <t>097-551-1101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大分中学校を併設</t>
        </is>
      </c>
      <c r="N7" s="11" t="inlineStr">
        <is>
          <t>http://www.oita-h.ed.jp/about/access.php</t>
        </is>
      </c>
      <c r="O7" s="12" t="inlineStr">
        <is>
          <t>開く</t>
        </is>
      </c>
    </row>
    <row r="8">
      <c r="A8" s="4" t="n">
        <v>4</v>
      </c>
      <c r="B8" s="5" t="inlineStr">
        <is>
          <t>大分県</t>
        </is>
      </c>
      <c r="C8" s="5" t="inlineStr">
        <is>
          <t>大分市</t>
        </is>
      </c>
      <c r="D8" s="5" t="inlineStr">
        <is>
          <t>大分国際情報高等学校</t>
        </is>
      </c>
      <c r="E8" s="6" t="inlineStr">
        <is>
          <t>097-558-3734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n"/>
      <c r="N8" s="11" t="inlineStr">
        <is>
          <t>https://kokujou.ed.jp/school.php</t>
        </is>
      </c>
      <c r="O8" s="12" t="inlineStr">
        <is>
          <t>開く</t>
        </is>
      </c>
    </row>
    <row r="9">
      <c r="A9" s="4" t="n">
        <v>5</v>
      </c>
      <c r="B9" s="5" t="inlineStr">
        <is>
          <t>大分県</t>
        </is>
      </c>
      <c r="C9" s="5" t="inlineStr">
        <is>
          <t>大分市</t>
        </is>
      </c>
      <c r="D9" s="5" t="inlineStr">
        <is>
          <t>大分東明高等学校</t>
        </is>
      </c>
      <c r="E9" s="6" t="inlineStr">
        <is>
          <t>097-535-0201</t>
        </is>
      </c>
      <c r="F9" s="7" t="inlineStr">
        <is>
          <t>高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法人（平松学園）代表と同じ番号</t>
        </is>
      </c>
      <c r="N9" s="11" t="inlineStr">
        <is>
          <t>https://www.hiramatsu.ac.jp/tomei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大分県</t>
        </is>
      </c>
      <c r="C10" s="5" t="inlineStr">
        <is>
          <t>日田市</t>
        </is>
      </c>
      <c r="D10" s="5" t="inlineStr">
        <is>
          <t>昭和学園高等学校</t>
        </is>
      </c>
      <c r="E10" s="6" t="inlineStr">
        <is>
          <t>0973-22-7420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事務室番号</t>
        </is>
      </c>
      <c r="N10" s="11" t="inlineStr">
        <is>
          <t>https://www.showa-h.ed.jp/blank-38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大分県</t>
        </is>
      </c>
      <c r="C11" s="5" t="inlineStr">
        <is>
          <t>日田市</t>
        </is>
      </c>
      <c r="D11" s="5" t="inlineStr">
        <is>
          <t>藤蔭高等学校</t>
        </is>
      </c>
      <c r="E11" s="6" t="inlineStr">
        <is>
          <t>0973-24-2737</t>
        </is>
      </c>
      <c r="F11" s="7" t="inlineStr">
        <is>
          <t>高</t>
        </is>
      </c>
      <c r="G11" s="5" t="inlineStr">
        <is>
          <t>普通科・専門学科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通信制課程は0973-23-6655</t>
        </is>
      </c>
      <c r="N11" s="11" t="inlineStr">
        <is>
          <t>http://tohin.ac.jp/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大分県</t>
        </is>
      </c>
      <c r="C12" s="5" t="inlineStr">
        <is>
          <t>佐伯市</t>
        </is>
      </c>
      <c r="D12" s="5" t="inlineStr">
        <is>
          <t>日本文理大学附属高等学校</t>
        </is>
      </c>
      <c r="E12" s="6" t="inlineStr">
        <is>
          <t>0972-22-3501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n"/>
      <c r="N12" s="11" t="inlineStr">
        <is>
          <t>https://www.nbu-h.ed.jp/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大分県</t>
        </is>
      </c>
      <c r="C13" s="5" t="inlineStr">
        <is>
          <t>中津市</t>
        </is>
      </c>
      <c r="D13" s="5" t="inlineStr">
        <is>
          <t>東九州龍谷高等学校</t>
        </is>
      </c>
      <c r="E13" s="6" t="inlineStr">
        <is>
          <t>0979-22-0416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事務室番号。職員室は0979-22-2555</t>
        </is>
      </c>
      <c r="N13" s="11" t="inlineStr">
        <is>
          <t>https://hk-ryukoku.ed.jp/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大分県</t>
        </is>
      </c>
      <c r="C14" s="5" t="inlineStr">
        <is>
          <t>大分市</t>
        </is>
      </c>
      <c r="D14" s="5" t="inlineStr">
        <is>
          <t>福徳学院高等学校</t>
        </is>
      </c>
      <c r="E14" s="6" t="inlineStr">
        <is>
          <t>097-544-3551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n"/>
      <c r="N14" s="11" t="inlineStr">
        <is>
          <t>https://fukutoku.ed.jp/access/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大分県</t>
        </is>
      </c>
      <c r="C15" s="5" t="inlineStr">
        <is>
          <t>別府市</t>
        </is>
      </c>
      <c r="D15" s="5" t="inlineStr">
        <is>
          <t>別府溝部学園高等学校</t>
        </is>
      </c>
      <c r="E15" s="6" t="inlineStr">
        <is>
          <t>0977-67-6908</t>
        </is>
      </c>
      <c r="F15" s="7" t="inlineStr">
        <is>
          <t>高</t>
        </is>
      </c>
      <c r="G15" s="5" t="inlineStr">
        <is>
          <t>普通科・専門学科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電話帳サイトは0977-66-0224（短大と同番号）を掲載</t>
        </is>
      </c>
      <c r="N15" s="11" t="inlineStr">
        <is>
          <t>https://www.mizobe-h.ed.jp/about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大分県</t>
        </is>
      </c>
      <c r="C16" s="5" t="inlineStr">
        <is>
          <t>別府市</t>
        </is>
      </c>
      <c r="D16" s="5" t="inlineStr">
        <is>
          <t>明豊高等学校</t>
        </is>
      </c>
      <c r="E16" s="6" t="inlineStr">
        <is>
          <t>0977-27-3311</t>
        </is>
      </c>
      <c r="F16" s="7" t="inlineStr">
        <is>
          <t>高</t>
        </is>
      </c>
      <c r="G16" s="5" t="inlineStr">
        <is>
          <t>普通科・専門学科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n"/>
      <c r="N16" s="11" t="inlineStr">
        <is>
          <t>https://meiho-beppu.jp/access/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大分県</t>
        </is>
      </c>
      <c r="C17" s="5" t="inlineStr">
        <is>
          <t>宇佐市</t>
        </is>
      </c>
      <c r="D17" s="5" t="inlineStr">
        <is>
          <t>柳ケ浦高等学校</t>
        </is>
      </c>
      <c r="E17" s="6" t="inlineStr">
        <is>
          <t>0978-38-0033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公式表記は「柳ヶ浦」</t>
        </is>
      </c>
      <c r="N17" s="11" t="inlineStr">
        <is>
          <t>https://yanagigaura.ed.jp/pages/1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大分県</t>
        </is>
      </c>
      <c r="C18" s="5" t="inlineStr">
        <is>
          <t>大分市</t>
        </is>
      </c>
      <c r="D18" s="5" t="inlineStr">
        <is>
          <t>楊志館高等学校</t>
        </is>
      </c>
      <c r="E18" s="6" t="inlineStr">
        <is>
          <t>097-543-6711</t>
        </is>
      </c>
      <c r="F18" s="7" t="inlineStr">
        <is>
          <t>高</t>
        </is>
      </c>
      <c r="G18" s="5" t="inlineStr">
        <is>
          <t>普通科・専門学科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法人（後藤学園）のページで確認</t>
        </is>
      </c>
      <c r="N18" s="11" t="inlineStr">
        <is>
          <t>https://www.gotogakuen.ac.jp/yoshikan</t>
        </is>
      </c>
      <c r="O18" s="12" t="inlineStr">
        <is>
          <t>開く</t>
        </is>
      </c>
    </row>
  </sheetData>
  <autoFilter ref="A4:O18"/>
  <conditionalFormatting sqref="A5:O18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8" showDropDown="0" showInputMessage="0" showErrorMessage="0" allowBlank="1" type="list">
      <formula1>"未架電,不在・折返し待ち,担当者不在,資料送付,アポ獲得,検討中,NG,番号不明"</formula1>
    </dataValidation>
    <dataValidation sqref="H5:H18 K5:K18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大分市</t>
        </is>
      </c>
      <c r="B4" s="13">
        <f>COUNTIF('架電リスト'!$C$5:$C$18,A4)</f>
        <v/>
      </c>
      <c r="C4" s="13">
        <f>COUNTIFS('架電リスト'!$C$5:$C$18,A4,'架電リスト'!$E$5:$E$18,"&lt;&gt;")</f>
        <v/>
      </c>
      <c r="D4" s="13">
        <f>B4-COUNTIFS('架電リスト'!$C$5:$C$18,A4,'架電リスト'!$J$5:$J$18,"未架電")-COUNTIFS('架電リスト'!$C$5:$C$18,A4,'架電リスト'!$J$5:$J$18,"")</f>
        <v/>
      </c>
      <c r="E4" s="13">
        <f>COUNTIFS('架電リスト'!$C$5:$C$18,$A4,'架電リスト'!$J$5:$J$18,"不在・折返し待ち")</f>
        <v/>
      </c>
      <c r="F4" s="13">
        <f>COUNTIFS('架電リスト'!$C$5:$C$18,$A4,'架電リスト'!$J$5:$J$18,"担当者不在")</f>
        <v/>
      </c>
      <c r="G4" s="13">
        <f>COUNTIFS('架電リスト'!$C$5:$C$18,$A4,'架電リスト'!$J$5:$J$18,"資料送付")</f>
        <v/>
      </c>
      <c r="H4" s="13">
        <f>COUNTIFS('架電リスト'!$C$5:$C$18,$A4,'架電リスト'!$J$5:$J$18,"アポ獲得")</f>
        <v/>
      </c>
      <c r="I4" s="13">
        <f>COUNTIFS('架電リスト'!$C$5:$C$18,$A4,'架電リスト'!$J$5:$J$18,"検討中")</f>
        <v/>
      </c>
      <c r="J4" s="13">
        <f>COUNTIFS('架電リスト'!$C$5:$C$18,$A4,'架電リスト'!$J$5:$J$18,"NG")</f>
        <v/>
      </c>
      <c r="K4" s="13">
        <f>COUNTIFS('架電リスト'!$C$5:$C$18,$A4,'架電リスト'!$J$5:$J$18,"番号不明")</f>
        <v/>
      </c>
    </row>
    <row r="5">
      <c r="A5" s="13" t="inlineStr">
        <is>
          <t>日田市</t>
        </is>
      </c>
      <c r="B5" s="13">
        <f>COUNTIF('架電リスト'!$C$5:$C$18,A5)</f>
        <v/>
      </c>
      <c r="C5" s="13">
        <f>COUNTIFS('架電リスト'!$C$5:$C$18,A5,'架電リスト'!$E$5:$E$18,"&lt;&gt;")</f>
        <v/>
      </c>
      <c r="D5" s="13">
        <f>B5-COUNTIFS('架電リスト'!$C$5:$C$18,A5,'架電リスト'!$J$5:$J$18,"未架電")-COUNTIFS('架電リスト'!$C$5:$C$18,A5,'架電リスト'!$J$5:$J$18,"")</f>
        <v/>
      </c>
      <c r="E5" s="13">
        <f>COUNTIFS('架電リスト'!$C$5:$C$18,$A5,'架電リスト'!$J$5:$J$18,"不在・折返し待ち")</f>
        <v/>
      </c>
      <c r="F5" s="13">
        <f>COUNTIFS('架電リスト'!$C$5:$C$18,$A5,'架電リスト'!$J$5:$J$18,"担当者不在")</f>
        <v/>
      </c>
      <c r="G5" s="13">
        <f>COUNTIFS('架電リスト'!$C$5:$C$18,$A5,'架電リスト'!$J$5:$J$18,"資料送付")</f>
        <v/>
      </c>
      <c r="H5" s="13">
        <f>COUNTIFS('架電リスト'!$C$5:$C$18,$A5,'架電リスト'!$J$5:$J$18,"アポ獲得")</f>
        <v/>
      </c>
      <c r="I5" s="13">
        <f>COUNTIFS('架電リスト'!$C$5:$C$18,$A5,'架電リスト'!$J$5:$J$18,"検討中")</f>
        <v/>
      </c>
      <c r="J5" s="13">
        <f>COUNTIFS('架電リスト'!$C$5:$C$18,$A5,'架電リスト'!$J$5:$J$18,"NG")</f>
        <v/>
      </c>
      <c r="K5" s="13">
        <f>COUNTIFS('架電リスト'!$C$5:$C$18,$A5,'架電リスト'!$J$5:$J$18,"番号不明")</f>
        <v/>
      </c>
    </row>
    <row r="6">
      <c r="A6" s="13" t="inlineStr">
        <is>
          <t>別府市</t>
        </is>
      </c>
      <c r="B6" s="13">
        <f>COUNTIF('架電リスト'!$C$5:$C$18,A6)</f>
        <v/>
      </c>
      <c r="C6" s="13">
        <f>COUNTIFS('架電リスト'!$C$5:$C$18,A6,'架電リスト'!$E$5:$E$18,"&lt;&gt;")</f>
        <v/>
      </c>
      <c r="D6" s="13">
        <f>B6-COUNTIFS('架電リスト'!$C$5:$C$18,A6,'架電リスト'!$J$5:$J$18,"未架電")-COUNTIFS('架電リスト'!$C$5:$C$18,A6,'架電リスト'!$J$5:$J$18,"")</f>
        <v/>
      </c>
      <c r="E6" s="13">
        <f>COUNTIFS('架電リスト'!$C$5:$C$18,$A6,'架電リスト'!$J$5:$J$18,"不在・折返し待ち")</f>
        <v/>
      </c>
      <c r="F6" s="13">
        <f>COUNTIFS('架電リスト'!$C$5:$C$18,$A6,'架電リスト'!$J$5:$J$18,"担当者不在")</f>
        <v/>
      </c>
      <c r="G6" s="13">
        <f>COUNTIFS('架電リスト'!$C$5:$C$18,$A6,'架電リスト'!$J$5:$J$18,"資料送付")</f>
        <v/>
      </c>
      <c r="H6" s="13">
        <f>COUNTIFS('架電リスト'!$C$5:$C$18,$A6,'架電リスト'!$J$5:$J$18,"アポ獲得")</f>
        <v/>
      </c>
      <c r="I6" s="13">
        <f>COUNTIFS('架電リスト'!$C$5:$C$18,$A6,'架電リスト'!$J$5:$J$18,"検討中")</f>
        <v/>
      </c>
      <c r="J6" s="13">
        <f>COUNTIFS('架電リスト'!$C$5:$C$18,$A6,'架電リスト'!$J$5:$J$18,"NG")</f>
        <v/>
      </c>
      <c r="K6" s="13">
        <f>COUNTIFS('架電リスト'!$C$5:$C$18,$A6,'架電リスト'!$J$5:$J$18,"番号不明")</f>
        <v/>
      </c>
    </row>
    <row r="7">
      <c r="A7" s="13" t="inlineStr">
        <is>
          <t>竹田市</t>
        </is>
      </c>
      <c r="B7" s="13">
        <f>COUNTIF('架電リスト'!$C$5:$C$18,A7)</f>
        <v/>
      </c>
      <c r="C7" s="13">
        <f>COUNTIFS('架電リスト'!$C$5:$C$18,A7,'架電リスト'!$E$5:$E$18,"&lt;&gt;")</f>
        <v/>
      </c>
      <c r="D7" s="13">
        <f>B7-COUNTIFS('架電リスト'!$C$5:$C$18,A7,'架電リスト'!$J$5:$J$18,"未架電")-COUNTIFS('架電リスト'!$C$5:$C$18,A7,'架電リスト'!$J$5:$J$18,"")</f>
        <v/>
      </c>
      <c r="E7" s="13">
        <f>COUNTIFS('架電リスト'!$C$5:$C$18,$A7,'架電リスト'!$J$5:$J$18,"不在・折返し待ち")</f>
        <v/>
      </c>
      <c r="F7" s="13">
        <f>COUNTIFS('架電リスト'!$C$5:$C$18,$A7,'架電リスト'!$J$5:$J$18,"担当者不在")</f>
        <v/>
      </c>
      <c r="G7" s="13">
        <f>COUNTIFS('架電リスト'!$C$5:$C$18,$A7,'架電リスト'!$J$5:$J$18,"資料送付")</f>
        <v/>
      </c>
      <c r="H7" s="13">
        <f>COUNTIFS('架電リスト'!$C$5:$C$18,$A7,'架電リスト'!$J$5:$J$18,"アポ獲得")</f>
        <v/>
      </c>
      <c r="I7" s="13">
        <f>COUNTIFS('架電リスト'!$C$5:$C$18,$A7,'架電リスト'!$J$5:$J$18,"検討中")</f>
        <v/>
      </c>
      <c r="J7" s="13">
        <f>COUNTIFS('架電リスト'!$C$5:$C$18,$A7,'架電リスト'!$J$5:$J$18,"NG")</f>
        <v/>
      </c>
      <c r="K7" s="13">
        <f>COUNTIFS('架電リスト'!$C$5:$C$18,$A7,'架電リスト'!$J$5:$J$18,"番号不明")</f>
        <v/>
      </c>
    </row>
    <row r="8">
      <c r="A8" s="13" t="inlineStr">
        <is>
          <t>佐伯市</t>
        </is>
      </c>
      <c r="B8" s="13">
        <f>COUNTIF('架電リスト'!$C$5:$C$18,A8)</f>
        <v/>
      </c>
      <c r="C8" s="13">
        <f>COUNTIFS('架電リスト'!$C$5:$C$18,A8,'架電リスト'!$E$5:$E$18,"&lt;&gt;")</f>
        <v/>
      </c>
      <c r="D8" s="13">
        <f>B8-COUNTIFS('架電リスト'!$C$5:$C$18,A8,'架電リスト'!$J$5:$J$18,"未架電")-COUNTIFS('架電リスト'!$C$5:$C$18,A8,'架電リスト'!$J$5:$J$18,"")</f>
        <v/>
      </c>
      <c r="E8" s="13">
        <f>COUNTIFS('架電リスト'!$C$5:$C$18,$A8,'架電リスト'!$J$5:$J$18,"不在・折返し待ち")</f>
        <v/>
      </c>
      <c r="F8" s="13">
        <f>COUNTIFS('架電リスト'!$C$5:$C$18,$A8,'架電リスト'!$J$5:$J$18,"担当者不在")</f>
        <v/>
      </c>
      <c r="G8" s="13">
        <f>COUNTIFS('架電リスト'!$C$5:$C$18,$A8,'架電リスト'!$J$5:$J$18,"資料送付")</f>
        <v/>
      </c>
      <c r="H8" s="13">
        <f>COUNTIFS('架電リスト'!$C$5:$C$18,$A8,'架電リスト'!$J$5:$J$18,"アポ獲得")</f>
        <v/>
      </c>
      <c r="I8" s="13">
        <f>COUNTIFS('架電リスト'!$C$5:$C$18,$A8,'架電リスト'!$J$5:$J$18,"検討中")</f>
        <v/>
      </c>
      <c r="J8" s="13">
        <f>COUNTIFS('架電リスト'!$C$5:$C$18,$A8,'架電リスト'!$J$5:$J$18,"NG")</f>
        <v/>
      </c>
      <c r="K8" s="13">
        <f>COUNTIFS('架電リスト'!$C$5:$C$18,$A8,'架電リスト'!$J$5:$J$18,"番号不明")</f>
        <v/>
      </c>
    </row>
    <row r="9">
      <c r="A9" s="13" t="inlineStr">
        <is>
          <t>中津市</t>
        </is>
      </c>
      <c r="B9" s="13">
        <f>COUNTIF('架電リスト'!$C$5:$C$18,A9)</f>
        <v/>
      </c>
      <c r="C9" s="13">
        <f>COUNTIFS('架電リスト'!$C$5:$C$18,A9,'架電リスト'!$E$5:$E$18,"&lt;&gt;")</f>
        <v/>
      </c>
      <c r="D9" s="13">
        <f>B9-COUNTIFS('架電リスト'!$C$5:$C$18,A9,'架電リスト'!$J$5:$J$18,"未架電")-COUNTIFS('架電リスト'!$C$5:$C$18,A9,'架電リスト'!$J$5:$J$18,"")</f>
        <v/>
      </c>
      <c r="E9" s="13">
        <f>COUNTIFS('架電リスト'!$C$5:$C$18,$A9,'架電リスト'!$J$5:$J$18,"不在・折返し待ち")</f>
        <v/>
      </c>
      <c r="F9" s="13">
        <f>COUNTIFS('架電リスト'!$C$5:$C$18,$A9,'架電リスト'!$J$5:$J$18,"担当者不在")</f>
        <v/>
      </c>
      <c r="G9" s="13">
        <f>COUNTIFS('架電リスト'!$C$5:$C$18,$A9,'架電リスト'!$J$5:$J$18,"資料送付")</f>
        <v/>
      </c>
      <c r="H9" s="13">
        <f>COUNTIFS('架電リスト'!$C$5:$C$18,$A9,'架電リスト'!$J$5:$J$18,"アポ獲得")</f>
        <v/>
      </c>
      <c r="I9" s="13">
        <f>COUNTIFS('架電リスト'!$C$5:$C$18,$A9,'架電リスト'!$J$5:$J$18,"検討中")</f>
        <v/>
      </c>
      <c r="J9" s="13">
        <f>COUNTIFS('架電リスト'!$C$5:$C$18,$A9,'架電リスト'!$J$5:$J$18,"NG")</f>
        <v/>
      </c>
      <c r="K9" s="13">
        <f>COUNTIFS('架電リスト'!$C$5:$C$18,$A9,'架電リスト'!$J$5:$J$18,"番号不明")</f>
        <v/>
      </c>
    </row>
    <row r="10">
      <c r="A10" s="13" t="inlineStr">
        <is>
          <t>宇佐市</t>
        </is>
      </c>
      <c r="B10" s="13">
        <f>COUNTIF('架電リスト'!$C$5:$C$18,A10)</f>
        <v/>
      </c>
      <c r="C10" s="13">
        <f>COUNTIFS('架電リスト'!$C$5:$C$18,A10,'架電リスト'!$E$5:$E$18,"&lt;&gt;")</f>
        <v/>
      </c>
      <c r="D10" s="13">
        <f>B10-COUNTIFS('架電リスト'!$C$5:$C$18,A10,'架電リスト'!$J$5:$J$18,"未架電")-COUNTIFS('架電リスト'!$C$5:$C$18,A10,'架電リスト'!$J$5:$J$18,"")</f>
        <v/>
      </c>
      <c r="E10" s="13">
        <f>COUNTIFS('架電リスト'!$C$5:$C$18,$A10,'架電リスト'!$J$5:$J$18,"不在・折返し待ち")</f>
        <v/>
      </c>
      <c r="F10" s="13">
        <f>COUNTIFS('架電リスト'!$C$5:$C$18,$A10,'架電リスト'!$J$5:$J$18,"担当者不在")</f>
        <v/>
      </c>
      <c r="G10" s="13">
        <f>COUNTIFS('架電リスト'!$C$5:$C$18,$A10,'架電リスト'!$J$5:$J$18,"資料送付")</f>
        <v/>
      </c>
      <c r="H10" s="13">
        <f>COUNTIFS('架電リスト'!$C$5:$C$18,$A10,'架電リスト'!$J$5:$J$18,"アポ獲得")</f>
        <v/>
      </c>
      <c r="I10" s="13">
        <f>COUNTIFS('架電リスト'!$C$5:$C$18,$A10,'架電リスト'!$J$5:$J$18,"検討中")</f>
        <v/>
      </c>
      <c r="J10" s="13">
        <f>COUNTIFS('架電リスト'!$C$5:$C$18,$A10,'架電リスト'!$J$5:$J$18,"NG")</f>
        <v/>
      </c>
      <c r="K10" s="13">
        <f>COUNTIFS('架電リスト'!$C$5:$C$18,$A10,'架電リスト'!$J$5:$J$18,"番号不明")</f>
        <v/>
      </c>
    </row>
    <row r="11">
      <c r="A11" s="14" t="inlineStr">
        <is>
          <t>合計</t>
        </is>
      </c>
      <c r="B11" s="14">
        <f>SUM(B4:B10)</f>
        <v/>
      </c>
      <c r="C11" s="14">
        <f>SUM(C4:C10)</f>
        <v/>
      </c>
      <c r="D11" s="14">
        <f>SUM(D4:D10)</f>
        <v/>
      </c>
      <c r="E11" s="14">
        <f>SUM(E4:E10)</f>
        <v/>
      </c>
      <c r="F11" s="14">
        <f>SUM(F4:F10)</f>
        <v/>
      </c>
      <c r="G11" s="14">
        <f>SUM(G4:G10)</f>
        <v/>
      </c>
      <c r="H11" s="14">
        <f>SUM(H4:H10)</f>
        <v/>
      </c>
      <c r="I11" s="14">
        <f>SUM(I4:I10)</f>
        <v/>
      </c>
      <c r="J11" s="14">
        <f>SUM(J4:J10)</f>
        <v/>
      </c>
      <c r="K11" s="14">
        <f>SUM(K4:K10)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・出典：ご提供いただいた学校ネットの検索結果（私立高校・大分県、14校）の貼り付けデータ。並び順は都道府県ごとに元データの掲載順です。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2026-10-14T02:14:29Z</dcterms:created>
  <dcterms:modified xsi:type="dcterms:W3CDTF">2026-10-14T02:14:30Z</dcterms:modified>
</cp:coreProperties>
</file>