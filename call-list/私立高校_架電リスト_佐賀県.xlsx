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'架電リスト'!$A$4:$O$13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752.html" TargetMode="External" Id="rId1" /><Relationship Type="http://schemas.openxmlformats.org/officeDocument/2006/relationships/hyperlink" Target="https://www.gakkou.net/kou/view/index_305759.html" TargetMode="External" Id="rId2" /><Relationship Type="http://schemas.openxmlformats.org/officeDocument/2006/relationships/hyperlink" Target="https://www.gakkou.net/kou/view/index_305723.html" TargetMode="External" Id="rId3" /><Relationship Type="http://schemas.openxmlformats.org/officeDocument/2006/relationships/hyperlink" Target="https://www.gakkou.net/kou/view/index_305719.html" TargetMode="External" Id="rId4" /><Relationship Type="http://schemas.openxmlformats.org/officeDocument/2006/relationships/hyperlink" Target="https://www.gakkou.net/kou/view/index_305718.html" TargetMode="External" Id="rId5" /><Relationship Type="http://schemas.openxmlformats.org/officeDocument/2006/relationships/hyperlink" Target="https://www.gakkou.net/kou/view/index_305734.html" TargetMode="External" Id="rId6" /><Relationship Type="http://schemas.openxmlformats.org/officeDocument/2006/relationships/hyperlink" Target="https://www.gakkou.net/kou/view/index_305761.html" TargetMode="External" Id="rId7" /><Relationship Type="http://schemas.openxmlformats.org/officeDocument/2006/relationships/hyperlink" Target="https://www.gakkou.net/kou/view/index_305721.html" TargetMode="External" Id="rId8" /><Relationship Type="http://schemas.openxmlformats.org/officeDocument/2006/relationships/hyperlink" Target="https://www.gakkou.net/kou/view/index_306744.html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架電リスト（佐賀県／9校）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佐賀県</t>
        </is>
      </c>
      <c r="C5" s="5" t="inlineStr">
        <is>
          <t>伊万里市</t>
        </is>
      </c>
      <c r="D5" s="5" t="inlineStr">
        <is>
          <t>敬徳高等学校</t>
        </is>
      </c>
      <c r="E5" s="6" t="inlineStr">
        <is>
          <t>0955-22-6191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全日制直通。通信制は0955-29-8571</t>
        </is>
      </c>
      <c r="N5" s="11" t="inlineStr">
        <is>
          <t>https://keitoku.ed.jp/</t>
        </is>
      </c>
      <c r="O5" s="12" t="inlineStr">
        <is>
          <t>開く</t>
        </is>
      </c>
    </row>
    <row r="6">
      <c r="A6" s="4" t="n">
        <v>2</v>
      </c>
      <c r="B6" s="5" t="inlineStr">
        <is>
          <t>佐賀県</t>
        </is>
      </c>
      <c r="C6" s="5" t="inlineStr">
        <is>
          <t>佐賀市</t>
        </is>
      </c>
      <c r="D6" s="5" t="inlineStr">
        <is>
          <t>弘学館高等学校</t>
        </is>
      </c>
      <c r="E6" s="6" t="inlineStr">
        <is>
          <t>0952-98-2161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中高共通。学寮は0952-98-2162</t>
        </is>
      </c>
      <c r="N6" s="11" t="inlineStr">
        <is>
          <t>https://www.kogakukan.ac.jp/access/</t>
        </is>
      </c>
      <c r="O6" s="12" t="inlineStr">
        <is>
          <t>開く</t>
        </is>
      </c>
    </row>
    <row r="7">
      <c r="A7" s="4" t="n">
        <v>3</v>
      </c>
      <c r="B7" s="5" t="inlineStr">
        <is>
          <t>佐賀県</t>
        </is>
      </c>
      <c r="C7" s="5" t="inlineStr">
        <is>
          <t>佐賀市</t>
        </is>
      </c>
      <c r="D7" s="5" t="inlineStr">
        <is>
          <t>佐賀学園高等学校</t>
        </is>
      </c>
      <c r="E7" s="6" t="inlineStr">
        <is>
          <t>0952-30-4281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成穎中学校と併設</t>
        </is>
      </c>
      <c r="N7" s="11" t="inlineStr">
        <is>
          <t>https://www.sagagakuen.ed.jp/</t>
        </is>
      </c>
      <c r="O7" s="12" t="inlineStr">
        <is>
          <t>開く</t>
        </is>
      </c>
    </row>
    <row r="8">
      <c r="A8" s="4" t="n">
        <v>4</v>
      </c>
      <c r="B8" s="5" t="inlineStr">
        <is>
          <t>佐賀県</t>
        </is>
      </c>
      <c r="C8" s="5" t="inlineStr">
        <is>
          <t>佐賀市</t>
        </is>
      </c>
      <c r="D8" s="5" t="inlineStr">
        <is>
          <t>佐賀女子短期大学付属佐賀女子高等学校</t>
        </is>
      </c>
      <c r="E8" s="6" t="inlineStr">
        <is>
          <t>0952-24-5341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衛生看護科は別所在地（本庄町）</t>
        </is>
      </c>
      <c r="N8" s="11" t="inlineStr">
        <is>
          <t>https://www.asahigakuen.ac.jp/sagajoshikou/</t>
        </is>
      </c>
      <c r="O8" s="12" t="inlineStr">
        <is>
          <t>開く</t>
        </is>
      </c>
    </row>
    <row r="9">
      <c r="A9" s="4" t="n">
        <v>5</v>
      </c>
      <c r="B9" s="5" t="inlineStr">
        <is>
          <t>佐賀県</t>
        </is>
      </c>
      <c r="C9" s="5" t="inlineStr">
        <is>
          <t>佐賀市</t>
        </is>
      </c>
      <c r="D9" s="5" t="inlineStr">
        <is>
          <t>佐賀清和高等学校</t>
        </is>
      </c>
      <c r="E9" s="6" t="inlineStr">
        <is>
          <t>0952-37-5400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中高共通番号</t>
        </is>
      </c>
      <c r="N9" s="11" t="inlineStr">
        <is>
          <t>https://sagaseiwa.com/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佐賀県</t>
        </is>
      </c>
      <c r="C10" s="5" t="inlineStr">
        <is>
          <t>基山町</t>
        </is>
      </c>
      <c r="D10" s="5" t="inlineStr">
        <is>
          <t>東明館高等学校</t>
        </is>
      </c>
      <c r="E10" s="6" t="inlineStr">
        <is>
          <t>0942-92-5775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中高共通番号</t>
        </is>
      </c>
      <c r="N10" s="11" t="inlineStr">
        <is>
          <t>https://inner.tomeikan.ed.jp/about-school/inquiry/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佐賀県</t>
        </is>
      </c>
      <c r="C11" s="5" t="inlineStr">
        <is>
          <t>佐賀市</t>
        </is>
      </c>
      <c r="D11" s="5" t="inlineStr">
        <is>
          <t>北陵高等学校</t>
        </is>
      </c>
      <c r="E11" s="6" t="inlineStr">
        <is>
          <t>0952-30-8676</t>
        </is>
      </c>
      <c r="F11" s="7" t="inlineStr">
        <is>
          <t>高</t>
        </is>
      </c>
      <c r="G11" s="5" t="inlineStr">
        <is>
          <t>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法人本部は0952-30-5422</t>
        </is>
      </c>
      <c r="N11" s="11" t="inlineStr">
        <is>
          <t>https://hokuryo.ac.jp/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佐賀県</t>
        </is>
      </c>
      <c r="C12" s="5" t="inlineStr">
        <is>
          <t>佐賀市</t>
        </is>
      </c>
      <c r="D12" s="5" t="inlineStr">
        <is>
          <t>龍谷高等学校</t>
        </is>
      </c>
      <c r="E12" s="6" t="inlineStr">
        <is>
          <t>0952-24-2244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中高共通番号</t>
        </is>
      </c>
      <c r="N12" s="11" t="inlineStr">
        <is>
          <t>https://www.sagaryukoku.ed.jp/hsc/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佐賀県</t>
        </is>
      </c>
      <c r="C13" s="5" t="inlineStr">
        <is>
          <t>唐津市</t>
        </is>
      </c>
      <c r="D13" s="5" t="inlineStr">
        <is>
          <t>早稲田佐賀高等学校</t>
        </is>
      </c>
      <c r="E13" s="6" t="inlineStr">
        <is>
          <t>0955-58-9000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中高共通。唐津市HPとも一致</t>
        </is>
      </c>
      <c r="N13" s="11" t="inlineStr">
        <is>
          <t>https://www.wasedasaga.jp/</t>
        </is>
      </c>
      <c r="O13" s="12" t="inlineStr">
        <is>
          <t>開く</t>
        </is>
      </c>
    </row>
  </sheetData>
  <autoFilter ref="A4:O13"/>
  <conditionalFormatting sqref="A5:O13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3" showDropDown="0" showInputMessage="0" showErrorMessage="0" allowBlank="1" type="list">
      <formula1>"未架電,不在・折返し待ち,担当者不在,資料送付,アポ獲得,検討中,NG,番号不明"</formula1>
    </dataValidation>
    <dataValidation sqref="H5:H13 K5:K13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佐賀市</t>
        </is>
      </c>
      <c r="B4" s="13">
        <f>COUNTIF('架電リスト'!$C$5:$C$13,A4)</f>
        <v/>
      </c>
      <c r="C4" s="13">
        <f>COUNTIFS('架電リスト'!$C$5:$C$13,A4,'架電リスト'!$E$5:$E$13,"&lt;&gt;")</f>
        <v/>
      </c>
      <c r="D4" s="13">
        <f>B4-COUNTIFS('架電リスト'!$C$5:$C$13,A4,'架電リスト'!$J$5:$J$13,"未架電")-COUNTIFS('架電リスト'!$C$5:$C$13,A4,'架電リスト'!$J$5:$J$13,"")</f>
        <v/>
      </c>
      <c r="E4" s="13">
        <f>COUNTIFS('架電リスト'!$C$5:$C$13,$A4,'架電リスト'!$J$5:$J$13,"不在・折返し待ち")</f>
        <v/>
      </c>
      <c r="F4" s="13">
        <f>COUNTIFS('架電リスト'!$C$5:$C$13,$A4,'架電リスト'!$J$5:$J$13,"担当者不在")</f>
        <v/>
      </c>
      <c r="G4" s="13">
        <f>COUNTIFS('架電リスト'!$C$5:$C$13,$A4,'架電リスト'!$J$5:$J$13,"資料送付")</f>
        <v/>
      </c>
      <c r="H4" s="13">
        <f>COUNTIFS('架電リスト'!$C$5:$C$13,$A4,'架電リスト'!$J$5:$J$13,"アポ獲得")</f>
        <v/>
      </c>
      <c r="I4" s="13">
        <f>COUNTIFS('架電リスト'!$C$5:$C$13,$A4,'架電リスト'!$J$5:$J$13,"検討中")</f>
        <v/>
      </c>
      <c r="J4" s="13">
        <f>COUNTIFS('架電リスト'!$C$5:$C$13,$A4,'架電リスト'!$J$5:$J$13,"NG")</f>
        <v/>
      </c>
      <c r="K4" s="13">
        <f>COUNTIFS('架電リスト'!$C$5:$C$13,$A4,'架電リスト'!$J$5:$J$13,"番号不明")</f>
        <v/>
      </c>
    </row>
    <row r="5">
      <c r="A5" s="13" t="inlineStr">
        <is>
          <t>伊万里市</t>
        </is>
      </c>
      <c r="B5" s="13">
        <f>COUNTIF('架電リスト'!$C$5:$C$13,A5)</f>
        <v/>
      </c>
      <c r="C5" s="13">
        <f>COUNTIFS('架電リスト'!$C$5:$C$13,A5,'架電リスト'!$E$5:$E$13,"&lt;&gt;")</f>
        <v/>
      </c>
      <c r="D5" s="13">
        <f>B5-COUNTIFS('架電リスト'!$C$5:$C$13,A5,'架電リスト'!$J$5:$J$13,"未架電")-COUNTIFS('架電リスト'!$C$5:$C$13,A5,'架電リスト'!$J$5:$J$13,"")</f>
        <v/>
      </c>
      <c r="E5" s="13">
        <f>COUNTIFS('架電リスト'!$C$5:$C$13,$A5,'架電リスト'!$J$5:$J$13,"不在・折返し待ち")</f>
        <v/>
      </c>
      <c r="F5" s="13">
        <f>COUNTIFS('架電リスト'!$C$5:$C$13,$A5,'架電リスト'!$J$5:$J$13,"担当者不在")</f>
        <v/>
      </c>
      <c r="G5" s="13">
        <f>COUNTIFS('架電リスト'!$C$5:$C$13,$A5,'架電リスト'!$J$5:$J$13,"資料送付")</f>
        <v/>
      </c>
      <c r="H5" s="13">
        <f>COUNTIFS('架電リスト'!$C$5:$C$13,$A5,'架電リスト'!$J$5:$J$13,"アポ獲得")</f>
        <v/>
      </c>
      <c r="I5" s="13">
        <f>COUNTIFS('架電リスト'!$C$5:$C$13,$A5,'架電リスト'!$J$5:$J$13,"検討中")</f>
        <v/>
      </c>
      <c r="J5" s="13">
        <f>COUNTIFS('架電リスト'!$C$5:$C$13,$A5,'架電リスト'!$J$5:$J$13,"NG")</f>
        <v/>
      </c>
      <c r="K5" s="13">
        <f>COUNTIFS('架電リスト'!$C$5:$C$13,$A5,'架電リスト'!$J$5:$J$13,"番号不明")</f>
        <v/>
      </c>
    </row>
    <row r="6">
      <c r="A6" s="13" t="inlineStr">
        <is>
          <t>基山町</t>
        </is>
      </c>
      <c r="B6" s="13">
        <f>COUNTIF('架電リスト'!$C$5:$C$13,A6)</f>
        <v/>
      </c>
      <c r="C6" s="13">
        <f>COUNTIFS('架電リスト'!$C$5:$C$13,A6,'架電リスト'!$E$5:$E$13,"&lt;&gt;")</f>
        <v/>
      </c>
      <c r="D6" s="13">
        <f>B6-COUNTIFS('架電リスト'!$C$5:$C$13,A6,'架電リスト'!$J$5:$J$13,"未架電")-COUNTIFS('架電リスト'!$C$5:$C$13,A6,'架電リスト'!$J$5:$J$13,"")</f>
        <v/>
      </c>
      <c r="E6" s="13">
        <f>COUNTIFS('架電リスト'!$C$5:$C$13,$A6,'架電リスト'!$J$5:$J$13,"不在・折返し待ち")</f>
        <v/>
      </c>
      <c r="F6" s="13">
        <f>COUNTIFS('架電リスト'!$C$5:$C$13,$A6,'架電リスト'!$J$5:$J$13,"担当者不在")</f>
        <v/>
      </c>
      <c r="G6" s="13">
        <f>COUNTIFS('架電リスト'!$C$5:$C$13,$A6,'架電リスト'!$J$5:$J$13,"資料送付")</f>
        <v/>
      </c>
      <c r="H6" s="13">
        <f>COUNTIFS('架電リスト'!$C$5:$C$13,$A6,'架電リスト'!$J$5:$J$13,"アポ獲得")</f>
        <v/>
      </c>
      <c r="I6" s="13">
        <f>COUNTIFS('架電リスト'!$C$5:$C$13,$A6,'架電リスト'!$J$5:$J$13,"検討中")</f>
        <v/>
      </c>
      <c r="J6" s="13">
        <f>COUNTIFS('架電リスト'!$C$5:$C$13,$A6,'架電リスト'!$J$5:$J$13,"NG")</f>
        <v/>
      </c>
      <c r="K6" s="13">
        <f>COUNTIFS('架電リスト'!$C$5:$C$13,$A6,'架電リスト'!$J$5:$J$13,"番号不明")</f>
        <v/>
      </c>
    </row>
    <row r="7">
      <c r="A7" s="13" t="inlineStr">
        <is>
          <t>唐津市</t>
        </is>
      </c>
      <c r="B7" s="13">
        <f>COUNTIF('架電リスト'!$C$5:$C$13,A7)</f>
        <v/>
      </c>
      <c r="C7" s="13">
        <f>COUNTIFS('架電リスト'!$C$5:$C$13,A7,'架電リスト'!$E$5:$E$13,"&lt;&gt;")</f>
        <v/>
      </c>
      <c r="D7" s="13">
        <f>B7-COUNTIFS('架電リスト'!$C$5:$C$13,A7,'架電リスト'!$J$5:$J$13,"未架電")-COUNTIFS('架電リスト'!$C$5:$C$13,A7,'架電リスト'!$J$5:$J$13,"")</f>
        <v/>
      </c>
      <c r="E7" s="13">
        <f>COUNTIFS('架電リスト'!$C$5:$C$13,$A7,'架電リスト'!$J$5:$J$13,"不在・折返し待ち")</f>
        <v/>
      </c>
      <c r="F7" s="13">
        <f>COUNTIFS('架電リスト'!$C$5:$C$13,$A7,'架電リスト'!$J$5:$J$13,"担当者不在")</f>
        <v/>
      </c>
      <c r="G7" s="13">
        <f>COUNTIFS('架電リスト'!$C$5:$C$13,$A7,'架電リスト'!$J$5:$J$13,"資料送付")</f>
        <v/>
      </c>
      <c r="H7" s="13">
        <f>COUNTIFS('架電リスト'!$C$5:$C$13,$A7,'架電リスト'!$J$5:$J$13,"アポ獲得")</f>
        <v/>
      </c>
      <c r="I7" s="13">
        <f>COUNTIFS('架電リスト'!$C$5:$C$13,$A7,'架電リスト'!$J$5:$J$13,"検討中")</f>
        <v/>
      </c>
      <c r="J7" s="13">
        <f>COUNTIFS('架電リスト'!$C$5:$C$13,$A7,'架電リスト'!$J$5:$J$13,"NG")</f>
        <v/>
      </c>
      <c r="K7" s="13">
        <f>COUNTIFS('架電リスト'!$C$5:$C$13,$A7,'架電リスト'!$J$5:$J$13,"番号不明")</f>
        <v/>
      </c>
    </row>
    <row r="8">
      <c r="A8" s="14" t="inlineStr">
        <is>
          <t>合計</t>
        </is>
      </c>
      <c r="B8" s="14">
        <f>SUM(B4:B7)</f>
        <v/>
      </c>
      <c r="C8" s="14">
        <f>SUM(C4:C7)</f>
        <v/>
      </c>
      <c r="D8" s="14">
        <f>SUM(D4:D7)</f>
        <v/>
      </c>
      <c r="E8" s="14">
        <f>SUM(E4:E7)</f>
        <v/>
      </c>
      <c r="F8" s="14">
        <f>SUM(F4:F7)</f>
        <v/>
      </c>
      <c r="G8" s="14">
        <f>SUM(G4:G7)</f>
        <v/>
      </c>
      <c r="H8" s="14">
        <f>SUM(H4:H7)</f>
        <v/>
      </c>
      <c r="I8" s="14">
        <f>SUM(I4:I7)</f>
        <v/>
      </c>
      <c r="J8" s="14">
        <f>SUM(J4:J7)</f>
        <v/>
      </c>
      <c r="K8" s="14">
        <f>SUM(K4:K7)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・出典：ご提供いただいた学校ネットの検索結果（私立高校・佐賀県、9校）の貼り付けデータ。並び順は都道府県ごとに元データの掲載順です。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2026-10-14T02:07:12Z</dcterms:created>
  <dcterms:modified xsi:type="dcterms:W3CDTF">2026-10-14T02:07:12Z</dcterms:modified>
</cp:coreProperties>
</file>