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'架電リスト'!$A$4:$O$17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522.html" TargetMode="External" Id="rId1" /><Relationship Type="http://schemas.openxmlformats.org/officeDocument/2006/relationships/hyperlink" Target="https://www.gakkou.net/kou/view/index_300521.html" TargetMode="External" Id="rId2" /><Relationship Type="http://schemas.openxmlformats.org/officeDocument/2006/relationships/hyperlink" Target="https://www.gakkou.net/kou/view/index_300499.html" TargetMode="External" Id="rId3" /><Relationship Type="http://schemas.openxmlformats.org/officeDocument/2006/relationships/hyperlink" Target="https://www.gakkou.net/kou/view/index_300496.html" TargetMode="External" Id="rId4" /><Relationship Type="http://schemas.openxmlformats.org/officeDocument/2006/relationships/hyperlink" Target="https://www.gakkou.net/kou/view/index_300506.html" TargetMode="External" Id="rId5" /><Relationship Type="http://schemas.openxmlformats.org/officeDocument/2006/relationships/hyperlink" Target="https://www.gakkou.net/kou/view/index_300544.html" TargetMode="External" Id="rId6" /><Relationship Type="http://schemas.openxmlformats.org/officeDocument/2006/relationships/hyperlink" Target="https://www.gakkou.net/kou/view/index_300548.html" TargetMode="External" Id="rId7" /><Relationship Type="http://schemas.openxmlformats.org/officeDocument/2006/relationships/hyperlink" Target="https://www.gakkou.net/kou/view/index_300536.html" TargetMode="External" Id="rId8" /><Relationship Type="http://schemas.openxmlformats.org/officeDocument/2006/relationships/hyperlink" Target="https://www.gakkou.net/kou/view/index_300495.html" TargetMode="External" Id="rId9" /><Relationship Type="http://schemas.openxmlformats.org/officeDocument/2006/relationships/hyperlink" Target="https://www.gakkou.net/kou/view/index_300516.html" TargetMode="External" Id="rId10" /><Relationship Type="http://schemas.openxmlformats.org/officeDocument/2006/relationships/hyperlink" Target="https://www.gakkou.net/kou/view/index_300503.html" TargetMode="External" Id="rId11" /><Relationship Type="http://schemas.openxmlformats.org/officeDocument/2006/relationships/hyperlink" Target="https://www.gakkou.net/kou/view/index_300505.html" TargetMode="External" Id="rId12" /><Relationship Type="http://schemas.openxmlformats.org/officeDocument/2006/relationships/hyperlink" Target="https://www.gakkou.net/kou/view/index_300504.htm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架電リスト（岩手県／13校）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岩手県</t>
        </is>
      </c>
      <c r="C5" s="5" t="inlineStr">
        <is>
          <t>一関市</t>
        </is>
      </c>
      <c r="D5" s="5" t="inlineStr">
        <is>
          <t>一関学院高等学校</t>
        </is>
      </c>
      <c r="E5" s="6" t="inlineStr">
        <is>
          <t>0191-23-4240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公式サイトで確認（全日制・通信制共通、受付8:30〜17:00）。職員室は0191-23-3906</t>
        </is>
      </c>
      <c r="N5" s="11" t="inlineStr">
        <is>
          <t>https://ichinoseki-gakuin.jp/contact/index.html ; https://www.mapion.co.jp/phonebook/M11004/03209/ILSP0000041169_ipclm/</t>
        </is>
      </c>
      <c r="O5" s="12" t="inlineStr">
        <is>
          <t>開く</t>
        </is>
      </c>
    </row>
    <row r="6">
      <c r="A6" s="4" t="n">
        <v>2</v>
      </c>
      <c r="B6" s="5" t="inlineStr">
        <is>
          <t>岩手県</t>
        </is>
      </c>
      <c r="C6" s="5" t="inlineStr">
        <is>
          <t>一関市</t>
        </is>
      </c>
      <c r="D6" s="5" t="inlineStr">
        <is>
          <t>一関修紅高等学校</t>
        </is>
      </c>
      <c r="E6" s="6" t="inlineStr">
        <is>
          <t>0191-23-3096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公式サイトで確認。一部サイトの0191-23-3271は旧番号の可能性あり</t>
        </is>
      </c>
      <c r="N6" s="11" t="inlineStr">
        <is>
          <t>https://shuko.ed.jp/profile/ ; https://www.mapion.co.jp/phonebook/M11004/03209/ILSP0000041931_ipclm/</t>
        </is>
      </c>
      <c r="O6" s="12" t="inlineStr">
        <is>
          <t>開く</t>
        </is>
      </c>
    </row>
    <row r="7">
      <c r="A7" s="4" t="n">
        <v>3</v>
      </c>
      <c r="B7" s="5" t="inlineStr">
        <is>
          <t>岩手県</t>
        </is>
      </c>
      <c r="C7" s="5" t="inlineStr">
        <is>
          <t>盛岡市</t>
        </is>
      </c>
      <c r="D7" s="5" t="inlineStr">
        <is>
          <t>岩手高等学校</t>
        </is>
      </c>
      <c r="E7" s="6" t="inlineStr">
        <is>
          <t>019-624-4445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公式サイトで確認。中高共通の番号。男子校</t>
        </is>
      </c>
      <c r="N7" s="11" t="inlineStr">
        <is>
          <t>https://iwate-jh.ed.jp/ ; https://map.yahoo.co.jp/v3/place/RvEksJmg4Wo</t>
        </is>
      </c>
      <c r="O7" s="12" t="inlineStr">
        <is>
          <t>開く</t>
        </is>
      </c>
    </row>
    <row r="8">
      <c r="A8" s="4" t="n">
        <v>4</v>
      </c>
      <c r="B8" s="5" t="inlineStr">
        <is>
          <t>岩手県</t>
        </is>
      </c>
      <c r="C8" s="5" t="inlineStr">
        <is>
          <t>盛岡市</t>
        </is>
      </c>
      <c r="D8" s="5" t="inlineStr">
        <is>
          <t>岩手女子高等学校</t>
        </is>
      </c>
      <c r="E8" s="6" t="inlineStr">
        <is>
          <t>019-623-6467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公式サイトで確認</t>
        </is>
      </c>
      <c r="N8" s="11" t="inlineStr">
        <is>
          <t>https://iwatejoshi-h.ed.jp/access/index.html ; https://school.js88.com/scl_h/22028650</t>
        </is>
      </c>
      <c r="O8" s="12" t="inlineStr">
        <is>
          <t>開く</t>
        </is>
      </c>
    </row>
    <row r="9">
      <c r="A9" s="4" t="n">
        <v>5</v>
      </c>
      <c r="B9" s="5" t="inlineStr">
        <is>
          <t>岩手県</t>
        </is>
      </c>
      <c r="C9" s="5" t="inlineStr">
        <is>
          <t>盛岡市</t>
        </is>
      </c>
      <c r="D9" s="5" t="inlineStr">
        <is>
          <t>江南義塾盛岡高等学校</t>
        </is>
      </c>
      <c r="E9" s="6" t="inlineStr">
        <is>
          <t>019-646-1866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公式サイトの事務室の番号（通信制・盛岡本校）。職員室は019-656-1550</t>
        </is>
      </c>
      <c r="N9" s="11" t="inlineStr">
        <is>
          <t>http://kounan-h.jp/ ; https://school.js88.com/scl_h/22028670/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岩手県</t>
        </is>
      </c>
      <c r="C10" s="5" t="inlineStr">
        <is>
          <t>北上市</t>
        </is>
      </c>
      <c r="D10" s="5" t="inlineStr">
        <is>
          <t>専修大学北上高等学校</t>
        </is>
      </c>
      <c r="E10" s="6" t="inlineStr">
        <is>
          <t>0197-63-2341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公式サイトに「代表」と記載</t>
        </is>
      </c>
      <c r="N10" s="11" t="inlineStr">
        <is>
          <t>https://www.minkou.jp/hischool/school/2478/ ; https://school.js88.com/scl_h/22028730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岩手県</t>
        </is>
      </c>
      <c r="C11" s="5" t="inlineStr">
        <is>
          <t>花巻市</t>
        </is>
      </c>
      <c r="D11" s="5" t="inlineStr">
        <is>
          <t>花巻東高等学校</t>
        </is>
      </c>
      <c r="E11" s="6" t="inlineStr">
        <is>
          <t>0198-41-1135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公式サイトの事務室の番号。職員室は0198-24-2825</t>
        </is>
      </c>
      <c r="N11" s="11" t="inlineStr">
        <is>
          <t>https://www.hanamakihigashi-h.jp/contact/index.php ; https://www.mapion.co.jp/phonebook/M11004/03205/ILSP0000041838_ipclm/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岩手県</t>
        </is>
      </c>
      <c r="C12" s="5" t="inlineStr">
        <is>
          <t>奥州市</t>
        </is>
      </c>
      <c r="D12" s="5" t="inlineStr">
        <is>
          <t>水沢第一高等学校</t>
        </is>
      </c>
      <c r="E12" s="6" t="inlineStr">
        <is>
          <t>0197-24-6171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公式サイトで確認。県立水沢高校（0197-24-3152）とは別の学校なので注意</t>
        </is>
      </c>
      <c r="N12" s="11" t="inlineStr">
        <is>
          <t>https://mizuichi.ed.jp/contact/index.html ; https://www.mapion.co.jp/phonebook/M11004/03215/ILSP0000041877_ipclm/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岩手県</t>
        </is>
      </c>
      <c r="C13" s="5" t="inlineStr">
        <is>
          <t>盛岡市</t>
        </is>
      </c>
      <c r="D13" s="5" t="inlineStr">
        <is>
          <t>盛岡白百合学園高等学校</t>
        </is>
      </c>
      <c r="E13" s="6" t="inlineStr">
        <is>
          <t>019-661-6330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中高共通の代表番号。共学化の可能性あり（校名・体制を要確認）</t>
        </is>
      </c>
      <c r="N13" s="11" t="inlineStr">
        <is>
          <t>https://msgsp.jp/admission/ ; https://www.mapion.co.jp/phonebook/M11004/03201/ILSP0000040814_ipclm/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岩手県</t>
        </is>
      </c>
      <c r="C14" s="5" t="inlineStr">
        <is>
          <t>盛岡市</t>
        </is>
      </c>
      <c r="D14" s="5" t="inlineStr">
        <is>
          <t>盛岡スコーレ高等学校</t>
        </is>
      </c>
      <c r="E14" s="6" t="inlineStr">
        <is>
          <t>019-636-0827</t>
        </is>
      </c>
      <c r="F14" s="13" t="inlineStr">
        <is>
          <t>中</t>
        </is>
      </c>
      <c r="G14" s="5" t="inlineStr">
        <is>
          <t>総合学科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JS日本の学校のみで確認。019-681-0831は高校生レストラン専用の番号</t>
        </is>
      </c>
      <c r="N14" s="11" t="inlineStr">
        <is>
          <t>https://school.js88.com/scl_h/22028690?page=7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岩手県</t>
        </is>
      </c>
      <c r="C15" s="5" t="inlineStr">
        <is>
          <t>盛岡市</t>
        </is>
      </c>
      <c r="D15" s="5" t="inlineStr">
        <is>
          <t>盛岡誠桜高等学校</t>
        </is>
      </c>
      <c r="E15" s="6" t="inlineStr">
        <is>
          <t>019-661-3633</t>
        </is>
      </c>
      <c r="F15" s="7" t="inlineStr">
        <is>
          <t>高</t>
        </is>
      </c>
      <c r="G15" s="5" t="inlineStr">
        <is>
          <t>普通科・専門学科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公式サイトで確認</t>
        </is>
      </c>
      <c r="N15" s="11" t="inlineStr">
        <is>
          <t>https://www.morioka-seio.ed.jp/about_school/ ; https://www.mapion.co.jp/phonebook/M11004/03201/ILSP0000040690_ipclm/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岩手県</t>
        </is>
      </c>
      <c r="C16" s="5" t="inlineStr">
        <is>
          <t>盛岡市</t>
        </is>
      </c>
      <c r="D16" s="5" t="inlineStr">
        <is>
          <t>盛岡大学附属高等学校</t>
        </is>
      </c>
      <c r="E16" s="6" t="inlineStr">
        <is>
          <t>019-641-1121</t>
        </is>
      </c>
      <c r="F16" s="13" t="inlineStr">
        <is>
          <t>中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JS日本の学校のみで確認。019-688-5656は法人本部の番号</t>
        </is>
      </c>
      <c r="N16" s="11" t="inlineStr">
        <is>
          <t>https://school.js88.com/scl_h/22028680/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岩手県</t>
        </is>
      </c>
      <c r="C17" s="5" t="inlineStr">
        <is>
          <t>盛岡市</t>
        </is>
      </c>
      <c r="D17" s="5" t="inlineStr">
        <is>
          <t>盛岡中央高等学校</t>
        </is>
      </c>
      <c r="E17" s="6" t="inlineStr">
        <is>
          <t>019-641-0458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2つの情報源で一致。附属中学校は別番号（019-641-0505）</t>
        </is>
      </c>
      <c r="N17" s="11" t="inlineStr">
        <is>
          <t>https://school.js88.com/scl_h/22028700?page=9 ; https://www.inter-edu.com/schools/school/1760</t>
        </is>
      </c>
      <c r="O17" s="12" t="inlineStr">
        <is>
          <t>開く</t>
        </is>
      </c>
    </row>
  </sheetData>
  <autoFilter ref="A4:O17"/>
  <conditionalFormatting sqref="A5:O17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7" showDropDown="0" showInputMessage="0" showErrorMessage="0" allowBlank="1" type="list">
      <formula1>"未架電,不在・折返し待ち,担当者不在,資料送付,アポ獲得,検討中,NG,番号不明"</formula1>
    </dataValidation>
    <dataValidation sqref="H5:H17 K5:K17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盛岡市</t>
        </is>
      </c>
      <c r="B4" s="14">
        <f>COUNTIF('架電リスト'!$C$5:$C$17,A4)</f>
        <v/>
      </c>
      <c r="C4" s="14">
        <f>COUNTIFS('架電リスト'!$C$5:$C$17,A4,'架電リスト'!$E$5:$E$17,"&lt;&gt;")</f>
        <v/>
      </c>
      <c r="D4" s="14">
        <f>B4-COUNTIFS('架電リスト'!$C$5:$C$17,A4,'架電リスト'!$J$5:$J$17,"未架電")-COUNTIFS('架電リスト'!$C$5:$C$17,A4,'架電リスト'!$J$5:$J$17,"")</f>
        <v/>
      </c>
      <c r="E4" s="14">
        <f>COUNTIFS('架電リスト'!$C$5:$C$17,$A4,'架電リスト'!$J$5:$J$17,"不在・折返し待ち")</f>
        <v/>
      </c>
      <c r="F4" s="14">
        <f>COUNTIFS('架電リスト'!$C$5:$C$17,$A4,'架電リスト'!$J$5:$J$17,"担当者不在")</f>
        <v/>
      </c>
      <c r="G4" s="14">
        <f>COUNTIFS('架電リスト'!$C$5:$C$17,$A4,'架電リスト'!$J$5:$J$17,"資料送付")</f>
        <v/>
      </c>
      <c r="H4" s="14">
        <f>COUNTIFS('架電リスト'!$C$5:$C$17,$A4,'架電リスト'!$J$5:$J$17,"アポ獲得")</f>
        <v/>
      </c>
      <c r="I4" s="14">
        <f>COUNTIFS('架電リスト'!$C$5:$C$17,$A4,'架電リスト'!$J$5:$J$17,"検討中")</f>
        <v/>
      </c>
      <c r="J4" s="14">
        <f>COUNTIFS('架電リスト'!$C$5:$C$17,$A4,'架電リスト'!$J$5:$J$17,"NG")</f>
        <v/>
      </c>
      <c r="K4" s="14">
        <f>COUNTIFS('架電リスト'!$C$5:$C$17,$A4,'架電リスト'!$J$5:$J$17,"番号不明")</f>
        <v/>
      </c>
    </row>
    <row r="5">
      <c r="A5" s="14" t="inlineStr">
        <is>
          <t>一関市</t>
        </is>
      </c>
      <c r="B5" s="14">
        <f>COUNTIF('架電リスト'!$C$5:$C$17,A5)</f>
        <v/>
      </c>
      <c r="C5" s="14">
        <f>COUNTIFS('架電リスト'!$C$5:$C$17,A5,'架電リスト'!$E$5:$E$17,"&lt;&gt;")</f>
        <v/>
      </c>
      <c r="D5" s="14">
        <f>B5-COUNTIFS('架電リスト'!$C$5:$C$17,A5,'架電リスト'!$J$5:$J$17,"未架電")-COUNTIFS('架電リスト'!$C$5:$C$17,A5,'架電リスト'!$J$5:$J$17,"")</f>
        <v/>
      </c>
      <c r="E5" s="14">
        <f>COUNTIFS('架電リスト'!$C$5:$C$17,$A5,'架電リスト'!$J$5:$J$17,"不在・折返し待ち")</f>
        <v/>
      </c>
      <c r="F5" s="14">
        <f>COUNTIFS('架電リスト'!$C$5:$C$17,$A5,'架電リスト'!$J$5:$J$17,"担当者不在")</f>
        <v/>
      </c>
      <c r="G5" s="14">
        <f>COUNTIFS('架電リスト'!$C$5:$C$17,$A5,'架電リスト'!$J$5:$J$17,"資料送付")</f>
        <v/>
      </c>
      <c r="H5" s="14">
        <f>COUNTIFS('架電リスト'!$C$5:$C$17,$A5,'架電リスト'!$J$5:$J$17,"アポ獲得")</f>
        <v/>
      </c>
      <c r="I5" s="14">
        <f>COUNTIFS('架電リスト'!$C$5:$C$17,$A5,'架電リスト'!$J$5:$J$17,"検討中")</f>
        <v/>
      </c>
      <c r="J5" s="14">
        <f>COUNTIFS('架電リスト'!$C$5:$C$17,$A5,'架電リスト'!$J$5:$J$17,"NG")</f>
        <v/>
      </c>
      <c r="K5" s="14">
        <f>COUNTIFS('架電リスト'!$C$5:$C$17,$A5,'架電リスト'!$J$5:$J$17,"番号不明")</f>
        <v/>
      </c>
    </row>
    <row r="6">
      <c r="A6" s="14" t="inlineStr">
        <is>
          <t>北上市</t>
        </is>
      </c>
      <c r="B6" s="14">
        <f>COUNTIF('架電リスト'!$C$5:$C$17,A6)</f>
        <v/>
      </c>
      <c r="C6" s="14">
        <f>COUNTIFS('架電リスト'!$C$5:$C$17,A6,'架電リスト'!$E$5:$E$17,"&lt;&gt;")</f>
        <v/>
      </c>
      <c r="D6" s="14">
        <f>B6-COUNTIFS('架電リスト'!$C$5:$C$17,A6,'架電リスト'!$J$5:$J$17,"未架電")-COUNTIFS('架電リスト'!$C$5:$C$17,A6,'架電リスト'!$J$5:$J$17,"")</f>
        <v/>
      </c>
      <c r="E6" s="14">
        <f>COUNTIFS('架電リスト'!$C$5:$C$17,$A6,'架電リスト'!$J$5:$J$17,"不在・折返し待ち")</f>
        <v/>
      </c>
      <c r="F6" s="14">
        <f>COUNTIFS('架電リスト'!$C$5:$C$17,$A6,'架電リスト'!$J$5:$J$17,"担当者不在")</f>
        <v/>
      </c>
      <c r="G6" s="14">
        <f>COUNTIFS('架電リスト'!$C$5:$C$17,$A6,'架電リスト'!$J$5:$J$17,"資料送付")</f>
        <v/>
      </c>
      <c r="H6" s="14">
        <f>COUNTIFS('架電リスト'!$C$5:$C$17,$A6,'架電リスト'!$J$5:$J$17,"アポ獲得")</f>
        <v/>
      </c>
      <c r="I6" s="14">
        <f>COUNTIFS('架電リスト'!$C$5:$C$17,$A6,'架電リスト'!$J$5:$J$17,"検討中")</f>
        <v/>
      </c>
      <c r="J6" s="14">
        <f>COUNTIFS('架電リスト'!$C$5:$C$17,$A6,'架電リスト'!$J$5:$J$17,"NG")</f>
        <v/>
      </c>
      <c r="K6" s="14">
        <f>COUNTIFS('架電リスト'!$C$5:$C$17,$A6,'架電リスト'!$J$5:$J$17,"番号不明")</f>
        <v/>
      </c>
    </row>
    <row r="7">
      <c r="A7" s="14" t="inlineStr">
        <is>
          <t>花巻市</t>
        </is>
      </c>
      <c r="B7" s="14">
        <f>COUNTIF('架電リスト'!$C$5:$C$17,A7)</f>
        <v/>
      </c>
      <c r="C7" s="14">
        <f>COUNTIFS('架電リスト'!$C$5:$C$17,A7,'架電リスト'!$E$5:$E$17,"&lt;&gt;")</f>
        <v/>
      </c>
      <c r="D7" s="14">
        <f>B7-COUNTIFS('架電リスト'!$C$5:$C$17,A7,'架電リスト'!$J$5:$J$17,"未架電")-COUNTIFS('架電リスト'!$C$5:$C$17,A7,'架電リスト'!$J$5:$J$17,"")</f>
        <v/>
      </c>
      <c r="E7" s="14">
        <f>COUNTIFS('架電リスト'!$C$5:$C$17,$A7,'架電リスト'!$J$5:$J$17,"不在・折返し待ち")</f>
        <v/>
      </c>
      <c r="F7" s="14">
        <f>COUNTIFS('架電リスト'!$C$5:$C$17,$A7,'架電リスト'!$J$5:$J$17,"担当者不在")</f>
        <v/>
      </c>
      <c r="G7" s="14">
        <f>COUNTIFS('架電リスト'!$C$5:$C$17,$A7,'架電リスト'!$J$5:$J$17,"資料送付")</f>
        <v/>
      </c>
      <c r="H7" s="14">
        <f>COUNTIFS('架電リスト'!$C$5:$C$17,$A7,'架電リスト'!$J$5:$J$17,"アポ獲得")</f>
        <v/>
      </c>
      <c r="I7" s="14">
        <f>COUNTIFS('架電リスト'!$C$5:$C$17,$A7,'架電リスト'!$J$5:$J$17,"検討中")</f>
        <v/>
      </c>
      <c r="J7" s="14">
        <f>COUNTIFS('架電リスト'!$C$5:$C$17,$A7,'架電リスト'!$J$5:$J$17,"NG")</f>
        <v/>
      </c>
      <c r="K7" s="14">
        <f>COUNTIFS('架電リスト'!$C$5:$C$17,$A7,'架電リスト'!$J$5:$J$17,"番号不明")</f>
        <v/>
      </c>
    </row>
    <row r="8">
      <c r="A8" s="14" t="inlineStr">
        <is>
          <t>奥州市</t>
        </is>
      </c>
      <c r="B8" s="14">
        <f>COUNTIF('架電リスト'!$C$5:$C$17,A8)</f>
        <v/>
      </c>
      <c r="C8" s="14">
        <f>COUNTIFS('架電リスト'!$C$5:$C$17,A8,'架電リスト'!$E$5:$E$17,"&lt;&gt;")</f>
        <v/>
      </c>
      <c r="D8" s="14">
        <f>B8-COUNTIFS('架電リスト'!$C$5:$C$17,A8,'架電リスト'!$J$5:$J$17,"未架電")-COUNTIFS('架電リスト'!$C$5:$C$17,A8,'架電リスト'!$J$5:$J$17,"")</f>
        <v/>
      </c>
      <c r="E8" s="14">
        <f>COUNTIFS('架電リスト'!$C$5:$C$17,$A8,'架電リスト'!$J$5:$J$17,"不在・折返し待ち")</f>
        <v/>
      </c>
      <c r="F8" s="14">
        <f>COUNTIFS('架電リスト'!$C$5:$C$17,$A8,'架電リスト'!$J$5:$J$17,"担当者不在")</f>
        <v/>
      </c>
      <c r="G8" s="14">
        <f>COUNTIFS('架電リスト'!$C$5:$C$17,$A8,'架電リスト'!$J$5:$J$17,"資料送付")</f>
        <v/>
      </c>
      <c r="H8" s="14">
        <f>COUNTIFS('架電リスト'!$C$5:$C$17,$A8,'架電リスト'!$J$5:$J$17,"アポ獲得")</f>
        <v/>
      </c>
      <c r="I8" s="14">
        <f>COUNTIFS('架電リスト'!$C$5:$C$17,$A8,'架電リスト'!$J$5:$J$17,"検討中")</f>
        <v/>
      </c>
      <c r="J8" s="14">
        <f>COUNTIFS('架電リスト'!$C$5:$C$17,$A8,'架電リスト'!$J$5:$J$17,"NG")</f>
        <v/>
      </c>
      <c r="K8" s="14">
        <f>COUNTIFS('架電リスト'!$C$5:$C$17,$A8,'架電リスト'!$J$5:$J$17,"番号不明")</f>
        <v/>
      </c>
    </row>
    <row r="9">
      <c r="A9" s="15" t="inlineStr">
        <is>
          <t>合計</t>
        </is>
      </c>
      <c r="B9" s="15">
        <f>SUM(B4:B8)</f>
        <v/>
      </c>
      <c r="C9" s="15">
        <f>SUM(C4:C8)</f>
        <v/>
      </c>
      <c r="D9" s="15">
        <f>SUM(D4:D8)</f>
        <v/>
      </c>
      <c r="E9" s="15">
        <f>SUM(E4:E8)</f>
        <v/>
      </c>
      <c r="F9" s="15">
        <f>SUM(F4:F8)</f>
        <v/>
      </c>
      <c r="G9" s="15">
        <f>SUM(G4:G8)</f>
        <v/>
      </c>
      <c r="H9" s="15">
        <f>SUM(H4:H8)</f>
        <v/>
      </c>
      <c r="I9" s="15">
        <f>SUM(I4:I8)</f>
        <v/>
      </c>
      <c r="J9" s="15">
        <f>SUM(J4:J8)</f>
        <v/>
      </c>
      <c r="K9" s="15">
        <f>SUM(K4:K8)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・「番号の確度」：高＝公式サイト、または2つ以上の情報源で一致／中＝情報サイト1件のみで確認／低・要調査＝特定できず。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・市区町村で絞り込む場合は、見出し行「所在地（市区町村）」の▼（フィルター）を使用してください。</t>
        </is>
      </c>
    </row>
    <row r="8">
      <c r="A8" s="17" t="inlineStr">
        <is>
          <t>・「市区町村別集計」は入力内容に連動して自動で集計されます（学校数の多い順）。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・出典：ご提供いただいた学校ネットの検索結果（私立高校・岩手県、13校）の貼り付けデータ。並び順は元データの掲載順です。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道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2026-10-09T01:02:30Z</dcterms:created>
  <dcterms:modified xsi:type="dcterms:W3CDTF">2026-10-09T01:02:30Z</dcterms:modified>
</cp:coreProperties>
</file>