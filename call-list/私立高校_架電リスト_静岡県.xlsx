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架電リスト" sheetId="1" state="visible" r:id="rId1"/>
    <sheet name="市区町村別集計" sheetId="2" state="visible" r:id="rId2"/>
    <sheet name="使い方・注意事項" sheetId="3" state="visible" r:id="rId3"/>
  </sheets>
  <definedNames>
    <definedName name="_xlnm._FilterDatabase" localSheetId="0" hidden="1">'架電リスト'!$A$4:$O$47</definedName>
    <definedName name="_xlnm.Print_Titles" localSheetId="0">'架電リスト'!$4:$4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10">
    <font>
      <name val="Calibri"/>
      <family val="2"/>
      <color theme="1"/>
      <sz val="11"/>
      <scheme val="minor"/>
    </font>
    <font>
      <name val="Yu Gothic"/>
      <b val="1"/>
      <sz val="14"/>
    </font>
    <font>
      <name val="Yu Gothic"/>
      <color rgb="00595959"/>
      <sz val="9"/>
    </font>
    <font>
      <name val="Yu Gothic"/>
      <b val="1"/>
      <color rgb="00FFFFFF"/>
      <sz val="10"/>
    </font>
    <font>
      <name val="Yu Gothic"/>
      <sz val="10"/>
    </font>
    <font>
      <name val="Yu Gothic"/>
      <color rgb="00595959"/>
      <sz val="8"/>
    </font>
    <font>
      <name val="Yu Gothic"/>
      <sz val="9"/>
    </font>
    <font>
      <name val="Yu Gothic"/>
      <color rgb="000563C1"/>
      <sz val="10"/>
      <u val="single"/>
    </font>
    <font>
      <name val="Yu Gothic"/>
      <b val="1"/>
      <sz val="10"/>
    </font>
    <font>
      <name val="Yu Gothic"/>
      <b val="1"/>
      <sz val="1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49" fontId="4" fillId="0" borderId="1" applyAlignment="1" pivotButton="0" quotePrefix="0" xfId="0">
      <alignment vertical="center"/>
    </xf>
    <xf numFmtId="0" fontId="4" fillId="4" borderId="1" applyAlignment="1" pivotButton="0" quotePrefix="0" xfId="0">
      <alignment horizontal="center" vertical="center"/>
    </xf>
    <xf numFmtId="164" fontId="4" fillId="3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0" fontId="6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horizontal="center" vertical="center"/>
    </xf>
    <xf numFmtId="0" fontId="4" fillId="0" borderId="1" pivotButton="0" quotePrefix="0" xfId="0"/>
    <xf numFmtId="0" fontId="8" fillId="5" borderId="1" pivotButton="0" quotePrefix="0" xfId="0"/>
    <xf numFmtId="0" fontId="9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ont>
        <color rgb="00808080"/>
      </font>
      <fill>
        <patternFill patternType="solid">
          <f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akkou.net/kou/view/index_303473.html" TargetMode="External" Id="rId1" /><Relationship Type="http://schemas.openxmlformats.org/officeDocument/2006/relationships/hyperlink" Target="https://www.gakkou.net/kou/view/index_303432.html" TargetMode="External" Id="rId2" /><Relationship Type="http://schemas.openxmlformats.org/officeDocument/2006/relationships/hyperlink" Target="https://www.gakkou.net/kou/view/index_303304.html" TargetMode="External" Id="rId3" /><Relationship Type="http://schemas.openxmlformats.org/officeDocument/2006/relationships/hyperlink" Target="https://www.gakkou.net/kou/view/index_303307.html" TargetMode="External" Id="rId4" /><Relationship Type="http://schemas.openxmlformats.org/officeDocument/2006/relationships/hyperlink" Target="https://www.gakkou.net/kou/view/index_306559.html" TargetMode="External" Id="rId5" /><Relationship Type="http://schemas.openxmlformats.org/officeDocument/2006/relationships/hyperlink" Target="https://www.gakkou.net/kou/view/index_303335.html" TargetMode="External" Id="rId6" /><Relationship Type="http://schemas.openxmlformats.org/officeDocument/2006/relationships/hyperlink" Target="https://www.gakkou.net/kou/view/index_303374.html" TargetMode="External" Id="rId7" /><Relationship Type="http://schemas.openxmlformats.org/officeDocument/2006/relationships/hyperlink" Target="https://www.gakkou.net/kou/view/index_303386.html" TargetMode="External" Id="rId8" /><Relationship Type="http://schemas.openxmlformats.org/officeDocument/2006/relationships/hyperlink" Target="https://www.gakkou.net/kou/view/index_303377.html" TargetMode="External" Id="rId9" /><Relationship Type="http://schemas.openxmlformats.org/officeDocument/2006/relationships/hyperlink" Target="https://www.gakkou.net/kou/view/index_303420.html" TargetMode="External" Id="rId10" /><Relationship Type="http://schemas.openxmlformats.org/officeDocument/2006/relationships/hyperlink" Target="https://www.gakkou.net/kou/view/index_303349.html" TargetMode="External" Id="rId11" /><Relationship Type="http://schemas.openxmlformats.org/officeDocument/2006/relationships/hyperlink" Target="https://www.gakkou.net/kou/view/index_303398.html" TargetMode="External" Id="rId12" /><Relationship Type="http://schemas.openxmlformats.org/officeDocument/2006/relationships/hyperlink" Target="https://www.gakkou.net/kou/view/index_303391.html" TargetMode="External" Id="rId13" /><Relationship Type="http://schemas.openxmlformats.org/officeDocument/2006/relationships/hyperlink" Target="https://www.gakkou.net/kou/view/index_303388.html" TargetMode="External" Id="rId14" /><Relationship Type="http://schemas.openxmlformats.org/officeDocument/2006/relationships/hyperlink" Target="https://www.gakkou.net/kou/view/index_303368.html" TargetMode="External" Id="rId15" /><Relationship Type="http://schemas.openxmlformats.org/officeDocument/2006/relationships/hyperlink" Target="https://www.gakkou.net/kou/view/index_303371.html" TargetMode="External" Id="rId16" /><Relationship Type="http://schemas.openxmlformats.org/officeDocument/2006/relationships/hyperlink" Target="https://www.gakkou.net/kou/view/index_303416.html" TargetMode="External" Id="rId17" /><Relationship Type="http://schemas.openxmlformats.org/officeDocument/2006/relationships/hyperlink" Target="https://www.gakkou.net/kou/view/index_303395.html" TargetMode="External" Id="rId18" /><Relationship Type="http://schemas.openxmlformats.org/officeDocument/2006/relationships/hyperlink" Target="https://www.gakkou.net/kou/view/index_303390.html" TargetMode="External" Id="rId19" /><Relationship Type="http://schemas.openxmlformats.org/officeDocument/2006/relationships/hyperlink" Target="https://www.gakkou.net/kou/view/index_303312.html" TargetMode="External" Id="rId20" /><Relationship Type="http://schemas.openxmlformats.org/officeDocument/2006/relationships/hyperlink" Target="https://www.gakkou.net/kou/view/index_303406.html" TargetMode="External" Id="rId21" /><Relationship Type="http://schemas.openxmlformats.org/officeDocument/2006/relationships/hyperlink" Target="https://www.gakkou.net/kou/view/index_303356.html" TargetMode="External" Id="rId22" /><Relationship Type="http://schemas.openxmlformats.org/officeDocument/2006/relationships/hyperlink" Target="https://www.gakkou.net/kou/view/index_303450.html" TargetMode="External" Id="rId23" /><Relationship Type="http://schemas.openxmlformats.org/officeDocument/2006/relationships/hyperlink" Target="https://www.gakkou.net/kou/view/index_303333.html" TargetMode="External" Id="rId24" /><Relationship Type="http://schemas.openxmlformats.org/officeDocument/2006/relationships/hyperlink" Target="https://www.gakkou.net/kou/view/index_303401.html" TargetMode="External" Id="rId25" /><Relationship Type="http://schemas.openxmlformats.org/officeDocument/2006/relationships/hyperlink" Target="https://www.gakkou.net/kou/view/index_303311.html" TargetMode="External" Id="rId26" /><Relationship Type="http://schemas.openxmlformats.org/officeDocument/2006/relationships/hyperlink" Target="https://www.gakkou.net/kou/view/index_303474.html" TargetMode="External" Id="rId27" /><Relationship Type="http://schemas.openxmlformats.org/officeDocument/2006/relationships/hyperlink" Target="https://www.gakkou.net/kou/view/index_303376.html" TargetMode="External" Id="rId28" /><Relationship Type="http://schemas.openxmlformats.org/officeDocument/2006/relationships/hyperlink" Target="https://www.gakkou.net/kou/view/index_303367.html" TargetMode="External" Id="rId29" /><Relationship Type="http://schemas.openxmlformats.org/officeDocument/2006/relationships/hyperlink" Target="https://www.gakkou.net/kou/view/index_303328.html" TargetMode="External" Id="rId30" /><Relationship Type="http://schemas.openxmlformats.org/officeDocument/2006/relationships/hyperlink" Target="https://www.gakkou.net/kou/view/index_303310.html" TargetMode="External" Id="rId31" /><Relationship Type="http://schemas.openxmlformats.org/officeDocument/2006/relationships/hyperlink" Target="https://www.gakkou.net/kou/view/index_303426.html" TargetMode="External" Id="rId32" /><Relationship Type="http://schemas.openxmlformats.org/officeDocument/2006/relationships/hyperlink" Target="https://www.gakkou.net/kou/view/index_303425.html" TargetMode="External" Id="rId33" /><Relationship Type="http://schemas.openxmlformats.org/officeDocument/2006/relationships/hyperlink" Target="https://www.gakkou.net/kou/view/index_303423.html" TargetMode="External" Id="rId34" /><Relationship Type="http://schemas.openxmlformats.org/officeDocument/2006/relationships/hyperlink" Target="https://www.gakkou.net/kou/view/index_306572.html" TargetMode="External" Id="rId35" /><Relationship Type="http://schemas.openxmlformats.org/officeDocument/2006/relationships/hyperlink" Target="https://www.gakkou.net/kou/view/index_303422.html" TargetMode="External" Id="rId36" /><Relationship Type="http://schemas.openxmlformats.org/officeDocument/2006/relationships/hyperlink" Target="https://www.gakkou.net/kou/view/index_303447.html" TargetMode="External" Id="rId37" /><Relationship Type="http://schemas.openxmlformats.org/officeDocument/2006/relationships/hyperlink" Target="https://www.gakkou.net/kou/view/index_303438.html" TargetMode="External" Id="rId38" /><Relationship Type="http://schemas.openxmlformats.org/officeDocument/2006/relationships/hyperlink" Target="https://www.gakkou.net/kou/view/index_303306.html" TargetMode="External" Id="rId39" /><Relationship Type="http://schemas.openxmlformats.org/officeDocument/2006/relationships/hyperlink" Target="https://www.gakkou.net/kou/view/index_303412.html" TargetMode="External" Id="rId40" /><Relationship Type="http://schemas.openxmlformats.org/officeDocument/2006/relationships/hyperlink" Target="https://www.gakkou.net/kou/view/index_303411.html" TargetMode="External" Id="rId41" /><Relationship Type="http://schemas.openxmlformats.org/officeDocument/2006/relationships/hyperlink" Target="https://www.gakkou.net/kou/view/index_303317.html" TargetMode="External" Id="rId42" /><Relationship Type="http://schemas.openxmlformats.org/officeDocument/2006/relationships/hyperlink" Target="https://www.gakkou.net/kou/view/index_303402.html" TargetMode="External" Id="rId43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47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38" customWidth="1" min="4" max="4"/>
    <col width="15" customWidth="1" min="5" max="5"/>
    <col width="9" customWidth="1" min="6" max="6"/>
    <col width="16" customWidth="1" min="7" max="7"/>
    <col width="12" customWidth="1" min="8" max="8"/>
    <col width="12" customWidth="1" min="9" max="9"/>
    <col width="16" customWidth="1" min="10" max="10"/>
    <col width="12" customWidth="1" min="11" max="11"/>
    <col width="30" customWidth="1" min="12" max="12"/>
    <col width="46" customWidth="1" min="13" max="13"/>
    <col width="40" customWidth="1" min="14" max="14"/>
    <col width="12" customWidth="1" min="15" max="15"/>
  </cols>
  <sheetData>
    <row r="1">
      <c r="A1" s="1" t="inlineStr">
        <is>
          <t>私立高等学校 架電リスト（静岡県／43校）</t>
        </is>
      </c>
    </row>
    <row r="2">
      <c r="A2" s="2" t="inlineStr">
        <is>
          <t>出典：学校ネット 私立高校検索結果（ご提供の貼り付けデータ）。電話番号は2026年10月にWeb検索で調査（確度はF列、出典はN列）。架電前に「確度：中・低」の番号は念のためご確認ください。</t>
        </is>
      </c>
    </row>
    <row r="4">
      <c r="A4" s="3" t="inlineStr">
        <is>
          <t>No.</t>
        </is>
      </c>
      <c r="B4" s="3" t="inlineStr">
        <is>
          <t>都道府県</t>
        </is>
      </c>
      <c r="C4" s="3" t="inlineStr">
        <is>
          <t>所在地（市区町村）</t>
        </is>
      </c>
      <c r="D4" s="3" t="inlineStr">
        <is>
          <t>学校名</t>
        </is>
      </c>
      <c r="E4" s="3" t="inlineStr">
        <is>
          <t>電話番号</t>
        </is>
      </c>
      <c r="F4" s="3" t="inlineStr">
        <is>
          <t>番号の確度</t>
        </is>
      </c>
      <c r="G4" s="3" t="inlineStr">
        <is>
          <t>学科</t>
        </is>
      </c>
      <c r="H4" s="3" t="inlineStr">
        <is>
          <t>架電日</t>
        </is>
      </c>
      <c r="I4" s="3" t="inlineStr">
        <is>
          <t>担当者</t>
        </is>
      </c>
      <c r="J4" s="3" t="inlineStr">
        <is>
          <t>架電結果</t>
        </is>
      </c>
      <c r="K4" s="3" t="inlineStr">
        <is>
          <t>次回連絡日</t>
        </is>
      </c>
      <c r="L4" s="3" t="inlineStr">
        <is>
          <t>メモ</t>
        </is>
      </c>
      <c r="M4" s="3" t="inlineStr">
        <is>
          <t>電話番号の補足</t>
        </is>
      </c>
      <c r="N4" s="3" t="inlineStr">
        <is>
          <t>電話番号の出典</t>
        </is>
      </c>
      <c r="O4" s="3" t="inlineStr">
        <is>
          <t>学校情報ページ</t>
        </is>
      </c>
    </row>
    <row r="5">
      <c r="A5" s="4" t="n">
        <v>1</v>
      </c>
      <c r="B5" s="5" t="inlineStr">
        <is>
          <t>静岡県</t>
        </is>
      </c>
      <c r="C5" s="5" t="inlineStr">
        <is>
          <t>磐田市</t>
        </is>
      </c>
      <c r="D5" s="5" t="inlineStr">
        <is>
          <t>磐田東高等学校</t>
        </is>
      </c>
      <c r="E5" s="6" t="inlineStr">
        <is>
          <t>0538-32-6118</t>
        </is>
      </c>
      <c r="F5" s="7" t="inlineStr">
        <is>
          <t>高</t>
        </is>
      </c>
      <c r="G5" s="5" t="inlineStr">
        <is>
          <t>普通科・専門学科</t>
        </is>
      </c>
      <c r="H5" s="8" t="n"/>
      <c r="I5" s="9" t="n"/>
      <c r="J5" s="9" t="inlineStr">
        <is>
          <t>未架電</t>
        </is>
      </c>
      <c r="K5" s="8" t="n"/>
      <c r="L5" s="9" t="n"/>
      <c r="M5" s="10" t="inlineStr">
        <is>
          <t>公式サイトで確認。中高共通</t>
        </is>
      </c>
      <c r="N5" s="11" t="inlineStr">
        <is>
          <t>https://www.iwatahigashi-h.ed.jp/ ; https://www.mapion.co.jp/phonebook/M11004/22211/ILSP0000041612_ipclm/</t>
        </is>
      </c>
      <c r="O5" s="12" t="inlineStr">
        <is>
          <t>開く</t>
        </is>
      </c>
    </row>
    <row r="6">
      <c r="A6" s="4" t="n">
        <v>2</v>
      </c>
      <c r="B6" s="5" t="inlineStr">
        <is>
          <t>静岡県</t>
        </is>
      </c>
      <c r="C6" s="5" t="inlineStr">
        <is>
          <t>浜松市中央区</t>
        </is>
      </c>
      <c r="D6" s="5" t="inlineStr">
        <is>
          <t>オイスカ浜松国際高等学校</t>
        </is>
      </c>
      <c r="E6" s="6" t="inlineStr">
        <is>
          <t>053-486-3011</t>
        </is>
      </c>
      <c r="F6" s="7" t="inlineStr">
        <is>
          <t>高</t>
        </is>
      </c>
      <c r="G6" s="5" t="inlineStr">
        <is>
          <t>普通科</t>
        </is>
      </c>
      <c r="H6" s="8" t="n"/>
      <c r="I6" s="9" t="n"/>
      <c r="J6" s="9" t="inlineStr">
        <is>
          <t>未架電</t>
        </is>
      </c>
      <c r="K6" s="8" t="n"/>
      <c r="L6" s="9" t="n"/>
      <c r="M6" s="10" t="inlineStr">
        <is>
          <t>公式サイトで確認。所在地は浜松市中央区</t>
        </is>
      </c>
      <c r="N6" s="11" t="inlineStr">
        <is>
          <t>https://www.oisca.ed.jp/school/access/ ; https://www.minkou.jp/hischool/school/646/</t>
        </is>
      </c>
      <c r="O6" s="12" t="inlineStr">
        <is>
          <t>開く</t>
        </is>
      </c>
    </row>
    <row r="7">
      <c r="A7" s="4" t="n">
        <v>3</v>
      </c>
      <c r="B7" s="5" t="inlineStr">
        <is>
          <t>静岡県</t>
        </is>
      </c>
      <c r="C7" s="5" t="inlineStr">
        <is>
          <t>沼津市</t>
        </is>
      </c>
      <c r="D7" s="5" t="inlineStr">
        <is>
          <t>加藤学園暁秀高等学校</t>
        </is>
      </c>
      <c r="E7" s="6" t="inlineStr">
        <is>
          <t>055-924-1900</t>
        </is>
      </c>
      <c r="F7" s="7" t="inlineStr">
        <is>
          <t>高</t>
        </is>
      </c>
      <c r="G7" s="5" t="inlineStr">
        <is>
          <t>普通科</t>
        </is>
      </c>
      <c r="H7" s="8" t="n"/>
      <c r="I7" s="9" t="n"/>
      <c r="J7" s="9" t="inlineStr">
        <is>
          <t>未架電</t>
        </is>
      </c>
      <c r="K7" s="8" t="n"/>
      <c r="L7" s="9" t="n"/>
      <c r="M7" s="10" t="inlineStr">
        <is>
          <t>中高共通。加藤学園高校とは別の学校</t>
        </is>
      </c>
      <c r="N7" s="11" t="inlineStr">
        <is>
          <t>https://www.mapion.co.jp/phonebook/M11004/22203/ILSP0000041290_ipclm/ ; https://school.js88.com/scl_h/22009120</t>
        </is>
      </c>
      <c r="O7" s="12" t="inlineStr">
        <is>
          <t>開く</t>
        </is>
      </c>
    </row>
    <row r="8">
      <c r="A8" s="4" t="n">
        <v>4</v>
      </c>
      <c r="B8" s="5" t="inlineStr">
        <is>
          <t>静岡県</t>
        </is>
      </c>
      <c r="C8" s="5" t="inlineStr">
        <is>
          <t>沼津市</t>
        </is>
      </c>
      <c r="D8" s="5" t="inlineStr">
        <is>
          <t>加藤学園高等学校</t>
        </is>
      </c>
      <c r="E8" s="6" t="inlineStr">
        <is>
          <t>055-921-0347</t>
        </is>
      </c>
      <c r="F8" s="7" t="inlineStr">
        <is>
          <t>高</t>
        </is>
      </c>
      <c r="G8" s="5" t="inlineStr">
        <is>
          <t>普通科</t>
        </is>
      </c>
      <c r="H8" s="8" t="n"/>
      <c r="I8" s="9" t="n"/>
      <c r="J8" s="9" t="inlineStr">
        <is>
          <t>未架電</t>
        </is>
      </c>
      <c r="K8" s="8" t="n"/>
      <c r="L8" s="9" t="n"/>
      <c r="M8" s="10" t="inlineStr">
        <is>
          <t>公式サイトに「代表」と記載。加藤学園暁秀とは別の学校</t>
        </is>
      </c>
      <c r="N8" s="11" t="inlineStr">
        <is>
          <t>https://www.katogaku.jp/KatohHS/</t>
        </is>
      </c>
      <c r="O8" s="12" t="inlineStr">
        <is>
          <t>開く</t>
        </is>
      </c>
    </row>
    <row r="9">
      <c r="A9" s="4" t="n">
        <v>5</v>
      </c>
      <c r="B9" s="5" t="inlineStr">
        <is>
          <t>静岡県</t>
        </is>
      </c>
      <c r="C9" s="5" t="inlineStr">
        <is>
          <t>吉田町</t>
        </is>
      </c>
      <c r="D9" s="5" t="inlineStr">
        <is>
          <t>キラリ高等学校</t>
        </is>
      </c>
      <c r="E9" s="6" t="inlineStr">
        <is>
          <t>0548-33-4976</t>
        </is>
      </c>
      <c r="F9" s="7" t="inlineStr">
        <is>
          <t>高</t>
        </is>
      </c>
      <c r="G9" s="5" t="inlineStr">
        <is>
          <t>普通科</t>
        </is>
      </c>
      <c r="H9" s="8" t="n"/>
      <c r="I9" s="9" t="n"/>
      <c r="J9" s="9" t="inlineStr">
        <is>
          <t>未架電</t>
        </is>
      </c>
      <c r="K9" s="8" t="n"/>
      <c r="L9" s="9" t="n"/>
      <c r="M9" s="10" t="inlineStr">
        <is>
          <t>通信制。吉田本校の番号（公式サイト）</t>
        </is>
      </c>
      <c r="N9" s="11" t="inlineStr">
        <is>
          <t>https://www.kirari-highschool.jp/introduction/access/</t>
        </is>
      </c>
      <c r="O9" s="12" t="inlineStr">
        <is>
          <t>開く</t>
        </is>
      </c>
    </row>
    <row r="10">
      <c r="A10" s="4" t="n">
        <v>6</v>
      </c>
      <c r="B10" s="5" t="inlineStr">
        <is>
          <t>静岡県</t>
        </is>
      </c>
      <c r="C10" s="5" t="inlineStr">
        <is>
          <t>御殿場市</t>
        </is>
      </c>
      <c r="D10" s="5" t="inlineStr">
        <is>
          <t>御殿場西高等学校</t>
        </is>
      </c>
      <c r="E10" s="6" t="inlineStr">
        <is>
          <t>0550-89-2466</t>
        </is>
      </c>
      <c r="F10" s="7" t="inlineStr">
        <is>
          <t>高</t>
        </is>
      </c>
      <c r="G10" s="5" t="inlineStr">
        <is>
          <t>普通科</t>
        </is>
      </c>
      <c r="H10" s="8" t="n"/>
      <c r="I10" s="9" t="n"/>
      <c r="J10" s="9" t="inlineStr">
        <is>
          <t>未架電</t>
        </is>
      </c>
      <c r="K10" s="8" t="n"/>
      <c r="L10" s="9" t="n"/>
      <c r="M10" s="10" t="inlineStr">
        <is>
          <t>公式サイトで確認</t>
        </is>
      </c>
      <c r="N10" s="11" t="inlineStr">
        <is>
          <t>https://gotembanishi-h.ed.jp/access/</t>
        </is>
      </c>
      <c r="O10" s="12" t="inlineStr">
        <is>
          <t>開く</t>
        </is>
      </c>
    </row>
    <row r="11">
      <c r="A11" s="4" t="n">
        <v>7</v>
      </c>
      <c r="B11" s="5" t="inlineStr">
        <is>
          <t>静岡県</t>
        </is>
      </c>
      <c r="C11" s="5" t="inlineStr">
        <is>
          <t>静岡市葵区</t>
        </is>
      </c>
      <c r="D11" s="5" t="inlineStr">
        <is>
          <t>静岡英和女学院高等学校</t>
        </is>
      </c>
      <c r="E11" s="6" t="inlineStr">
        <is>
          <t>054-254-7401</t>
        </is>
      </c>
      <c r="F11" s="7" t="inlineStr">
        <is>
          <t>高</t>
        </is>
      </c>
      <c r="G11" s="5" t="inlineStr">
        <is>
          <t>普通科</t>
        </is>
      </c>
      <c r="H11" s="8" t="n"/>
      <c r="I11" s="9" t="n"/>
      <c r="J11" s="9" t="inlineStr">
        <is>
          <t>未架電</t>
        </is>
      </c>
      <c r="K11" s="8" t="n"/>
      <c r="L11" s="9" t="n"/>
      <c r="M11" s="10" t="inlineStr">
        <is>
          <t>中高共通。2つのサイトで一致</t>
        </is>
      </c>
      <c r="N11" s="11" t="inlineStr">
        <is>
          <t>https://www.mapion.co.jp/phonebook/M11004/22101/ILSP0000040742_ipclm/ ; https://shizu-hsmap.com/3460/</t>
        </is>
      </c>
      <c r="O11" s="12" t="inlineStr">
        <is>
          <t>開く</t>
        </is>
      </c>
    </row>
    <row r="12">
      <c r="A12" s="4" t="n">
        <v>8</v>
      </c>
      <c r="B12" s="5" t="inlineStr">
        <is>
          <t>静岡県</t>
        </is>
      </c>
      <c r="C12" s="5" t="inlineStr">
        <is>
          <t>静岡市葵区</t>
        </is>
      </c>
      <c r="D12" s="5" t="inlineStr">
        <is>
          <t>静岡学園高等学校</t>
        </is>
      </c>
      <c r="E12" s="6" t="inlineStr">
        <is>
          <t>054-200-0191</t>
        </is>
      </c>
      <c r="F12" s="7" t="inlineStr">
        <is>
          <t>高</t>
        </is>
      </c>
      <c r="G12" s="5" t="inlineStr">
        <is>
          <t>普通科・専門学科</t>
        </is>
      </c>
      <c r="H12" s="8" t="n"/>
      <c r="I12" s="9" t="n"/>
      <c r="J12" s="9" t="inlineStr">
        <is>
          <t>未架電</t>
        </is>
      </c>
      <c r="K12" s="8" t="n"/>
      <c r="L12" s="9" t="n"/>
      <c r="M12" s="10" t="inlineStr">
        <is>
          <t>公式サイトで確認。中高共通</t>
        </is>
      </c>
      <c r="N12" s="11" t="inlineStr">
        <is>
          <t>https://www.shizugaku.ed.jp/</t>
        </is>
      </c>
      <c r="O12" s="12" t="inlineStr">
        <is>
          <t>開く</t>
        </is>
      </c>
    </row>
    <row r="13">
      <c r="A13" s="4" t="n">
        <v>9</v>
      </c>
      <c r="B13" s="5" t="inlineStr">
        <is>
          <t>静岡県</t>
        </is>
      </c>
      <c r="C13" s="5" t="inlineStr">
        <is>
          <t>静岡市葵区</t>
        </is>
      </c>
      <c r="D13" s="5" t="inlineStr">
        <is>
          <t>静岡北高等学校</t>
        </is>
      </c>
      <c r="E13" s="6" t="inlineStr">
        <is>
          <t>054-261-5801</t>
        </is>
      </c>
      <c r="F13" s="7" t="inlineStr">
        <is>
          <t>高</t>
        </is>
      </c>
      <c r="G13" s="5" t="inlineStr">
        <is>
          <t>普通科・専門学科</t>
        </is>
      </c>
      <c r="H13" s="8" t="n"/>
      <c r="I13" s="9" t="n"/>
      <c r="J13" s="9" t="inlineStr">
        <is>
          <t>未架電</t>
        </is>
      </c>
      <c r="K13" s="8" t="n"/>
      <c r="L13" s="9" t="n"/>
      <c r="M13" s="10" t="inlineStr">
        <is>
          <t>公式サイトに「代表」と記載。中学校は054-267-6151</t>
        </is>
      </c>
      <c r="N13" s="11" t="inlineStr">
        <is>
          <t>https://shizukita.jp/contact/</t>
        </is>
      </c>
      <c r="O13" s="12" t="inlineStr">
        <is>
          <t>開く</t>
        </is>
      </c>
    </row>
    <row r="14">
      <c r="A14" s="4" t="n">
        <v>10</v>
      </c>
      <c r="B14" s="5" t="inlineStr">
        <is>
          <t>静岡県</t>
        </is>
      </c>
      <c r="C14" s="5" t="inlineStr">
        <is>
          <t>浜松市中央区</t>
        </is>
      </c>
      <c r="D14" s="5" t="inlineStr">
        <is>
          <t>静岡県西遠女子学園高等学校</t>
        </is>
      </c>
      <c r="E14" s="6" t="inlineStr">
        <is>
          <t>053-461-0374</t>
        </is>
      </c>
      <c r="F14" s="7" t="inlineStr">
        <is>
          <t>高</t>
        </is>
      </c>
      <c r="G14" s="5" t="inlineStr">
        <is>
          <t>普通科</t>
        </is>
      </c>
      <c r="H14" s="8" t="n"/>
      <c r="I14" s="9" t="n"/>
      <c r="J14" s="9" t="inlineStr">
        <is>
          <t>未架電</t>
        </is>
      </c>
      <c r="K14" s="8" t="n"/>
      <c r="L14" s="9" t="n"/>
      <c r="M14" s="10" t="inlineStr">
        <is>
          <t>公式サイトで確認。中高共通。所在地は浜松市中央区</t>
        </is>
      </c>
      <c r="N14" s="11" t="inlineStr">
        <is>
          <t>https://www.seien.ed.jp/</t>
        </is>
      </c>
      <c r="O14" s="12" t="inlineStr">
        <is>
          <t>開く</t>
        </is>
      </c>
    </row>
    <row r="15">
      <c r="A15" s="4" t="n">
        <v>11</v>
      </c>
      <c r="B15" s="5" t="inlineStr">
        <is>
          <t>静岡県</t>
        </is>
      </c>
      <c r="C15" s="5" t="inlineStr">
        <is>
          <t>富士市</t>
        </is>
      </c>
      <c r="D15" s="5" t="inlineStr">
        <is>
          <t>静岡県富士見高等学校</t>
        </is>
      </c>
      <c r="E15" s="6" t="inlineStr">
        <is>
          <t>0545-61-0250</t>
        </is>
      </c>
      <c r="F15" s="7" t="inlineStr">
        <is>
          <t>高</t>
        </is>
      </c>
      <c r="G15" s="5" t="inlineStr">
        <is>
          <t>普通科</t>
        </is>
      </c>
      <c r="H15" s="8" t="n"/>
      <c r="I15" s="9" t="n"/>
      <c r="J15" s="9" t="inlineStr">
        <is>
          <t>未架電</t>
        </is>
      </c>
      <c r="K15" s="8" t="n"/>
      <c r="L15" s="9" t="n"/>
      <c r="M15" s="10" t="inlineStr">
        <is>
          <t>公式サイトで確認。中高共通</t>
        </is>
      </c>
      <c r="N15" s="11" t="inlineStr">
        <is>
          <t>https://fujimi.ed.jp/</t>
        </is>
      </c>
      <c r="O15" s="12" t="inlineStr">
        <is>
          <t>開く</t>
        </is>
      </c>
    </row>
    <row r="16">
      <c r="A16" s="4" t="n">
        <v>12</v>
      </c>
      <c r="B16" s="5" t="inlineStr">
        <is>
          <t>静岡県</t>
        </is>
      </c>
      <c r="C16" s="5" t="inlineStr">
        <is>
          <t>静岡市清水区</t>
        </is>
      </c>
      <c r="D16" s="5" t="inlineStr">
        <is>
          <t>静岡サレジオ高等学校</t>
        </is>
      </c>
      <c r="E16" s="6" t="inlineStr">
        <is>
          <t>054-345-2296</t>
        </is>
      </c>
      <c r="F16" s="7" t="inlineStr">
        <is>
          <t>高</t>
        </is>
      </c>
      <c r="G16" s="5" t="inlineStr">
        <is>
          <t>普通科</t>
        </is>
      </c>
      <c r="H16" s="8" t="n"/>
      <c r="I16" s="9" t="n"/>
      <c r="J16" s="9" t="inlineStr">
        <is>
          <t>未架電</t>
        </is>
      </c>
      <c r="K16" s="8" t="n"/>
      <c r="L16" s="9" t="n"/>
      <c r="M16" s="10" t="inlineStr">
        <is>
          <t>公式サイトで確認</t>
        </is>
      </c>
      <c r="N16" s="11" t="inlineStr">
        <is>
          <t>https://ssalesio.ac.jp/high/contact/</t>
        </is>
      </c>
      <c r="O16" s="12" t="inlineStr">
        <is>
          <t>開く</t>
        </is>
      </c>
    </row>
    <row r="17">
      <c r="A17" s="4" t="n">
        <v>13</v>
      </c>
      <c r="B17" s="5" t="inlineStr">
        <is>
          <t>静岡県</t>
        </is>
      </c>
      <c r="C17" s="5" t="inlineStr">
        <is>
          <t>静岡市駿河区</t>
        </is>
      </c>
      <c r="D17" s="5" t="inlineStr">
        <is>
          <t>静岡女子高等学校</t>
        </is>
      </c>
      <c r="E17" s="6" t="inlineStr">
        <is>
          <t>054-285-2274</t>
        </is>
      </c>
      <c r="F17" s="7" t="inlineStr">
        <is>
          <t>高</t>
        </is>
      </c>
      <c r="G17" s="5" t="inlineStr">
        <is>
          <t>普通科・専門学科</t>
        </is>
      </c>
      <c r="H17" s="8" t="n"/>
      <c r="I17" s="9" t="n"/>
      <c r="J17" s="9" t="inlineStr">
        <is>
          <t>未架電</t>
        </is>
      </c>
      <c r="K17" s="8" t="n"/>
      <c r="L17" s="9" t="n"/>
      <c r="M17" s="10" t="inlineStr">
        <is>
          <t>公式サイトで確認</t>
        </is>
      </c>
      <c r="N17" s="11" t="inlineStr">
        <is>
          <t>https://shizuoka-joshi.ac.jp/</t>
        </is>
      </c>
      <c r="O17" s="12" t="inlineStr">
        <is>
          <t>開く</t>
        </is>
      </c>
    </row>
    <row r="18">
      <c r="A18" s="4" t="n">
        <v>14</v>
      </c>
      <c r="B18" s="5" t="inlineStr">
        <is>
          <t>静岡県</t>
        </is>
      </c>
      <c r="C18" s="5" t="inlineStr">
        <is>
          <t>静岡市駿河区</t>
        </is>
      </c>
      <c r="D18" s="5" t="inlineStr">
        <is>
          <t>静岡聖光学院高等学校</t>
        </is>
      </c>
      <c r="E18" s="6" t="inlineStr">
        <is>
          <t>054-285-9136</t>
        </is>
      </c>
      <c r="F18" s="7" t="inlineStr">
        <is>
          <t>高</t>
        </is>
      </c>
      <c r="G18" s="5" t="inlineStr">
        <is>
          <t>普通科</t>
        </is>
      </c>
      <c r="H18" s="8" t="n"/>
      <c r="I18" s="9" t="n"/>
      <c r="J18" s="9" t="inlineStr">
        <is>
          <t>未架電</t>
        </is>
      </c>
      <c r="K18" s="8" t="n"/>
      <c r="L18" s="9" t="n"/>
      <c r="M18" s="10" t="inlineStr">
        <is>
          <t>中高共通。高校募集なし（完全中高一貫）。公式未確認</t>
        </is>
      </c>
      <c r="N18" s="11" t="inlineStr">
        <is>
          <t>https://www.mapion.co.jp/phonebook/M11004/22102/ILSP0000041139_ipclm/ ; https://itp.ne.jp/info/229451737200000899/</t>
        </is>
      </c>
      <c r="O18" s="12" t="inlineStr">
        <is>
          <t>開く</t>
        </is>
      </c>
    </row>
    <row r="19">
      <c r="A19" s="4" t="n">
        <v>15</v>
      </c>
      <c r="B19" s="5" t="inlineStr">
        <is>
          <t>静岡県</t>
        </is>
      </c>
      <c r="C19" s="5" t="inlineStr">
        <is>
          <t>静岡市葵区</t>
        </is>
      </c>
      <c r="D19" s="5" t="inlineStr">
        <is>
          <t>静岡大成高等学校</t>
        </is>
      </c>
      <c r="E19" s="6" t="inlineStr">
        <is>
          <t>054-254-7334</t>
        </is>
      </c>
      <c r="F19" s="7" t="inlineStr">
        <is>
          <t>高</t>
        </is>
      </c>
      <c r="G19" s="5" t="inlineStr">
        <is>
          <t>普通科</t>
        </is>
      </c>
      <c r="H19" s="8" t="n"/>
      <c r="I19" s="9" t="n"/>
      <c r="J19" s="9" t="inlineStr">
        <is>
          <t>未架電</t>
        </is>
      </c>
      <c r="K19" s="8" t="n"/>
      <c r="L19" s="9" t="n"/>
      <c r="M19" s="10" t="inlineStr">
        <is>
          <t>複数サイトで一致、公式未確認</t>
        </is>
      </c>
      <c r="N19" s="11" t="inlineStr">
        <is>
          <t>https://www.mapion.co.jp/phonebook/M11004/22101/ILSP0000040794_ipclm/</t>
        </is>
      </c>
      <c r="O19" s="12" t="inlineStr">
        <is>
          <t>開く</t>
        </is>
      </c>
    </row>
    <row r="20">
      <c r="A20" s="4" t="n">
        <v>16</v>
      </c>
      <c r="B20" s="5" t="inlineStr">
        <is>
          <t>静岡県</t>
        </is>
      </c>
      <c r="C20" s="5" t="inlineStr">
        <is>
          <t>静岡市葵区</t>
        </is>
      </c>
      <c r="D20" s="5" t="inlineStr">
        <is>
          <t>静岡雙葉高等学校</t>
        </is>
      </c>
      <c r="E20" s="6" t="inlineStr">
        <is>
          <t>054-255-0305</t>
        </is>
      </c>
      <c r="F20" s="7" t="inlineStr">
        <is>
          <t>高</t>
        </is>
      </c>
      <c r="G20" s="5" t="inlineStr">
        <is>
          <t>普通科</t>
        </is>
      </c>
      <c r="H20" s="8" t="n"/>
      <c r="I20" s="9" t="n"/>
      <c r="J20" s="9" t="inlineStr">
        <is>
          <t>未架電</t>
        </is>
      </c>
      <c r="K20" s="8" t="n"/>
      <c r="L20" s="9" t="n"/>
      <c r="M20" s="10" t="inlineStr">
        <is>
          <t>公式サイトで確認。中高共通</t>
        </is>
      </c>
      <c r="N20" s="11" t="inlineStr">
        <is>
          <t>https://shizuoka-futaba.ac.jp/graduate/certificate/ ; https://www.mapion.co.jp/phonebook/M11004/22101/ILSP0000041364_ipclm/</t>
        </is>
      </c>
      <c r="O20" s="12" t="inlineStr">
        <is>
          <t>開く</t>
        </is>
      </c>
    </row>
    <row r="21">
      <c r="A21" s="4" t="n">
        <v>17</v>
      </c>
      <c r="B21" s="5" t="inlineStr">
        <is>
          <t>静岡県</t>
        </is>
      </c>
      <c r="C21" s="5" t="inlineStr">
        <is>
          <t>島田市</t>
        </is>
      </c>
      <c r="D21" s="5" t="inlineStr">
        <is>
          <t>島田樟誠高等学校</t>
        </is>
      </c>
      <c r="E21" s="6" t="inlineStr">
        <is>
          <t>0547-37-3116</t>
        </is>
      </c>
      <c r="F21" s="7" t="inlineStr">
        <is>
          <t>高</t>
        </is>
      </c>
      <c r="G21" s="5" t="inlineStr">
        <is>
          <t>普通科</t>
        </is>
      </c>
      <c r="H21" s="8" t="n"/>
      <c r="I21" s="9" t="n"/>
      <c r="J21" s="9" t="inlineStr">
        <is>
          <t>未架電</t>
        </is>
      </c>
      <c r="K21" s="8" t="n"/>
      <c r="L21" s="9" t="n"/>
      <c r="M21" s="10" t="inlineStr">
        <is>
          <t>複数サイトで一致、公式未確認</t>
        </is>
      </c>
      <c r="N21" s="11" t="inlineStr">
        <is>
          <t>https://www.mapion.co.jp/phonebook/M11004/22209/ILSP0000041690_ipclm/ ; https://www.minkou.jp/hischool/school/2271/</t>
        </is>
      </c>
      <c r="O21" s="12" t="inlineStr">
        <is>
          <t>開く</t>
        </is>
      </c>
    </row>
    <row r="22">
      <c r="A22" s="4" t="n">
        <v>18</v>
      </c>
      <c r="B22" s="5" t="inlineStr">
        <is>
          <t>静岡県</t>
        </is>
      </c>
      <c r="C22" s="5" t="inlineStr">
        <is>
          <t>静岡市清水区</t>
        </is>
      </c>
      <c r="D22" s="5" t="inlineStr">
        <is>
          <t>清水国際高等学校</t>
        </is>
      </c>
      <c r="E22" s="6" t="inlineStr">
        <is>
          <t>054-366-4155</t>
        </is>
      </c>
      <c r="F22" s="7" t="inlineStr">
        <is>
          <t>高</t>
        </is>
      </c>
      <c r="G22" s="5" t="inlineStr">
        <is>
          <t>普通科・専門学科</t>
        </is>
      </c>
      <c r="H22" s="8" t="n"/>
      <c r="I22" s="9" t="n"/>
      <c r="J22" s="9" t="inlineStr">
        <is>
          <t>未架電</t>
        </is>
      </c>
      <c r="K22" s="8" t="n"/>
      <c r="L22" s="9" t="n"/>
      <c r="M22" s="10" t="inlineStr">
        <is>
          <t>公式サイトで確認</t>
        </is>
      </c>
      <c r="N22" s="11" t="inlineStr">
        <is>
          <t>https://www.shimizu-kokusai.ac.jp/</t>
        </is>
      </c>
      <c r="O22" s="12" t="inlineStr">
        <is>
          <t>開く</t>
        </is>
      </c>
    </row>
    <row r="23">
      <c r="A23" s="4" t="n">
        <v>19</v>
      </c>
      <c r="B23" s="5" t="inlineStr">
        <is>
          <t>静岡県</t>
        </is>
      </c>
      <c r="C23" s="5" t="inlineStr">
        <is>
          <t>静岡市駿河区</t>
        </is>
      </c>
      <c r="D23" s="5" t="inlineStr">
        <is>
          <t>城南静岡高等学校</t>
        </is>
      </c>
      <c r="E23" s="6" t="inlineStr">
        <is>
          <t>054-285-6156</t>
        </is>
      </c>
      <c r="F23" s="7" t="inlineStr">
        <is>
          <t>高</t>
        </is>
      </c>
      <c r="G23" s="5" t="inlineStr">
        <is>
          <t>普通科・専門学科</t>
        </is>
      </c>
      <c r="H23" s="8" t="n"/>
      <c r="I23" s="9" t="n"/>
      <c r="J23" s="9" t="inlineStr">
        <is>
          <t>未架電</t>
        </is>
      </c>
      <c r="K23" s="8" t="n"/>
      <c r="L23" s="9" t="n"/>
      <c r="M23" s="10" t="inlineStr">
        <is>
          <t>公式サイトで確認。中高共通</t>
        </is>
      </c>
      <c r="N23" s="11" t="inlineStr">
        <is>
          <t>https://www.johnan.ac.jp/</t>
        </is>
      </c>
      <c r="O23" s="12" t="inlineStr">
        <is>
          <t>開く</t>
        </is>
      </c>
    </row>
    <row r="24">
      <c r="A24" s="4" t="n">
        <v>20</v>
      </c>
      <c r="B24" s="5" t="inlineStr">
        <is>
          <t>静岡県</t>
        </is>
      </c>
      <c r="C24" s="5" t="inlineStr">
        <is>
          <t>沼津市</t>
        </is>
      </c>
      <c r="D24" s="5" t="inlineStr">
        <is>
          <t>誠恵高等学校</t>
        </is>
      </c>
      <c r="E24" s="6" t="inlineStr">
        <is>
          <t>055-921-5088</t>
        </is>
      </c>
      <c r="F24" s="7" t="inlineStr">
        <is>
          <t>高</t>
        </is>
      </c>
      <c r="G24" s="5" t="inlineStr">
        <is>
          <t>普通科</t>
        </is>
      </c>
      <c r="H24" s="8" t="n"/>
      <c r="I24" s="9" t="n"/>
      <c r="J24" s="9" t="inlineStr">
        <is>
          <t>未架電</t>
        </is>
      </c>
      <c r="K24" s="8" t="n"/>
      <c r="L24" s="9" t="n"/>
      <c r="M24" s="10" t="inlineStr">
        <is>
          <t>公式サイトに「代表」と記載</t>
        </is>
      </c>
      <c r="N24" s="11" t="inlineStr">
        <is>
          <t>http://www.seikei-on.ac.jp/contact/</t>
        </is>
      </c>
      <c r="O24" s="12" t="inlineStr">
        <is>
          <t>開く</t>
        </is>
      </c>
    </row>
    <row r="25">
      <c r="A25" s="4" t="n">
        <v>21</v>
      </c>
      <c r="B25" s="5" t="inlineStr">
        <is>
          <t>静岡県</t>
        </is>
      </c>
      <c r="C25" s="5" t="inlineStr">
        <is>
          <t>藤枝市</t>
        </is>
      </c>
      <c r="D25" s="5" t="inlineStr">
        <is>
          <t>静清高等学校</t>
        </is>
      </c>
      <c r="E25" s="6" t="inlineStr">
        <is>
          <t>054-641-6693</t>
        </is>
      </c>
      <c r="F25" s="7" t="inlineStr">
        <is>
          <t>高</t>
        </is>
      </c>
      <c r="G25" s="5" t="inlineStr">
        <is>
          <t>普通科・専門学科</t>
        </is>
      </c>
      <c r="H25" s="8" t="n"/>
      <c r="I25" s="9" t="n"/>
      <c r="J25" s="9" t="inlineStr">
        <is>
          <t>未架電</t>
        </is>
      </c>
      <c r="K25" s="8" t="n"/>
      <c r="L25" s="9" t="n"/>
      <c r="M25" s="10" t="inlineStr">
        <is>
          <t>公式サイトで確認。通信制課程も同じ番号</t>
        </is>
      </c>
      <c r="N25" s="11" t="inlineStr">
        <is>
          <t>https://seisei.ed.jp/access/</t>
        </is>
      </c>
      <c r="O25" s="12" t="inlineStr">
        <is>
          <t>開く</t>
        </is>
      </c>
    </row>
    <row r="26">
      <c r="A26" s="4" t="n">
        <v>22</v>
      </c>
      <c r="B26" s="5" t="inlineStr">
        <is>
          <t>静岡県</t>
        </is>
      </c>
      <c r="C26" s="5" t="inlineStr">
        <is>
          <t>富士宮市</t>
        </is>
      </c>
      <c r="D26" s="5" t="inlineStr">
        <is>
          <t>星陵高等学校</t>
        </is>
      </c>
      <c r="E26" s="6" t="inlineStr">
        <is>
          <t>0544-24-4811</t>
        </is>
      </c>
      <c r="F26" s="7" t="inlineStr">
        <is>
          <t>高</t>
        </is>
      </c>
      <c r="G26" s="5" t="inlineStr">
        <is>
          <t>普通科・専門学科</t>
        </is>
      </c>
      <c r="H26" s="8" t="n"/>
      <c r="I26" s="9" t="n"/>
      <c r="J26" s="9" t="inlineStr">
        <is>
          <t>未架電</t>
        </is>
      </c>
      <c r="K26" s="8" t="n"/>
      <c r="L26" s="9" t="n"/>
      <c r="M26" s="10" t="inlineStr">
        <is>
          <t>公式サイトで確認（静岡理工科大学星陵中学校・高等学校）</t>
        </is>
      </c>
      <c r="N26" s="11" t="inlineStr">
        <is>
          <t>https://starhill.ed.jp/hs/</t>
        </is>
      </c>
      <c r="O26" s="12" t="inlineStr">
        <is>
          <t>開く</t>
        </is>
      </c>
    </row>
    <row r="27">
      <c r="A27" s="4" t="n">
        <v>23</v>
      </c>
      <c r="B27" s="5" t="inlineStr">
        <is>
          <t>静岡県</t>
        </is>
      </c>
      <c r="C27" s="5" t="inlineStr">
        <is>
          <t>浜松市中央区</t>
        </is>
      </c>
      <c r="D27" s="5" t="inlineStr">
        <is>
          <t>聖隷クリストファー高等学校</t>
        </is>
      </c>
      <c r="E27" s="6" t="inlineStr">
        <is>
          <t>053-436-5313</t>
        </is>
      </c>
      <c r="F27" s="7" t="inlineStr">
        <is>
          <t>高</t>
        </is>
      </c>
      <c r="G27" s="5" t="inlineStr">
        <is>
          <t>普通科・専門学科</t>
        </is>
      </c>
      <c r="H27" s="8" t="n"/>
      <c r="I27" s="9" t="n"/>
      <c r="J27" s="9" t="inlineStr">
        <is>
          <t>未架電</t>
        </is>
      </c>
      <c r="K27" s="8" t="n"/>
      <c r="L27" s="9" t="n"/>
      <c r="M27" s="10" t="inlineStr">
        <is>
          <t>複数サイトで一致、公式未確認。所在地は浜松市中央区</t>
        </is>
      </c>
      <c r="N27" s="11" t="inlineStr">
        <is>
          <t>https://www.mapion.co.jp/phonebook/M11004/22138/ILSP0000041195_ipclm/ ; https://school.js88.com/scl_h/22009420</t>
        </is>
      </c>
      <c r="O27" s="12" t="inlineStr">
        <is>
          <t>開く</t>
        </is>
      </c>
    </row>
    <row r="28">
      <c r="A28" s="4" t="n">
        <v>24</v>
      </c>
      <c r="B28" s="5" t="inlineStr">
        <is>
          <t>静岡県</t>
        </is>
      </c>
      <c r="C28" s="5" t="inlineStr">
        <is>
          <t>長泉町</t>
        </is>
      </c>
      <c r="D28" s="5" t="inlineStr">
        <is>
          <t>知徳高等学校</t>
        </is>
      </c>
      <c r="E28" s="6" t="inlineStr">
        <is>
          <t>055-975-0080</t>
        </is>
      </c>
      <c r="F28" s="7" t="inlineStr">
        <is>
          <t>高</t>
        </is>
      </c>
      <c r="G28" s="5" t="inlineStr">
        <is>
          <t>普通科・専門学科</t>
        </is>
      </c>
      <c r="H28" s="8" t="n"/>
      <c r="I28" s="9" t="n"/>
      <c r="J28" s="9" t="inlineStr">
        <is>
          <t>未架電</t>
        </is>
      </c>
      <c r="K28" s="8" t="n"/>
      <c r="L28" s="9" t="n"/>
      <c r="M28" s="10" t="inlineStr">
        <is>
          <t>複数サイトで一致。055-976-0735はFAXなので注意</t>
        </is>
      </c>
      <c r="N28" s="11" t="inlineStr">
        <is>
          <t>https://www.mapion.co.jp/phonebook/M11004/22342/ILSP0000041799_ipclm/ ; https://itp.ne.jp/info/225247068200000899/</t>
        </is>
      </c>
      <c r="O28" s="12" t="inlineStr">
        <is>
          <t>開く</t>
        </is>
      </c>
    </row>
    <row r="29">
      <c r="A29" s="4" t="n">
        <v>25</v>
      </c>
      <c r="B29" s="5" t="inlineStr">
        <is>
          <t>静岡県</t>
        </is>
      </c>
      <c r="C29" s="5" t="inlineStr">
        <is>
          <t>静岡市清水区</t>
        </is>
      </c>
      <c r="D29" s="5" t="inlineStr">
        <is>
          <t>東海大学付属静岡翔洋高等学校</t>
        </is>
      </c>
      <c r="E29" s="6" t="inlineStr">
        <is>
          <t>054-334-0726</t>
        </is>
      </c>
      <c r="F29" s="7" t="inlineStr">
        <is>
          <t>高</t>
        </is>
      </c>
      <c r="G29" s="5" t="inlineStr">
        <is>
          <t>普通科</t>
        </is>
      </c>
      <c r="H29" s="8" t="n"/>
      <c r="I29" s="9" t="n"/>
      <c r="J29" s="9" t="inlineStr">
        <is>
          <t>未架電</t>
        </is>
      </c>
      <c r="K29" s="8" t="n"/>
      <c r="L29" s="9" t="n"/>
      <c r="M29" s="10" t="inlineStr">
        <is>
          <t>公式サイトで確認。中等部は054-334-1851</t>
        </is>
      </c>
      <c r="N29" s="11" t="inlineStr">
        <is>
          <t>https://www.shoyo.tokai.ed.jp/contact/</t>
        </is>
      </c>
      <c r="O29" s="12" t="inlineStr">
        <is>
          <t>開く</t>
        </is>
      </c>
    </row>
    <row r="30">
      <c r="A30" s="4" t="n">
        <v>26</v>
      </c>
      <c r="B30" s="5" t="inlineStr">
        <is>
          <t>静岡県</t>
        </is>
      </c>
      <c r="C30" s="5" t="inlineStr">
        <is>
          <t>沼津市</t>
        </is>
      </c>
      <c r="D30" s="5" t="inlineStr">
        <is>
          <t>桐陽高等学校</t>
        </is>
      </c>
      <c r="E30" s="6" t="inlineStr">
        <is>
          <t>055-921-0350</t>
        </is>
      </c>
      <c r="F30" s="7" t="inlineStr">
        <is>
          <t>高</t>
        </is>
      </c>
      <c r="G30" s="5" t="inlineStr">
        <is>
          <t>普通科</t>
        </is>
      </c>
      <c r="H30" s="8" t="n"/>
      <c r="I30" s="9" t="n"/>
      <c r="J30" s="9" t="inlineStr">
        <is>
          <t>未架電</t>
        </is>
      </c>
      <c r="K30" s="8" t="n"/>
      <c r="L30" s="9" t="n"/>
      <c r="M30" s="10" t="inlineStr">
        <is>
          <t>公式サイトでは募集広報部の番号。055-921-0096を載せるサイトもあり（旧番号の可能性）</t>
        </is>
      </c>
      <c r="N30" s="11" t="inlineStr">
        <is>
          <t>https://toyo-numazu.ac.jp/contact/ ; https://www.mapion.co.jp/phonebook/M11004/22203/ILSP0000041817_ipclm/</t>
        </is>
      </c>
      <c r="O30" s="12" t="inlineStr">
        <is>
          <t>開く</t>
        </is>
      </c>
    </row>
    <row r="31">
      <c r="A31" s="4" t="n">
        <v>27</v>
      </c>
      <c r="B31" s="5" t="inlineStr">
        <is>
          <t>静岡県</t>
        </is>
      </c>
      <c r="C31" s="5" t="inlineStr">
        <is>
          <t>菊川市</t>
        </is>
      </c>
      <c r="D31" s="5" t="inlineStr">
        <is>
          <t>常葉大学附属菊川高等学校</t>
        </is>
      </c>
      <c r="E31" s="6" t="inlineStr">
        <is>
          <t>0537-35-3171</t>
        </is>
      </c>
      <c r="F31" s="7" t="inlineStr">
        <is>
          <t>高</t>
        </is>
      </c>
      <c r="G31" s="5" t="inlineStr">
        <is>
          <t>普通科・専門学科</t>
        </is>
      </c>
      <c r="H31" s="8" t="n"/>
      <c r="I31" s="9" t="n"/>
      <c r="J31" s="9" t="inlineStr">
        <is>
          <t>未架電</t>
        </is>
      </c>
      <c r="K31" s="8" t="n"/>
      <c r="L31" s="9" t="n"/>
      <c r="M31" s="10" t="inlineStr">
        <is>
          <t>公式サイトで確認。中高共通</t>
        </is>
      </c>
      <c r="N31" s="11" t="inlineStr">
        <is>
          <t>https://tokoha.net/kikugawa/guide/access/</t>
        </is>
      </c>
      <c r="O31" s="12" t="inlineStr">
        <is>
          <t>開く</t>
        </is>
      </c>
    </row>
    <row r="32">
      <c r="A32" s="4" t="n">
        <v>28</v>
      </c>
      <c r="B32" s="5" t="inlineStr">
        <is>
          <t>静岡県</t>
        </is>
      </c>
      <c r="C32" s="5" t="inlineStr">
        <is>
          <t>静岡市葵区</t>
        </is>
      </c>
      <c r="D32" s="5" t="inlineStr">
        <is>
          <t>常葉大学附属橘高等学校</t>
        </is>
      </c>
      <c r="E32" s="6" t="inlineStr">
        <is>
          <t>054-261-2256</t>
        </is>
      </c>
      <c r="F32" s="7" t="inlineStr">
        <is>
          <t>高</t>
        </is>
      </c>
      <c r="G32" s="5" t="inlineStr">
        <is>
          <t>普通科・専門学科</t>
        </is>
      </c>
      <c r="H32" s="8" t="n"/>
      <c r="I32" s="9" t="n"/>
      <c r="J32" s="9" t="inlineStr">
        <is>
          <t>未架電</t>
        </is>
      </c>
      <c r="K32" s="8" t="n"/>
      <c r="L32" s="9" t="n"/>
      <c r="M32" s="10" t="inlineStr">
        <is>
          <t>公式サイトで確認。中高共通</t>
        </is>
      </c>
      <c r="N32" s="11" t="inlineStr">
        <is>
          <t>https://www.tokoha.ac.jp/tachibana-jh/</t>
        </is>
      </c>
      <c r="O32" s="12" t="inlineStr">
        <is>
          <t>開く</t>
        </is>
      </c>
    </row>
    <row r="33">
      <c r="A33" s="4" t="n">
        <v>29</v>
      </c>
      <c r="B33" s="5" t="inlineStr">
        <is>
          <t>静岡県</t>
        </is>
      </c>
      <c r="C33" s="5" t="inlineStr">
        <is>
          <t>静岡市葵区</t>
        </is>
      </c>
      <c r="D33" s="5" t="inlineStr">
        <is>
          <t>常葉大学附属常葉高等学校</t>
        </is>
      </c>
      <c r="E33" s="6" t="inlineStr">
        <is>
          <t>054-245-5401</t>
        </is>
      </c>
      <c r="F33" s="7" t="inlineStr">
        <is>
          <t>高</t>
        </is>
      </c>
      <c r="G33" s="5" t="inlineStr">
        <is>
          <t>普通科</t>
        </is>
      </c>
      <c r="H33" s="8" t="n"/>
      <c r="I33" s="9" t="n"/>
      <c r="J33" s="9" t="inlineStr">
        <is>
          <t>未架電</t>
        </is>
      </c>
      <c r="K33" s="8" t="n"/>
      <c r="L33" s="9" t="n"/>
      <c r="M33" s="10" t="inlineStr">
        <is>
          <t>中高共通の代表</t>
        </is>
      </c>
      <c r="N33" s="11" t="inlineStr">
        <is>
          <t>https://www.tokoha-u.ac.jp/university/links/ ; https://www.mapion.co.jp/phonebook/M11004/22101/ILSP0000041765_ipclm/</t>
        </is>
      </c>
      <c r="O33" s="12" t="inlineStr">
        <is>
          <t>開く</t>
        </is>
      </c>
    </row>
    <row r="34">
      <c r="A34" s="4" t="n">
        <v>30</v>
      </c>
      <c r="B34" s="5" t="inlineStr">
        <is>
          <t>静岡県</t>
        </is>
      </c>
      <c r="C34" s="5" t="inlineStr">
        <is>
          <t>三島市</t>
        </is>
      </c>
      <c r="D34" s="5" t="inlineStr">
        <is>
          <t>日本大学三島高等学校</t>
        </is>
      </c>
      <c r="E34" s="6" t="inlineStr">
        <is>
          <t>055-988-3500</t>
        </is>
      </c>
      <c r="F34" s="7" t="inlineStr">
        <is>
          <t>高</t>
        </is>
      </c>
      <c r="G34" s="5" t="inlineStr">
        <is>
          <t>普通科</t>
        </is>
      </c>
      <c r="H34" s="8" t="n"/>
      <c r="I34" s="9" t="n"/>
      <c r="J34" s="9" t="inlineStr">
        <is>
          <t>未架電</t>
        </is>
      </c>
      <c r="K34" s="8" t="n"/>
      <c r="L34" s="9" t="n"/>
      <c r="M34" s="10" t="inlineStr">
        <is>
          <t>公式サイトで確認。中高共通</t>
        </is>
      </c>
      <c r="N34" s="11" t="inlineStr">
        <is>
          <t>https://www.mishima.hs.nihon-u.ac.jp/</t>
        </is>
      </c>
      <c r="O34" s="12" t="inlineStr">
        <is>
          <t>開く</t>
        </is>
      </c>
    </row>
    <row r="35">
      <c r="A35" s="4" t="n">
        <v>31</v>
      </c>
      <c r="B35" s="5" t="inlineStr">
        <is>
          <t>静岡県</t>
        </is>
      </c>
      <c r="C35" s="5" t="inlineStr">
        <is>
          <t>沼津市</t>
        </is>
      </c>
      <c r="D35" s="5" t="inlineStr">
        <is>
          <t>沼津中央高等学校</t>
        </is>
      </c>
      <c r="E35" s="6" t="inlineStr">
        <is>
          <t>055-921-0346</t>
        </is>
      </c>
      <c r="F35" s="7" t="inlineStr">
        <is>
          <t>高</t>
        </is>
      </c>
      <c r="G35" s="5" t="inlineStr">
        <is>
          <t>普通科</t>
        </is>
      </c>
      <c r="H35" s="8" t="n"/>
      <c r="I35" s="9" t="n"/>
      <c r="J35" s="9" t="inlineStr">
        <is>
          <t>未架電</t>
        </is>
      </c>
      <c r="K35" s="8" t="n"/>
      <c r="L35" s="9" t="n"/>
      <c r="M35" s="10" t="inlineStr">
        <is>
          <t>公式サイトで確認</t>
        </is>
      </c>
      <c r="N35" s="11" t="inlineStr">
        <is>
          <t>https://www.n-chuo.ac.jp/contact ; https://www.mapion.co.jp/phonebook/M11004/22203/ILSP0000041058_ipclm/</t>
        </is>
      </c>
      <c r="O35" s="12" t="inlineStr">
        <is>
          <t>開く</t>
        </is>
      </c>
    </row>
    <row r="36">
      <c r="A36" s="4" t="n">
        <v>32</v>
      </c>
      <c r="B36" s="5" t="inlineStr">
        <is>
          <t>静岡県</t>
        </is>
      </c>
      <c r="C36" s="5" t="inlineStr">
        <is>
          <t>浜松市中央区</t>
        </is>
      </c>
      <c r="D36" s="5" t="inlineStr">
        <is>
          <t>浜松開誠館高等学校</t>
        </is>
      </c>
      <c r="E36" s="6" t="inlineStr">
        <is>
          <t>053-456-7111</t>
        </is>
      </c>
      <c r="F36" s="7" t="inlineStr">
        <is>
          <t>高</t>
        </is>
      </c>
      <c r="G36" s="5" t="inlineStr">
        <is>
          <t>普通科</t>
        </is>
      </c>
      <c r="H36" s="8" t="n"/>
      <c r="I36" s="9" t="n"/>
      <c r="J36" s="9" t="inlineStr">
        <is>
          <t>未架電</t>
        </is>
      </c>
      <c r="K36" s="8" t="n"/>
      <c r="L36" s="9" t="n"/>
      <c r="M36" s="10" t="inlineStr">
        <is>
          <t>公式サイトで確認。中高共通</t>
        </is>
      </c>
      <c r="N36" s="11" t="inlineStr">
        <is>
          <t>https://www.kaiseikan.ed.jp/top-page/school-overview/</t>
        </is>
      </c>
      <c r="O36" s="12" t="inlineStr">
        <is>
          <t>開く</t>
        </is>
      </c>
    </row>
    <row r="37">
      <c r="A37" s="4" t="n">
        <v>33</v>
      </c>
      <c r="B37" s="5" t="inlineStr">
        <is>
          <t>静岡県</t>
        </is>
      </c>
      <c r="C37" s="5" t="inlineStr">
        <is>
          <t>浜松市中央区</t>
        </is>
      </c>
      <c r="D37" s="5" t="inlineStr">
        <is>
          <t>浜松学院高等学校</t>
        </is>
      </c>
      <c r="E37" s="6" t="inlineStr">
        <is>
          <t>053-471-4136</t>
        </is>
      </c>
      <c r="F37" s="7" t="inlineStr">
        <is>
          <t>高</t>
        </is>
      </c>
      <c r="G37" s="5" t="inlineStr">
        <is>
          <t>普通科</t>
        </is>
      </c>
      <c r="H37" s="8" t="n"/>
      <c r="I37" s="9" t="n"/>
      <c r="J37" s="9" t="inlineStr">
        <is>
          <t>未架電</t>
        </is>
      </c>
      <c r="K37" s="8" t="n"/>
      <c r="L37" s="9" t="n"/>
      <c r="M37" s="10" t="inlineStr">
        <is>
          <t>【校名変更】2025年4月に「浜松学院興誠高等学校」へ改称。法人本部と同じ番号</t>
        </is>
      </c>
      <c r="N37" s="11" t="inlineStr">
        <is>
          <t>https://www.hamagaku.ac.jp/gakuin/schoolprospectus/history/ ; https://school.js88.com/scl_h/22009350</t>
        </is>
      </c>
      <c r="O37" s="12" t="inlineStr">
        <is>
          <t>開く</t>
        </is>
      </c>
    </row>
    <row r="38">
      <c r="A38" s="4" t="n">
        <v>34</v>
      </c>
      <c r="B38" s="5" t="inlineStr">
        <is>
          <t>静岡県</t>
        </is>
      </c>
      <c r="C38" s="5" t="inlineStr">
        <is>
          <t>浜松市中央区</t>
        </is>
      </c>
      <c r="D38" s="5" t="inlineStr">
        <is>
          <t>浜松学芸高等学校</t>
        </is>
      </c>
      <c r="E38" s="6" t="inlineStr">
        <is>
          <t>053-471-5336</t>
        </is>
      </c>
      <c r="F38" s="7" t="inlineStr">
        <is>
          <t>高</t>
        </is>
      </c>
      <c r="G38" s="5" t="inlineStr">
        <is>
          <t>普通科・専門学科</t>
        </is>
      </c>
      <c r="H38" s="8" t="n"/>
      <c r="I38" s="9" t="n"/>
      <c r="J38" s="9" t="inlineStr">
        <is>
          <t>未架電</t>
        </is>
      </c>
      <c r="K38" s="8" t="n"/>
      <c r="L38" s="9" t="n"/>
      <c r="M38" s="10" t="inlineStr">
        <is>
          <t>公式サイトで確認</t>
        </is>
      </c>
      <c r="N38" s="11" t="inlineStr">
        <is>
          <t>https://www.gakugei.ed.jp/high/</t>
        </is>
      </c>
      <c r="O38" s="12" t="inlineStr">
        <is>
          <t>開く</t>
        </is>
      </c>
    </row>
    <row r="39">
      <c r="A39" s="4" t="n">
        <v>35</v>
      </c>
      <c r="B39" s="5" t="inlineStr">
        <is>
          <t>静岡県</t>
        </is>
      </c>
      <c r="C39" s="5" t="inlineStr">
        <is>
          <t>浜松市中央区</t>
        </is>
      </c>
      <c r="D39" s="5" t="inlineStr">
        <is>
          <t>浜松啓陽高等学校</t>
        </is>
      </c>
      <c r="E39" s="6" t="inlineStr">
        <is>
          <t>053-420-0431</t>
        </is>
      </c>
      <c r="F39" s="7" t="inlineStr">
        <is>
          <t>高</t>
        </is>
      </c>
      <c r="G39" s="5" t="inlineStr">
        <is>
          <t>専門学科</t>
        </is>
      </c>
      <c r="H39" s="8" t="n"/>
      <c r="I39" s="9" t="n"/>
      <c r="J39" s="9" t="inlineStr">
        <is>
          <t>未架電</t>
        </is>
      </c>
      <c r="K39" s="8" t="n"/>
      <c r="L39" s="9" t="n"/>
      <c r="M39" s="10" t="inlineStr">
        <is>
          <t>通信制。公式サイトで確認</t>
        </is>
      </c>
      <c r="N39" s="11" t="inlineStr">
        <is>
          <t>https://keiyo.ed.jp/ ; https://school.js88.com/scl_h/34029510?page=6</t>
        </is>
      </c>
      <c r="O39" s="12" t="inlineStr">
        <is>
          <t>開く</t>
        </is>
      </c>
    </row>
    <row r="40">
      <c r="A40" s="4" t="n">
        <v>36</v>
      </c>
      <c r="B40" s="5" t="inlineStr">
        <is>
          <t>静岡県</t>
        </is>
      </c>
      <c r="C40" s="5" t="inlineStr">
        <is>
          <t>浜松市中央区</t>
        </is>
      </c>
      <c r="D40" s="5" t="inlineStr">
        <is>
          <t>浜松修学舎高等学校</t>
        </is>
      </c>
      <c r="E40" s="6" t="inlineStr">
        <is>
          <t>053-461-7356</t>
        </is>
      </c>
      <c r="F40" s="7" t="inlineStr">
        <is>
          <t>高</t>
        </is>
      </c>
      <c r="G40" s="5" t="inlineStr">
        <is>
          <t>普通科・専門学科</t>
        </is>
      </c>
      <c r="H40" s="8" t="n"/>
      <c r="I40" s="9" t="n"/>
      <c r="J40" s="9" t="inlineStr">
        <is>
          <t>未架電</t>
        </is>
      </c>
      <c r="K40" s="8" t="n"/>
      <c r="L40" s="9" t="n"/>
      <c r="M40" s="10" t="inlineStr">
        <is>
          <t>公式サイトで確認</t>
        </is>
      </c>
      <c r="N40" s="11" t="inlineStr">
        <is>
          <t>https://www.shugakusha.ed.jp/</t>
        </is>
      </c>
      <c r="O40" s="12" t="inlineStr">
        <is>
          <t>開く</t>
        </is>
      </c>
    </row>
    <row r="41">
      <c r="A41" s="4" t="n">
        <v>37</v>
      </c>
      <c r="B41" s="5" t="inlineStr">
        <is>
          <t>静岡県</t>
        </is>
      </c>
      <c r="C41" s="5" t="inlineStr">
        <is>
          <t>浜松市中央区</t>
        </is>
      </c>
      <c r="D41" s="5" t="inlineStr">
        <is>
          <t>浜松聖星高等学校</t>
        </is>
      </c>
      <c r="E41" s="6" t="inlineStr">
        <is>
          <t>053-454-5376</t>
        </is>
      </c>
      <c r="F41" s="7" t="inlineStr">
        <is>
          <t>高</t>
        </is>
      </c>
      <c r="G41" s="5" t="inlineStr">
        <is>
          <t>普通科</t>
        </is>
      </c>
      <c r="H41" s="8" t="n"/>
      <c r="I41" s="9" t="n"/>
      <c r="J41" s="9" t="inlineStr">
        <is>
          <t>未架電</t>
        </is>
      </c>
      <c r="K41" s="8" t="n"/>
      <c r="L41" s="9" t="n"/>
      <c r="M41" s="10" t="inlineStr">
        <is>
          <t>公式サイトで確認</t>
        </is>
      </c>
      <c r="N41" s="11" t="inlineStr">
        <is>
          <t>https://hamamatsu-seisei.jp/about/school_outline.html</t>
        </is>
      </c>
      <c r="O41" s="12" t="inlineStr">
        <is>
          <t>開く</t>
        </is>
      </c>
    </row>
    <row r="42">
      <c r="A42" s="4" t="n">
        <v>38</v>
      </c>
      <c r="B42" s="5" t="inlineStr">
        <is>
          <t>静岡県</t>
        </is>
      </c>
      <c r="C42" s="5" t="inlineStr">
        <is>
          <t>浜松市中央区</t>
        </is>
      </c>
      <c r="D42" s="5" t="inlineStr">
        <is>
          <t>浜松日体高等学校</t>
        </is>
      </c>
      <c r="E42" s="6" t="inlineStr">
        <is>
          <t>053-434-0632</t>
        </is>
      </c>
      <c r="F42" s="7" t="inlineStr">
        <is>
          <t>高</t>
        </is>
      </c>
      <c r="G42" s="5" t="inlineStr">
        <is>
          <t>普通科</t>
        </is>
      </c>
      <c r="H42" s="8" t="n"/>
      <c r="I42" s="9" t="n"/>
      <c r="J42" s="9" t="inlineStr">
        <is>
          <t>未架電</t>
        </is>
      </c>
      <c r="K42" s="8" t="n"/>
      <c r="L42" s="9" t="n"/>
      <c r="M42" s="10" t="inlineStr">
        <is>
          <t>公式サイトで確認</t>
        </is>
      </c>
      <c r="N42" s="11" t="inlineStr">
        <is>
          <t>https://www.h-nittai.ed.jp/</t>
        </is>
      </c>
      <c r="O42" s="12" t="inlineStr">
        <is>
          <t>開く</t>
        </is>
      </c>
    </row>
    <row r="43">
      <c r="A43" s="4" t="n">
        <v>39</v>
      </c>
      <c r="B43" s="5" t="inlineStr">
        <is>
          <t>静岡県</t>
        </is>
      </c>
      <c r="C43" s="5" t="inlineStr">
        <is>
          <t>沼津市</t>
        </is>
      </c>
      <c r="D43" s="5" t="inlineStr">
        <is>
          <t>飛龍高等学校</t>
        </is>
      </c>
      <c r="E43" s="6" t="inlineStr">
        <is>
          <t>055-921-7942</t>
        </is>
      </c>
      <c r="F43" s="7" t="inlineStr">
        <is>
          <t>高</t>
        </is>
      </c>
      <c r="G43" s="5" t="inlineStr">
        <is>
          <t>普通科・専門学科</t>
        </is>
      </c>
      <c r="H43" s="8" t="n"/>
      <c r="I43" s="9" t="n"/>
      <c r="J43" s="9" t="inlineStr">
        <is>
          <t>未架電</t>
        </is>
      </c>
      <c r="K43" s="8" t="n"/>
      <c r="L43" s="9" t="n"/>
      <c r="M43" s="10" t="inlineStr">
        <is>
          <t>公式サイトで確認。055-921-0348を載せるサイトは旧番号の可能性</t>
        </is>
      </c>
      <c r="N43" s="11" t="inlineStr">
        <is>
          <t>https://hiryu.ed.jp/about-us/access/</t>
        </is>
      </c>
      <c r="O43" s="12" t="inlineStr">
        <is>
          <t>開く</t>
        </is>
      </c>
    </row>
    <row r="44">
      <c r="A44" s="4" t="n">
        <v>40</v>
      </c>
      <c r="B44" s="5" t="inlineStr">
        <is>
          <t>静岡県</t>
        </is>
      </c>
      <c r="C44" s="5" t="inlineStr">
        <is>
          <t>藤枝市</t>
        </is>
      </c>
      <c r="D44" s="5" t="inlineStr">
        <is>
          <t>藤枝順心高等学校</t>
        </is>
      </c>
      <c r="E44" s="6" t="inlineStr">
        <is>
          <t>054-635-1311</t>
        </is>
      </c>
      <c r="F44" s="7" t="inlineStr">
        <is>
          <t>高</t>
        </is>
      </c>
      <c r="G44" s="5" t="inlineStr">
        <is>
          <t>普通科・専門学科</t>
        </is>
      </c>
      <c r="H44" s="8" t="n"/>
      <c r="I44" s="9" t="n"/>
      <c r="J44" s="9" t="inlineStr">
        <is>
          <t>未架電</t>
        </is>
      </c>
      <c r="K44" s="8" t="n"/>
      <c r="L44" s="9" t="n"/>
      <c r="M44" s="10" t="inlineStr">
        <is>
          <t>2つのサイトで一致、公式未確認</t>
        </is>
      </c>
      <c r="N44" s="11" t="inlineStr">
        <is>
          <t>https://www.mapion.co.jp/phonebook/M11004/22214/ILSP0000041630_ipclm/ ; https://school.js88.com/scl_h/22009310?page=9</t>
        </is>
      </c>
      <c r="O44" s="12" t="inlineStr">
        <is>
          <t>開く</t>
        </is>
      </c>
    </row>
    <row r="45">
      <c r="A45" s="4" t="n">
        <v>41</v>
      </c>
      <c r="B45" s="5" t="inlineStr">
        <is>
          <t>静岡県</t>
        </is>
      </c>
      <c r="C45" s="5" t="inlineStr">
        <is>
          <t>藤枝市</t>
        </is>
      </c>
      <c r="D45" s="5" t="inlineStr">
        <is>
          <t>藤枝明誠高等学校</t>
        </is>
      </c>
      <c r="E45" s="6" t="inlineStr">
        <is>
          <t>054-635-8155</t>
        </is>
      </c>
      <c r="F45" s="7" t="inlineStr">
        <is>
          <t>高</t>
        </is>
      </c>
      <c r="G45" s="5" t="inlineStr">
        <is>
          <t>普通科・専門学科</t>
        </is>
      </c>
      <c r="H45" s="8" t="n"/>
      <c r="I45" s="9" t="n"/>
      <c r="J45" s="9" t="inlineStr">
        <is>
          <t>未架電</t>
        </is>
      </c>
      <c r="K45" s="8" t="n"/>
      <c r="L45" s="9" t="n"/>
      <c r="M45" s="10" t="inlineStr">
        <is>
          <t>公式サイトの事務室の番号</t>
        </is>
      </c>
      <c r="N45" s="11" t="inlineStr">
        <is>
          <t>https://www.fgmeisei.ed.jp/contact/</t>
        </is>
      </c>
      <c r="O45" s="12" t="inlineStr">
        <is>
          <t>開く</t>
        </is>
      </c>
    </row>
    <row r="46">
      <c r="A46" s="4" t="n">
        <v>42</v>
      </c>
      <c r="B46" s="5" t="inlineStr">
        <is>
          <t>静岡県</t>
        </is>
      </c>
      <c r="C46" s="5" t="inlineStr">
        <is>
          <t>裾野市</t>
        </is>
      </c>
      <c r="D46" s="5" t="inlineStr">
        <is>
          <t>不二聖心女子学院高等学校</t>
        </is>
      </c>
      <c r="E46" s="6" t="inlineStr">
        <is>
          <t>055-992-0213</t>
        </is>
      </c>
      <c r="F46" s="7" t="inlineStr">
        <is>
          <t>高</t>
        </is>
      </c>
      <c r="G46" s="5" t="inlineStr">
        <is>
          <t>普通科</t>
        </is>
      </c>
      <c r="H46" s="8" t="n"/>
      <c r="I46" s="9" t="n"/>
      <c r="J46" s="9" t="inlineStr">
        <is>
          <t>未架電</t>
        </is>
      </c>
      <c r="K46" s="8" t="n"/>
      <c r="L46" s="9" t="n"/>
      <c r="M46" s="10" t="inlineStr">
        <is>
          <t>公式サイトで確認。中高共通</t>
        </is>
      </c>
      <c r="N46" s="11" t="inlineStr">
        <is>
          <t>https://www.fujiseishin-jh.ed.jp/access/</t>
        </is>
      </c>
      <c r="O46" s="12" t="inlineStr">
        <is>
          <t>開く</t>
        </is>
      </c>
    </row>
    <row r="47">
      <c r="A47" s="4" t="n">
        <v>43</v>
      </c>
      <c r="B47" s="5" t="inlineStr">
        <is>
          <t>静岡県</t>
        </is>
      </c>
      <c r="C47" s="5" t="inlineStr">
        <is>
          <t>焼津市</t>
        </is>
      </c>
      <c r="D47" s="5" t="inlineStr">
        <is>
          <t>焼津高等学校</t>
        </is>
      </c>
      <c r="E47" s="6" t="inlineStr">
        <is>
          <t>054-628-7235</t>
        </is>
      </c>
      <c r="F47" s="7" t="inlineStr">
        <is>
          <t>高</t>
        </is>
      </c>
      <c r="G47" s="5" t="inlineStr">
        <is>
          <t>総合学科</t>
        </is>
      </c>
      <c r="H47" s="8" t="n"/>
      <c r="I47" s="9" t="n"/>
      <c r="J47" s="9" t="inlineStr">
        <is>
          <t>未架電</t>
        </is>
      </c>
      <c r="K47" s="8" t="n"/>
      <c r="L47" s="9" t="n"/>
      <c r="M47" s="10" t="inlineStr">
        <is>
          <t>私立（学校法人松薫学園）。公式サイトで確認</t>
        </is>
      </c>
      <c r="N47" s="11" t="inlineStr">
        <is>
          <t>https://yaizu-h.ed.jp/</t>
        </is>
      </c>
      <c r="O47" s="12" t="inlineStr">
        <is>
          <t>開く</t>
        </is>
      </c>
    </row>
  </sheetData>
  <autoFilter ref="A4:O47"/>
  <conditionalFormatting sqref="A5:O47">
    <cfRule type="expression" priority="1" dxfId="0">
      <formula>$J5="アポ獲得"</formula>
    </cfRule>
    <cfRule type="expression" priority="2" dxfId="1">
      <formula>$J5="NG"</formula>
    </cfRule>
  </conditionalFormatting>
  <dataValidations count="2">
    <dataValidation sqref="J5:J47" showDropDown="0" showInputMessage="0" showErrorMessage="0" allowBlank="1" type="list">
      <formula1>"未架電,不在・折返し待ち,担当者不在,資料送付,アポ獲得,検討中,NG,番号不明"</formula1>
    </dataValidation>
    <dataValidation sqref="H5:H47 K5:K47" showDropDown="0" showInputMessage="0" showErrorMessage="0" allowBlank="1" errorTitle="日付" error="日付で入力してください（例：2026/10/9）" type="date" operator="greaterThan">
      <formula1>36526</formula1>
    </dataValidation>
  </dataValidations>
  <hyperlinks>
    <hyperlink xmlns:r="http://schemas.openxmlformats.org/officeDocument/2006/relationships" ref="O5" r:id="rId1"/>
    <hyperlink xmlns:r="http://schemas.openxmlformats.org/officeDocument/2006/relationships" ref="O6" r:id="rId2"/>
    <hyperlink xmlns:r="http://schemas.openxmlformats.org/officeDocument/2006/relationships" ref="O7" r:id="rId3"/>
    <hyperlink xmlns:r="http://schemas.openxmlformats.org/officeDocument/2006/relationships" ref="O8" r:id="rId4"/>
    <hyperlink xmlns:r="http://schemas.openxmlformats.org/officeDocument/2006/relationships" ref="O9" r:id="rId5"/>
    <hyperlink xmlns:r="http://schemas.openxmlformats.org/officeDocument/2006/relationships" ref="O10" r:id="rId6"/>
    <hyperlink xmlns:r="http://schemas.openxmlformats.org/officeDocument/2006/relationships" ref="O11" r:id="rId7"/>
    <hyperlink xmlns:r="http://schemas.openxmlformats.org/officeDocument/2006/relationships" ref="O12" r:id="rId8"/>
    <hyperlink xmlns:r="http://schemas.openxmlformats.org/officeDocument/2006/relationships" ref="O13" r:id="rId9"/>
    <hyperlink xmlns:r="http://schemas.openxmlformats.org/officeDocument/2006/relationships" ref="O14" r:id="rId10"/>
    <hyperlink xmlns:r="http://schemas.openxmlformats.org/officeDocument/2006/relationships" ref="O15" r:id="rId11"/>
    <hyperlink xmlns:r="http://schemas.openxmlformats.org/officeDocument/2006/relationships" ref="O16" r:id="rId12"/>
    <hyperlink xmlns:r="http://schemas.openxmlformats.org/officeDocument/2006/relationships" ref="O17" r:id="rId13"/>
    <hyperlink xmlns:r="http://schemas.openxmlformats.org/officeDocument/2006/relationships" ref="O18" r:id="rId14"/>
    <hyperlink xmlns:r="http://schemas.openxmlformats.org/officeDocument/2006/relationships" ref="O19" r:id="rId15"/>
    <hyperlink xmlns:r="http://schemas.openxmlformats.org/officeDocument/2006/relationships" ref="O20" r:id="rId16"/>
    <hyperlink xmlns:r="http://schemas.openxmlformats.org/officeDocument/2006/relationships" ref="O21" r:id="rId17"/>
    <hyperlink xmlns:r="http://schemas.openxmlformats.org/officeDocument/2006/relationships" ref="O22" r:id="rId18"/>
    <hyperlink xmlns:r="http://schemas.openxmlformats.org/officeDocument/2006/relationships" ref="O23" r:id="rId19"/>
    <hyperlink xmlns:r="http://schemas.openxmlformats.org/officeDocument/2006/relationships" ref="O24" r:id="rId20"/>
    <hyperlink xmlns:r="http://schemas.openxmlformats.org/officeDocument/2006/relationships" ref="O25" r:id="rId21"/>
    <hyperlink xmlns:r="http://schemas.openxmlformats.org/officeDocument/2006/relationships" ref="O26" r:id="rId22"/>
    <hyperlink xmlns:r="http://schemas.openxmlformats.org/officeDocument/2006/relationships" ref="O27" r:id="rId23"/>
    <hyperlink xmlns:r="http://schemas.openxmlformats.org/officeDocument/2006/relationships" ref="O28" r:id="rId24"/>
    <hyperlink xmlns:r="http://schemas.openxmlformats.org/officeDocument/2006/relationships" ref="O29" r:id="rId25"/>
    <hyperlink xmlns:r="http://schemas.openxmlformats.org/officeDocument/2006/relationships" ref="O30" r:id="rId26"/>
    <hyperlink xmlns:r="http://schemas.openxmlformats.org/officeDocument/2006/relationships" ref="O31" r:id="rId27"/>
    <hyperlink xmlns:r="http://schemas.openxmlformats.org/officeDocument/2006/relationships" ref="O32" r:id="rId28"/>
    <hyperlink xmlns:r="http://schemas.openxmlformats.org/officeDocument/2006/relationships" ref="O33" r:id="rId29"/>
    <hyperlink xmlns:r="http://schemas.openxmlformats.org/officeDocument/2006/relationships" ref="O34" r:id="rId30"/>
    <hyperlink xmlns:r="http://schemas.openxmlformats.org/officeDocument/2006/relationships" ref="O35" r:id="rId31"/>
    <hyperlink xmlns:r="http://schemas.openxmlformats.org/officeDocument/2006/relationships" ref="O36" r:id="rId32"/>
    <hyperlink xmlns:r="http://schemas.openxmlformats.org/officeDocument/2006/relationships" ref="O37" r:id="rId33"/>
    <hyperlink xmlns:r="http://schemas.openxmlformats.org/officeDocument/2006/relationships" ref="O38" r:id="rId34"/>
    <hyperlink xmlns:r="http://schemas.openxmlformats.org/officeDocument/2006/relationships" ref="O39" r:id="rId35"/>
    <hyperlink xmlns:r="http://schemas.openxmlformats.org/officeDocument/2006/relationships" ref="O40" r:id="rId36"/>
    <hyperlink xmlns:r="http://schemas.openxmlformats.org/officeDocument/2006/relationships" ref="O41" r:id="rId37"/>
    <hyperlink xmlns:r="http://schemas.openxmlformats.org/officeDocument/2006/relationships" ref="O42" r:id="rId38"/>
    <hyperlink xmlns:r="http://schemas.openxmlformats.org/officeDocument/2006/relationships" ref="O43" r:id="rId39"/>
    <hyperlink xmlns:r="http://schemas.openxmlformats.org/officeDocument/2006/relationships" ref="O44" r:id="rId40"/>
    <hyperlink xmlns:r="http://schemas.openxmlformats.org/officeDocument/2006/relationships" ref="O45" r:id="rId41"/>
    <hyperlink xmlns:r="http://schemas.openxmlformats.org/officeDocument/2006/relationships" ref="O46" r:id="rId42"/>
    <hyperlink xmlns:r="http://schemas.openxmlformats.org/officeDocument/2006/relationships" ref="O47" r:id="rId43"/>
  </hyperlink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1" t="inlineStr">
        <is>
          <t>市区町村別 進捗集計（架電リストの入力に連動して自動計算）</t>
        </is>
      </c>
    </row>
    <row r="3" ht="30" customHeight="1">
      <c r="A3" s="3" t="inlineStr">
        <is>
          <t>所在地</t>
        </is>
      </c>
      <c r="B3" s="3" t="inlineStr">
        <is>
          <t>学校数</t>
        </is>
      </c>
      <c r="C3" s="3" t="inlineStr">
        <is>
          <t>電話番号入力済</t>
        </is>
      </c>
      <c r="D3" s="3" t="inlineStr">
        <is>
          <t>架電済</t>
        </is>
      </c>
      <c r="E3" s="3" t="inlineStr">
        <is>
          <t>不在・折返し待ち</t>
        </is>
      </c>
      <c r="F3" s="3" t="inlineStr">
        <is>
          <t>担当者不在</t>
        </is>
      </c>
      <c r="G3" s="3" t="inlineStr">
        <is>
          <t>資料送付</t>
        </is>
      </c>
      <c r="H3" s="3" t="inlineStr">
        <is>
          <t>アポ獲得</t>
        </is>
      </c>
      <c r="I3" s="3" t="inlineStr">
        <is>
          <t>検討中</t>
        </is>
      </c>
      <c r="J3" s="3" t="inlineStr">
        <is>
          <t>NG</t>
        </is>
      </c>
      <c r="K3" s="3" t="inlineStr">
        <is>
          <t>番号不明</t>
        </is>
      </c>
    </row>
    <row r="4">
      <c r="A4" s="13" t="inlineStr">
        <is>
          <t>浜松市中央区</t>
        </is>
      </c>
      <c r="B4" s="13">
        <f>COUNTIF('架電リスト'!$C$5:$C$47,A4)</f>
        <v/>
      </c>
      <c r="C4" s="13">
        <f>COUNTIFS('架電リスト'!$C$5:$C$47,A4,'架電リスト'!$E$5:$E$47,"&lt;&gt;")</f>
        <v/>
      </c>
      <c r="D4" s="13">
        <f>B4-COUNTIFS('架電リスト'!$C$5:$C$47,A4,'架電リスト'!$J$5:$J$47,"未架電")-COUNTIFS('架電リスト'!$C$5:$C$47,A4,'架電リスト'!$J$5:$J$47,"")</f>
        <v/>
      </c>
      <c r="E4" s="13">
        <f>COUNTIFS('架電リスト'!$C$5:$C$47,$A4,'架電リスト'!$J$5:$J$47,"不在・折返し待ち")</f>
        <v/>
      </c>
      <c r="F4" s="13">
        <f>COUNTIFS('架電リスト'!$C$5:$C$47,$A4,'架電リスト'!$J$5:$J$47,"担当者不在")</f>
        <v/>
      </c>
      <c r="G4" s="13">
        <f>COUNTIFS('架電リスト'!$C$5:$C$47,$A4,'架電リスト'!$J$5:$J$47,"資料送付")</f>
        <v/>
      </c>
      <c r="H4" s="13">
        <f>COUNTIFS('架電リスト'!$C$5:$C$47,$A4,'架電リスト'!$J$5:$J$47,"アポ獲得")</f>
        <v/>
      </c>
      <c r="I4" s="13">
        <f>COUNTIFS('架電リスト'!$C$5:$C$47,$A4,'架電リスト'!$J$5:$J$47,"検討中")</f>
        <v/>
      </c>
      <c r="J4" s="13">
        <f>COUNTIFS('架電リスト'!$C$5:$C$47,$A4,'架電リスト'!$J$5:$J$47,"NG")</f>
        <v/>
      </c>
      <c r="K4" s="13">
        <f>COUNTIFS('架電リスト'!$C$5:$C$47,$A4,'架電リスト'!$J$5:$J$47,"番号不明")</f>
        <v/>
      </c>
    </row>
    <row r="5">
      <c r="A5" s="13" t="inlineStr">
        <is>
          <t>静岡市葵区</t>
        </is>
      </c>
      <c r="B5" s="13">
        <f>COUNTIF('架電リスト'!$C$5:$C$47,A5)</f>
        <v/>
      </c>
      <c r="C5" s="13">
        <f>COUNTIFS('架電リスト'!$C$5:$C$47,A5,'架電リスト'!$E$5:$E$47,"&lt;&gt;")</f>
        <v/>
      </c>
      <c r="D5" s="13">
        <f>B5-COUNTIFS('架電リスト'!$C$5:$C$47,A5,'架電リスト'!$J$5:$J$47,"未架電")-COUNTIFS('架電リスト'!$C$5:$C$47,A5,'架電リスト'!$J$5:$J$47,"")</f>
        <v/>
      </c>
      <c r="E5" s="13">
        <f>COUNTIFS('架電リスト'!$C$5:$C$47,$A5,'架電リスト'!$J$5:$J$47,"不在・折返し待ち")</f>
        <v/>
      </c>
      <c r="F5" s="13">
        <f>COUNTIFS('架電リスト'!$C$5:$C$47,$A5,'架電リスト'!$J$5:$J$47,"担当者不在")</f>
        <v/>
      </c>
      <c r="G5" s="13">
        <f>COUNTIFS('架電リスト'!$C$5:$C$47,$A5,'架電リスト'!$J$5:$J$47,"資料送付")</f>
        <v/>
      </c>
      <c r="H5" s="13">
        <f>COUNTIFS('架電リスト'!$C$5:$C$47,$A5,'架電リスト'!$J$5:$J$47,"アポ獲得")</f>
        <v/>
      </c>
      <c r="I5" s="13">
        <f>COUNTIFS('架電リスト'!$C$5:$C$47,$A5,'架電リスト'!$J$5:$J$47,"検討中")</f>
        <v/>
      </c>
      <c r="J5" s="13">
        <f>COUNTIFS('架電リスト'!$C$5:$C$47,$A5,'架電リスト'!$J$5:$J$47,"NG")</f>
        <v/>
      </c>
      <c r="K5" s="13">
        <f>COUNTIFS('架電リスト'!$C$5:$C$47,$A5,'架電リスト'!$J$5:$J$47,"番号不明")</f>
        <v/>
      </c>
    </row>
    <row r="6">
      <c r="A6" s="13" t="inlineStr">
        <is>
          <t>沼津市</t>
        </is>
      </c>
      <c r="B6" s="13">
        <f>COUNTIF('架電リスト'!$C$5:$C$47,A6)</f>
        <v/>
      </c>
      <c r="C6" s="13">
        <f>COUNTIFS('架電リスト'!$C$5:$C$47,A6,'架電リスト'!$E$5:$E$47,"&lt;&gt;")</f>
        <v/>
      </c>
      <c r="D6" s="13">
        <f>B6-COUNTIFS('架電リスト'!$C$5:$C$47,A6,'架電リスト'!$J$5:$J$47,"未架電")-COUNTIFS('架電リスト'!$C$5:$C$47,A6,'架電リスト'!$J$5:$J$47,"")</f>
        <v/>
      </c>
      <c r="E6" s="13">
        <f>COUNTIFS('架電リスト'!$C$5:$C$47,$A6,'架電リスト'!$J$5:$J$47,"不在・折返し待ち")</f>
        <v/>
      </c>
      <c r="F6" s="13">
        <f>COUNTIFS('架電リスト'!$C$5:$C$47,$A6,'架電リスト'!$J$5:$J$47,"担当者不在")</f>
        <v/>
      </c>
      <c r="G6" s="13">
        <f>COUNTIFS('架電リスト'!$C$5:$C$47,$A6,'架電リスト'!$J$5:$J$47,"資料送付")</f>
        <v/>
      </c>
      <c r="H6" s="13">
        <f>COUNTIFS('架電リスト'!$C$5:$C$47,$A6,'架電リスト'!$J$5:$J$47,"アポ獲得")</f>
        <v/>
      </c>
      <c r="I6" s="13">
        <f>COUNTIFS('架電リスト'!$C$5:$C$47,$A6,'架電リスト'!$J$5:$J$47,"検討中")</f>
        <v/>
      </c>
      <c r="J6" s="13">
        <f>COUNTIFS('架電リスト'!$C$5:$C$47,$A6,'架電リスト'!$J$5:$J$47,"NG")</f>
        <v/>
      </c>
      <c r="K6" s="13">
        <f>COUNTIFS('架電リスト'!$C$5:$C$47,$A6,'架電リスト'!$J$5:$J$47,"番号不明")</f>
        <v/>
      </c>
    </row>
    <row r="7">
      <c r="A7" s="13" t="inlineStr">
        <is>
          <t>静岡市清水区</t>
        </is>
      </c>
      <c r="B7" s="13">
        <f>COUNTIF('架電リスト'!$C$5:$C$47,A7)</f>
        <v/>
      </c>
      <c r="C7" s="13">
        <f>COUNTIFS('架電リスト'!$C$5:$C$47,A7,'架電リスト'!$E$5:$E$47,"&lt;&gt;")</f>
        <v/>
      </c>
      <c r="D7" s="13">
        <f>B7-COUNTIFS('架電リスト'!$C$5:$C$47,A7,'架電リスト'!$J$5:$J$47,"未架電")-COUNTIFS('架電リスト'!$C$5:$C$47,A7,'架電リスト'!$J$5:$J$47,"")</f>
        <v/>
      </c>
      <c r="E7" s="13">
        <f>COUNTIFS('架電リスト'!$C$5:$C$47,$A7,'架電リスト'!$J$5:$J$47,"不在・折返し待ち")</f>
        <v/>
      </c>
      <c r="F7" s="13">
        <f>COUNTIFS('架電リスト'!$C$5:$C$47,$A7,'架電リスト'!$J$5:$J$47,"担当者不在")</f>
        <v/>
      </c>
      <c r="G7" s="13">
        <f>COUNTIFS('架電リスト'!$C$5:$C$47,$A7,'架電リスト'!$J$5:$J$47,"資料送付")</f>
        <v/>
      </c>
      <c r="H7" s="13">
        <f>COUNTIFS('架電リスト'!$C$5:$C$47,$A7,'架電リスト'!$J$5:$J$47,"アポ獲得")</f>
        <v/>
      </c>
      <c r="I7" s="13">
        <f>COUNTIFS('架電リスト'!$C$5:$C$47,$A7,'架電リスト'!$J$5:$J$47,"検討中")</f>
        <v/>
      </c>
      <c r="J7" s="13">
        <f>COUNTIFS('架電リスト'!$C$5:$C$47,$A7,'架電リスト'!$J$5:$J$47,"NG")</f>
        <v/>
      </c>
      <c r="K7" s="13">
        <f>COUNTIFS('架電リスト'!$C$5:$C$47,$A7,'架電リスト'!$J$5:$J$47,"番号不明")</f>
        <v/>
      </c>
    </row>
    <row r="8">
      <c r="A8" s="13" t="inlineStr">
        <is>
          <t>静岡市駿河区</t>
        </is>
      </c>
      <c r="B8" s="13">
        <f>COUNTIF('架電リスト'!$C$5:$C$47,A8)</f>
        <v/>
      </c>
      <c r="C8" s="13">
        <f>COUNTIFS('架電リスト'!$C$5:$C$47,A8,'架電リスト'!$E$5:$E$47,"&lt;&gt;")</f>
        <v/>
      </c>
      <c r="D8" s="13">
        <f>B8-COUNTIFS('架電リスト'!$C$5:$C$47,A8,'架電リスト'!$J$5:$J$47,"未架電")-COUNTIFS('架電リスト'!$C$5:$C$47,A8,'架電リスト'!$J$5:$J$47,"")</f>
        <v/>
      </c>
      <c r="E8" s="13">
        <f>COUNTIFS('架電リスト'!$C$5:$C$47,$A8,'架電リスト'!$J$5:$J$47,"不在・折返し待ち")</f>
        <v/>
      </c>
      <c r="F8" s="13">
        <f>COUNTIFS('架電リスト'!$C$5:$C$47,$A8,'架電リスト'!$J$5:$J$47,"担当者不在")</f>
        <v/>
      </c>
      <c r="G8" s="13">
        <f>COUNTIFS('架電リスト'!$C$5:$C$47,$A8,'架電リスト'!$J$5:$J$47,"資料送付")</f>
        <v/>
      </c>
      <c r="H8" s="13">
        <f>COUNTIFS('架電リスト'!$C$5:$C$47,$A8,'架電リスト'!$J$5:$J$47,"アポ獲得")</f>
        <v/>
      </c>
      <c r="I8" s="13">
        <f>COUNTIFS('架電リスト'!$C$5:$C$47,$A8,'架電リスト'!$J$5:$J$47,"検討中")</f>
        <v/>
      </c>
      <c r="J8" s="13">
        <f>COUNTIFS('架電リスト'!$C$5:$C$47,$A8,'架電リスト'!$J$5:$J$47,"NG")</f>
        <v/>
      </c>
      <c r="K8" s="13">
        <f>COUNTIFS('架電リスト'!$C$5:$C$47,$A8,'架電リスト'!$J$5:$J$47,"番号不明")</f>
        <v/>
      </c>
    </row>
    <row r="9">
      <c r="A9" s="13" t="inlineStr">
        <is>
          <t>藤枝市</t>
        </is>
      </c>
      <c r="B9" s="13">
        <f>COUNTIF('架電リスト'!$C$5:$C$47,A9)</f>
        <v/>
      </c>
      <c r="C9" s="13">
        <f>COUNTIFS('架電リスト'!$C$5:$C$47,A9,'架電リスト'!$E$5:$E$47,"&lt;&gt;")</f>
        <v/>
      </c>
      <c r="D9" s="13">
        <f>B9-COUNTIFS('架電リスト'!$C$5:$C$47,A9,'架電リスト'!$J$5:$J$47,"未架電")-COUNTIFS('架電リスト'!$C$5:$C$47,A9,'架電リスト'!$J$5:$J$47,"")</f>
        <v/>
      </c>
      <c r="E9" s="13">
        <f>COUNTIFS('架電リスト'!$C$5:$C$47,$A9,'架電リスト'!$J$5:$J$47,"不在・折返し待ち")</f>
        <v/>
      </c>
      <c r="F9" s="13">
        <f>COUNTIFS('架電リスト'!$C$5:$C$47,$A9,'架電リスト'!$J$5:$J$47,"担当者不在")</f>
        <v/>
      </c>
      <c r="G9" s="13">
        <f>COUNTIFS('架電リスト'!$C$5:$C$47,$A9,'架電リスト'!$J$5:$J$47,"資料送付")</f>
        <v/>
      </c>
      <c r="H9" s="13">
        <f>COUNTIFS('架電リスト'!$C$5:$C$47,$A9,'架電リスト'!$J$5:$J$47,"アポ獲得")</f>
        <v/>
      </c>
      <c r="I9" s="13">
        <f>COUNTIFS('架電リスト'!$C$5:$C$47,$A9,'架電リスト'!$J$5:$J$47,"検討中")</f>
        <v/>
      </c>
      <c r="J9" s="13">
        <f>COUNTIFS('架電リスト'!$C$5:$C$47,$A9,'架電リスト'!$J$5:$J$47,"NG")</f>
        <v/>
      </c>
      <c r="K9" s="13">
        <f>COUNTIFS('架電リスト'!$C$5:$C$47,$A9,'架電リスト'!$J$5:$J$47,"番号不明")</f>
        <v/>
      </c>
    </row>
    <row r="10">
      <c r="A10" s="13" t="inlineStr">
        <is>
          <t>磐田市</t>
        </is>
      </c>
      <c r="B10" s="13">
        <f>COUNTIF('架電リスト'!$C$5:$C$47,A10)</f>
        <v/>
      </c>
      <c r="C10" s="13">
        <f>COUNTIFS('架電リスト'!$C$5:$C$47,A10,'架電リスト'!$E$5:$E$47,"&lt;&gt;")</f>
        <v/>
      </c>
      <c r="D10" s="13">
        <f>B10-COUNTIFS('架電リスト'!$C$5:$C$47,A10,'架電リスト'!$J$5:$J$47,"未架電")-COUNTIFS('架電リスト'!$C$5:$C$47,A10,'架電リスト'!$J$5:$J$47,"")</f>
        <v/>
      </c>
      <c r="E10" s="13">
        <f>COUNTIFS('架電リスト'!$C$5:$C$47,$A10,'架電リスト'!$J$5:$J$47,"不在・折返し待ち")</f>
        <v/>
      </c>
      <c r="F10" s="13">
        <f>COUNTIFS('架電リスト'!$C$5:$C$47,$A10,'架電リスト'!$J$5:$J$47,"担当者不在")</f>
        <v/>
      </c>
      <c r="G10" s="13">
        <f>COUNTIFS('架電リスト'!$C$5:$C$47,$A10,'架電リスト'!$J$5:$J$47,"資料送付")</f>
        <v/>
      </c>
      <c r="H10" s="13">
        <f>COUNTIFS('架電リスト'!$C$5:$C$47,$A10,'架電リスト'!$J$5:$J$47,"アポ獲得")</f>
        <v/>
      </c>
      <c r="I10" s="13">
        <f>COUNTIFS('架電リスト'!$C$5:$C$47,$A10,'架電リスト'!$J$5:$J$47,"検討中")</f>
        <v/>
      </c>
      <c r="J10" s="13">
        <f>COUNTIFS('架電リスト'!$C$5:$C$47,$A10,'架電リスト'!$J$5:$J$47,"NG")</f>
        <v/>
      </c>
      <c r="K10" s="13">
        <f>COUNTIFS('架電リスト'!$C$5:$C$47,$A10,'架電リスト'!$J$5:$J$47,"番号不明")</f>
        <v/>
      </c>
    </row>
    <row r="11">
      <c r="A11" s="13" t="inlineStr">
        <is>
          <t>吉田町</t>
        </is>
      </c>
      <c r="B11" s="13">
        <f>COUNTIF('架電リスト'!$C$5:$C$47,A11)</f>
        <v/>
      </c>
      <c r="C11" s="13">
        <f>COUNTIFS('架電リスト'!$C$5:$C$47,A11,'架電リスト'!$E$5:$E$47,"&lt;&gt;")</f>
        <v/>
      </c>
      <c r="D11" s="13">
        <f>B11-COUNTIFS('架電リスト'!$C$5:$C$47,A11,'架電リスト'!$J$5:$J$47,"未架電")-COUNTIFS('架電リスト'!$C$5:$C$47,A11,'架電リスト'!$J$5:$J$47,"")</f>
        <v/>
      </c>
      <c r="E11" s="13">
        <f>COUNTIFS('架電リスト'!$C$5:$C$47,$A11,'架電リスト'!$J$5:$J$47,"不在・折返し待ち")</f>
        <v/>
      </c>
      <c r="F11" s="13">
        <f>COUNTIFS('架電リスト'!$C$5:$C$47,$A11,'架電リスト'!$J$5:$J$47,"担当者不在")</f>
        <v/>
      </c>
      <c r="G11" s="13">
        <f>COUNTIFS('架電リスト'!$C$5:$C$47,$A11,'架電リスト'!$J$5:$J$47,"資料送付")</f>
        <v/>
      </c>
      <c r="H11" s="13">
        <f>COUNTIFS('架電リスト'!$C$5:$C$47,$A11,'架電リスト'!$J$5:$J$47,"アポ獲得")</f>
        <v/>
      </c>
      <c r="I11" s="13">
        <f>COUNTIFS('架電リスト'!$C$5:$C$47,$A11,'架電リスト'!$J$5:$J$47,"検討中")</f>
        <v/>
      </c>
      <c r="J11" s="13">
        <f>COUNTIFS('架電リスト'!$C$5:$C$47,$A11,'架電リスト'!$J$5:$J$47,"NG")</f>
        <v/>
      </c>
      <c r="K11" s="13">
        <f>COUNTIFS('架電リスト'!$C$5:$C$47,$A11,'架電リスト'!$J$5:$J$47,"番号不明")</f>
        <v/>
      </c>
    </row>
    <row r="12">
      <c r="A12" s="13" t="inlineStr">
        <is>
          <t>御殿場市</t>
        </is>
      </c>
      <c r="B12" s="13">
        <f>COUNTIF('架電リスト'!$C$5:$C$47,A12)</f>
        <v/>
      </c>
      <c r="C12" s="13">
        <f>COUNTIFS('架電リスト'!$C$5:$C$47,A12,'架電リスト'!$E$5:$E$47,"&lt;&gt;")</f>
        <v/>
      </c>
      <c r="D12" s="13">
        <f>B12-COUNTIFS('架電リスト'!$C$5:$C$47,A12,'架電リスト'!$J$5:$J$47,"未架電")-COUNTIFS('架電リスト'!$C$5:$C$47,A12,'架電リスト'!$J$5:$J$47,"")</f>
        <v/>
      </c>
      <c r="E12" s="13">
        <f>COUNTIFS('架電リスト'!$C$5:$C$47,$A12,'架電リスト'!$J$5:$J$47,"不在・折返し待ち")</f>
        <v/>
      </c>
      <c r="F12" s="13">
        <f>COUNTIFS('架電リスト'!$C$5:$C$47,$A12,'架電リスト'!$J$5:$J$47,"担当者不在")</f>
        <v/>
      </c>
      <c r="G12" s="13">
        <f>COUNTIFS('架電リスト'!$C$5:$C$47,$A12,'架電リスト'!$J$5:$J$47,"資料送付")</f>
        <v/>
      </c>
      <c r="H12" s="13">
        <f>COUNTIFS('架電リスト'!$C$5:$C$47,$A12,'架電リスト'!$J$5:$J$47,"アポ獲得")</f>
        <v/>
      </c>
      <c r="I12" s="13">
        <f>COUNTIFS('架電リスト'!$C$5:$C$47,$A12,'架電リスト'!$J$5:$J$47,"検討中")</f>
        <v/>
      </c>
      <c r="J12" s="13">
        <f>COUNTIFS('架電リスト'!$C$5:$C$47,$A12,'架電リスト'!$J$5:$J$47,"NG")</f>
        <v/>
      </c>
      <c r="K12" s="13">
        <f>COUNTIFS('架電リスト'!$C$5:$C$47,$A12,'架電リスト'!$J$5:$J$47,"番号不明")</f>
        <v/>
      </c>
    </row>
    <row r="13">
      <c r="A13" s="13" t="inlineStr">
        <is>
          <t>富士市</t>
        </is>
      </c>
      <c r="B13" s="13">
        <f>COUNTIF('架電リスト'!$C$5:$C$47,A13)</f>
        <v/>
      </c>
      <c r="C13" s="13">
        <f>COUNTIFS('架電リスト'!$C$5:$C$47,A13,'架電リスト'!$E$5:$E$47,"&lt;&gt;")</f>
        <v/>
      </c>
      <c r="D13" s="13">
        <f>B13-COUNTIFS('架電リスト'!$C$5:$C$47,A13,'架電リスト'!$J$5:$J$47,"未架電")-COUNTIFS('架電リスト'!$C$5:$C$47,A13,'架電リスト'!$J$5:$J$47,"")</f>
        <v/>
      </c>
      <c r="E13" s="13">
        <f>COUNTIFS('架電リスト'!$C$5:$C$47,$A13,'架電リスト'!$J$5:$J$47,"不在・折返し待ち")</f>
        <v/>
      </c>
      <c r="F13" s="13">
        <f>COUNTIFS('架電リスト'!$C$5:$C$47,$A13,'架電リスト'!$J$5:$J$47,"担当者不在")</f>
        <v/>
      </c>
      <c r="G13" s="13">
        <f>COUNTIFS('架電リスト'!$C$5:$C$47,$A13,'架電リスト'!$J$5:$J$47,"資料送付")</f>
        <v/>
      </c>
      <c r="H13" s="13">
        <f>COUNTIFS('架電リスト'!$C$5:$C$47,$A13,'架電リスト'!$J$5:$J$47,"アポ獲得")</f>
        <v/>
      </c>
      <c r="I13" s="13">
        <f>COUNTIFS('架電リスト'!$C$5:$C$47,$A13,'架電リスト'!$J$5:$J$47,"検討中")</f>
        <v/>
      </c>
      <c r="J13" s="13">
        <f>COUNTIFS('架電リスト'!$C$5:$C$47,$A13,'架電リスト'!$J$5:$J$47,"NG")</f>
        <v/>
      </c>
      <c r="K13" s="13">
        <f>COUNTIFS('架電リスト'!$C$5:$C$47,$A13,'架電リスト'!$J$5:$J$47,"番号不明")</f>
        <v/>
      </c>
    </row>
    <row r="14">
      <c r="A14" s="13" t="inlineStr">
        <is>
          <t>島田市</t>
        </is>
      </c>
      <c r="B14" s="13">
        <f>COUNTIF('架電リスト'!$C$5:$C$47,A14)</f>
        <v/>
      </c>
      <c r="C14" s="13">
        <f>COUNTIFS('架電リスト'!$C$5:$C$47,A14,'架電リスト'!$E$5:$E$47,"&lt;&gt;")</f>
        <v/>
      </c>
      <c r="D14" s="13">
        <f>B14-COUNTIFS('架電リスト'!$C$5:$C$47,A14,'架電リスト'!$J$5:$J$47,"未架電")-COUNTIFS('架電リスト'!$C$5:$C$47,A14,'架電リスト'!$J$5:$J$47,"")</f>
        <v/>
      </c>
      <c r="E14" s="13">
        <f>COUNTIFS('架電リスト'!$C$5:$C$47,$A14,'架電リスト'!$J$5:$J$47,"不在・折返し待ち")</f>
        <v/>
      </c>
      <c r="F14" s="13">
        <f>COUNTIFS('架電リスト'!$C$5:$C$47,$A14,'架電リスト'!$J$5:$J$47,"担当者不在")</f>
        <v/>
      </c>
      <c r="G14" s="13">
        <f>COUNTIFS('架電リスト'!$C$5:$C$47,$A14,'架電リスト'!$J$5:$J$47,"資料送付")</f>
        <v/>
      </c>
      <c r="H14" s="13">
        <f>COUNTIFS('架電リスト'!$C$5:$C$47,$A14,'架電リスト'!$J$5:$J$47,"アポ獲得")</f>
        <v/>
      </c>
      <c r="I14" s="13">
        <f>COUNTIFS('架電リスト'!$C$5:$C$47,$A14,'架電リスト'!$J$5:$J$47,"検討中")</f>
        <v/>
      </c>
      <c r="J14" s="13">
        <f>COUNTIFS('架電リスト'!$C$5:$C$47,$A14,'架電リスト'!$J$5:$J$47,"NG")</f>
        <v/>
      </c>
      <c r="K14" s="13">
        <f>COUNTIFS('架電リスト'!$C$5:$C$47,$A14,'架電リスト'!$J$5:$J$47,"番号不明")</f>
        <v/>
      </c>
    </row>
    <row r="15">
      <c r="A15" s="13" t="inlineStr">
        <is>
          <t>富士宮市</t>
        </is>
      </c>
      <c r="B15" s="13">
        <f>COUNTIF('架電リスト'!$C$5:$C$47,A15)</f>
        <v/>
      </c>
      <c r="C15" s="13">
        <f>COUNTIFS('架電リスト'!$C$5:$C$47,A15,'架電リスト'!$E$5:$E$47,"&lt;&gt;")</f>
        <v/>
      </c>
      <c r="D15" s="13">
        <f>B15-COUNTIFS('架電リスト'!$C$5:$C$47,A15,'架電リスト'!$J$5:$J$47,"未架電")-COUNTIFS('架電リスト'!$C$5:$C$47,A15,'架電リスト'!$J$5:$J$47,"")</f>
        <v/>
      </c>
      <c r="E15" s="13">
        <f>COUNTIFS('架電リスト'!$C$5:$C$47,$A15,'架電リスト'!$J$5:$J$47,"不在・折返し待ち")</f>
        <v/>
      </c>
      <c r="F15" s="13">
        <f>COUNTIFS('架電リスト'!$C$5:$C$47,$A15,'架電リスト'!$J$5:$J$47,"担当者不在")</f>
        <v/>
      </c>
      <c r="G15" s="13">
        <f>COUNTIFS('架電リスト'!$C$5:$C$47,$A15,'架電リスト'!$J$5:$J$47,"資料送付")</f>
        <v/>
      </c>
      <c r="H15" s="13">
        <f>COUNTIFS('架電リスト'!$C$5:$C$47,$A15,'架電リスト'!$J$5:$J$47,"アポ獲得")</f>
        <v/>
      </c>
      <c r="I15" s="13">
        <f>COUNTIFS('架電リスト'!$C$5:$C$47,$A15,'架電リスト'!$J$5:$J$47,"検討中")</f>
        <v/>
      </c>
      <c r="J15" s="13">
        <f>COUNTIFS('架電リスト'!$C$5:$C$47,$A15,'架電リスト'!$J$5:$J$47,"NG")</f>
        <v/>
      </c>
      <c r="K15" s="13">
        <f>COUNTIFS('架電リスト'!$C$5:$C$47,$A15,'架電リスト'!$J$5:$J$47,"番号不明")</f>
        <v/>
      </c>
    </row>
    <row r="16">
      <c r="A16" s="13" t="inlineStr">
        <is>
          <t>長泉町</t>
        </is>
      </c>
      <c r="B16" s="13">
        <f>COUNTIF('架電リスト'!$C$5:$C$47,A16)</f>
        <v/>
      </c>
      <c r="C16" s="13">
        <f>COUNTIFS('架電リスト'!$C$5:$C$47,A16,'架電リスト'!$E$5:$E$47,"&lt;&gt;")</f>
        <v/>
      </c>
      <c r="D16" s="13">
        <f>B16-COUNTIFS('架電リスト'!$C$5:$C$47,A16,'架電リスト'!$J$5:$J$47,"未架電")-COUNTIFS('架電リスト'!$C$5:$C$47,A16,'架電リスト'!$J$5:$J$47,"")</f>
        <v/>
      </c>
      <c r="E16" s="13">
        <f>COUNTIFS('架電リスト'!$C$5:$C$47,$A16,'架電リスト'!$J$5:$J$47,"不在・折返し待ち")</f>
        <v/>
      </c>
      <c r="F16" s="13">
        <f>COUNTIFS('架電リスト'!$C$5:$C$47,$A16,'架電リスト'!$J$5:$J$47,"担当者不在")</f>
        <v/>
      </c>
      <c r="G16" s="13">
        <f>COUNTIFS('架電リスト'!$C$5:$C$47,$A16,'架電リスト'!$J$5:$J$47,"資料送付")</f>
        <v/>
      </c>
      <c r="H16" s="13">
        <f>COUNTIFS('架電リスト'!$C$5:$C$47,$A16,'架電リスト'!$J$5:$J$47,"アポ獲得")</f>
        <v/>
      </c>
      <c r="I16" s="13">
        <f>COUNTIFS('架電リスト'!$C$5:$C$47,$A16,'架電リスト'!$J$5:$J$47,"検討中")</f>
        <v/>
      </c>
      <c r="J16" s="13">
        <f>COUNTIFS('架電リスト'!$C$5:$C$47,$A16,'架電リスト'!$J$5:$J$47,"NG")</f>
        <v/>
      </c>
      <c r="K16" s="13">
        <f>COUNTIFS('架電リスト'!$C$5:$C$47,$A16,'架電リスト'!$J$5:$J$47,"番号不明")</f>
        <v/>
      </c>
    </row>
    <row r="17">
      <c r="A17" s="13" t="inlineStr">
        <is>
          <t>菊川市</t>
        </is>
      </c>
      <c r="B17" s="13">
        <f>COUNTIF('架電リスト'!$C$5:$C$47,A17)</f>
        <v/>
      </c>
      <c r="C17" s="13">
        <f>COUNTIFS('架電リスト'!$C$5:$C$47,A17,'架電リスト'!$E$5:$E$47,"&lt;&gt;")</f>
        <v/>
      </c>
      <c r="D17" s="13">
        <f>B17-COUNTIFS('架電リスト'!$C$5:$C$47,A17,'架電リスト'!$J$5:$J$47,"未架電")-COUNTIFS('架電リスト'!$C$5:$C$47,A17,'架電リスト'!$J$5:$J$47,"")</f>
        <v/>
      </c>
      <c r="E17" s="13">
        <f>COUNTIFS('架電リスト'!$C$5:$C$47,$A17,'架電リスト'!$J$5:$J$47,"不在・折返し待ち")</f>
        <v/>
      </c>
      <c r="F17" s="13">
        <f>COUNTIFS('架電リスト'!$C$5:$C$47,$A17,'架電リスト'!$J$5:$J$47,"担当者不在")</f>
        <v/>
      </c>
      <c r="G17" s="13">
        <f>COUNTIFS('架電リスト'!$C$5:$C$47,$A17,'架電リスト'!$J$5:$J$47,"資料送付")</f>
        <v/>
      </c>
      <c r="H17" s="13">
        <f>COUNTIFS('架電リスト'!$C$5:$C$47,$A17,'架電リスト'!$J$5:$J$47,"アポ獲得")</f>
        <v/>
      </c>
      <c r="I17" s="13">
        <f>COUNTIFS('架電リスト'!$C$5:$C$47,$A17,'架電リスト'!$J$5:$J$47,"検討中")</f>
        <v/>
      </c>
      <c r="J17" s="13">
        <f>COUNTIFS('架電リスト'!$C$5:$C$47,$A17,'架電リスト'!$J$5:$J$47,"NG")</f>
        <v/>
      </c>
      <c r="K17" s="13">
        <f>COUNTIFS('架電リスト'!$C$5:$C$47,$A17,'架電リスト'!$J$5:$J$47,"番号不明")</f>
        <v/>
      </c>
    </row>
    <row r="18">
      <c r="A18" s="13" t="inlineStr">
        <is>
          <t>三島市</t>
        </is>
      </c>
      <c r="B18" s="13">
        <f>COUNTIF('架電リスト'!$C$5:$C$47,A18)</f>
        <v/>
      </c>
      <c r="C18" s="13">
        <f>COUNTIFS('架電リスト'!$C$5:$C$47,A18,'架電リスト'!$E$5:$E$47,"&lt;&gt;")</f>
        <v/>
      </c>
      <c r="D18" s="13">
        <f>B18-COUNTIFS('架電リスト'!$C$5:$C$47,A18,'架電リスト'!$J$5:$J$47,"未架電")-COUNTIFS('架電リスト'!$C$5:$C$47,A18,'架電リスト'!$J$5:$J$47,"")</f>
        <v/>
      </c>
      <c r="E18" s="13">
        <f>COUNTIFS('架電リスト'!$C$5:$C$47,$A18,'架電リスト'!$J$5:$J$47,"不在・折返し待ち")</f>
        <v/>
      </c>
      <c r="F18" s="13">
        <f>COUNTIFS('架電リスト'!$C$5:$C$47,$A18,'架電リスト'!$J$5:$J$47,"担当者不在")</f>
        <v/>
      </c>
      <c r="G18" s="13">
        <f>COUNTIFS('架電リスト'!$C$5:$C$47,$A18,'架電リスト'!$J$5:$J$47,"資料送付")</f>
        <v/>
      </c>
      <c r="H18" s="13">
        <f>COUNTIFS('架電リスト'!$C$5:$C$47,$A18,'架電リスト'!$J$5:$J$47,"アポ獲得")</f>
        <v/>
      </c>
      <c r="I18" s="13">
        <f>COUNTIFS('架電リスト'!$C$5:$C$47,$A18,'架電リスト'!$J$5:$J$47,"検討中")</f>
        <v/>
      </c>
      <c r="J18" s="13">
        <f>COUNTIFS('架電リスト'!$C$5:$C$47,$A18,'架電リスト'!$J$5:$J$47,"NG")</f>
        <v/>
      </c>
      <c r="K18" s="13">
        <f>COUNTIFS('架電リスト'!$C$5:$C$47,$A18,'架電リスト'!$J$5:$J$47,"番号不明")</f>
        <v/>
      </c>
    </row>
    <row r="19">
      <c r="A19" s="13" t="inlineStr">
        <is>
          <t>裾野市</t>
        </is>
      </c>
      <c r="B19" s="13">
        <f>COUNTIF('架電リスト'!$C$5:$C$47,A19)</f>
        <v/>
      </c>
      <c r="C19" s="13">
        <f>COUNTIFS('架電リスト'!$C$5:$C$47,A19,'架電リスト'!$E$5:$E$47,"&lt;&gt;")</f>
        <v/>
      </c>
      <c r="D19" s="13">
        <f>B19-COUNTIFS('架電リスト'!$C$5:$C$47,A19,'架電リスト'!$J$5:$J$47,"未架電")-COUNTIFS('架電リスト'!$C$5:$C$47,A19,'架電リスト'!$J$5:$J$47,"")</f>
        <v/>
      </c>
      <c r="E19" s="13">
        <f>COUNTIFS('架電リスト'!$C$5:$C$47,$A19,'架電リスト'!$J$5:$J$47,"不在・折返し待ち")</f>
        <v/>
      </c>
      <c r="F19" s="13">
        <f>COUNTIFS('架電リスト'!$C$5:$C$47,$A19,'架電リスト'!$J$5:$J$47,"担当者不在")</f>
        <v/>
      </c>
      <c r="G19" s="13">
        <f>COUNTIFS('架電リスト'!$C$5:$C$47,$A19,'架電リスト'!$J$5:$J$47,"資料送付")</f>
        <v/>
      </c>
      <c r="H19" s="13">
        <f>COUNTIFS('架電リスト'!$C$5:$C$47,$A19,'架電リスト'!$J$5:$J$47,"アポ獲得")</f>
        <v/>
      </c>
      <c r="I19" s="13">
        <f>COUNTIFS('架電リスト'!$C$5:$C$47,$A19,'架電リスト'!$J$5:$J$47,"検討中")</f>
        <v/>
      </c>
      <c r="J19" s="13">
        <f>COUNTIFS('架電リスト'!$C$5:$C$47,$A19,'架電リスト'!$J$5:$J$47,"NG")</f>
        <v/>
      </c>
      <c r="K19" s="13">
        <f>COUNTIFS('架電リスト'!$C$5:$C$47,$A19,'架電リスト'!$J$5:$J$47,"番号不明")</f>
        <v/>
      </c>
    </row>
    <row r="20">
      <c r="A20" s="13" t="inlineStr">
        <is>
          <t>焼津市</t>
        </is>
      </c>
      <c r="B20" s="13">
        <f>COUNTIF('架電リスト'!$C$5:$C$47,A20)</f>
        <v/>
      </c>
      <c r="C20" s="13">
        <f>COUNTIFS('架電リスト'!$C$5:$C$47,A20,'架電リスト'!$E$5:$E$47,"&lt;&gt;")</f>
        <v/>
      </c>
      <c r="D20" s="13">
        <f>B20-COUNTIFS('架電リスト'!$C$5:$C$47,A20,'架電リスト'!$J$5:$J$47,"未架電")-COUNTIFS('架電リスト'!$C$5:$C$47,A20,'架電リスト'!$J$5:$J$47,"")</f>
        <v/>
      </c>
      <c r="E20" s="13">
        <f>COUNTIFS('架電リスト'!$C$5:$C$47,$A20,'架電リスト'!$J$5:$J$47,"不在・折返し待ち")</f>
        <v/>
      </c>
      <c r="F20" s="13">
        <f>COUNTIFS('架電リスト'!$C$5:$C$47,$A20,'架電リスト'!$J$5:$J$47,"担当者不在")</f>
        <v/>
      </c>
      <c r="G20" s="13">
        <f>COUNTIFS('架電リスト'!$C$5:$C$47,$A20,'架電リスト'!$J$5:$J$47,"資料送付")</f>
        <v/>
      </c>
      <c r="H20" s="13">
        <f>COUNTIFS('架電リスト'!$C$5:$C$47,$A20,'架電リスト'!$J$5:$J$47,"アポ獲得")</f>
        <v/>
      </c>
      <c r="I20" s="13">
        <f>COUNTIFS('架電リスト'!$C$5:$C$47,$A20,'架電リスト'!$J$5:$J$47,"検討中")</f>
        <v/>
      </c>
      <c r="J20" s="13">
        <f>COUNTIFS('架電リスト'!$C$5:$C$47,$A20,'架電リスト'!$J$5:$J$47,"NG")</f>
        <v/>
      </c>
      <c r="K20" s="13">
        <f>COUNTIFS('架電リスト'!$C$5:$C$47,$A20,'架電リスト'!$J$5:$J$47,"番号不明")</f>
        <v/>
      </c>
    </row>
    <row r="21">
      <c r="A21" s="14" t="inlineStr">
        <is>
          <t>合計</t>
        </is>
      </c>
      <c r="B21" s="14">
        <f>SUM(B4:B20)</f>
        <v/>
      </c>
      <c r="C21" s="14">
        <f>SUM(C4:C20)</f>
        <v/>
      </c>
      <c r="D21" s="14">
        <f>SUM(D4:D20)</f>
        <v/>
      </c>
      <c r="E21" s="14">
        <f>SUM(E4:E20)</f>
        <v/>
      </c>
      <c r="F21" s="14">
        <f>SUM(F4:F20)</f>
        <v/>
      </c>
      <c r="G21" s="14">
        <f>SUM(G4:G20)</f>
        <v/>
      </c>
      <c r="H21" s="14">
        <f>SUM(H4:H20)</f>
        <v/>
      </c>
      <c r="I21" s="14">
        <f>SUM(I4:I20)</f>
        <v/>
      </c>
      <c r="J21" s="14">
        <f>SUM(J4:J20)</f>
        <v/>
      </c>
      <c r="K21" s="14">
        <f>SUM(K4:K20)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5" t="inlineStr">
        <is>
          <t>■ 使い方</t>
        </is>
      </c>
    </row>
    <row r="2">
      <c r="A2" s="16" t="inlineStr">
        <is>
          <t>・「架電リスト」の黄色の列（電話番号・架電日・担当者・架電結果・次回連絡日・メモ）に入力してください。</t>
        </is>
      </c>
    </row>
    <row r="3">
      <c r="A3" s="16" t="inlineStr">
        <is>
          <t>・架電結果はプルダウンから選択します（アポ獲得＝緑、NG＝グレーで行が自動着色）。</t>
        </is>
      </c>
    </row>
    <row r="4">
      <c r="A4" s="16" t="inlineStr">
        <is>
          <t>・「学校情報ページ」の「開く」をクリックすると、学校ネットの各校ページが開きます。</t>
        </is>
      </c>
    </row>
    <row r="5">
      <c r="A5" s="16" t="inlineStr">
        <is>
          <t>・「番号の確度」：高＝公式サイト、または2つ以上の情報源で一致／中＝情報サイト1件のみ、または代表番号と断定できず（補足欄参照）／低・要調査＝特定できず。</t>
        </is>
      </c>
    </row>
    <row r="6">
      <c r="A6" s="16" t="inlineStr">
        <is>
          <t>・「電話番号の補足」に、代表番号の共有・別番号（入試事務局など）・移転などの注意を記載しています。架電前にご確認ください。</t>
        </is>
      </c>
    </row>
    <row r="7">
      <c r="A7" s="16" t="inlineStr">
        <is>
          <t>・都道府県や市区町村で絞り込む場合は、見出し行の▼（フィルター）を使用してください。</t>
        </is>
      </c>
    </row>
    <row r="8">
      <c r="A8" s="16" t="inlineStr">
        <is>
          <t>・集計シートは入力内容に連動して自動で集計されます。</t>
        </is>
      </c>
    </row>
    <row r="9">
      <c r="A9" s="16" t="inlineStr"/>
    </row>
    <row r="10">
      <c r="A10" s="15" t="inlineStr">
        <is>
          <t>■ 元データについての注意</t>
        </is>
      </c>
    </row>
    <row r="11">
      <c r="A11" s="16" t="inlineStr">
        <is>
          <t>・出典：ご提供いただいた学校ネットの検索結果（私立高校・静岡県、43校）の貼り付けデータ。並び順は都道府県ごとに元データの掲載順です。</t>
        </is>
      </c>
    </row>
    <row r="12">
      <c r="A12" s="16" t="inlineStr">
        <is>
          <t>・電話番号は元データに記載がないため、2026年10月にWeb検索（学校公式サイト、JS日本の学校、みんなの高校情報、自治体・ハローワーク・各道県の私学協会の資料など）で調査しました。推測による補完はしていません。</t>
        </is>
      </c>
    </row>
    <row r="13">
      <c r="A13" s="16" t="inlineStr">
        <is>
          <t>・通信制（広域通信制）の学校は、所在地・電話番号とも本校のものです。架電先（本校／各キャンパス）にご注意ください。</t>
        </is>
      </c>
    </row>
    <row r="14">
      <c r="A14" s="16" t="inlineStr">
        <is>
          <t>・閉校・統合・校名変更などは反映されていない可能性があります。架電前にご確認ください。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2026-10-13T08:50:38Z</dcterms:created>
  <dcterms:modified xsi:type="dcterms:W3CDTF">2026-10-13T08:50:38Z</dcterms:modified>
</cp:coreProperties>
</file>