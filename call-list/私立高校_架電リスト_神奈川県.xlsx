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'架電リスト'!$A$4:$O$84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7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2506.html" TargetMode="External" Id="rId1" /><Relationship Type="http://schemas.openxmlformats.org/officeDocument/2006/relationships/hyperlink" Target="https://www.gakkou.net/kou/view/index_302421.html" TargetMode="External" Id="rId2" /><Relationship Type="http://schemas.openxmlformats.org/officeDocument/2006/relationships/hyperlink" Target="https://www.gakkou.net/kou/view/index_302615.html" TargetMode="External" Id="rId3" /><Relationship Type="http://schemas.openxmlformats.org/officeDocument/2006/relationships/hyperlink" Target="https://www.gakkou.net/kou/view/index_302464.html" TargetMode="External" Id="rId4" /><Relationship Type="http://schemas.openxmlformats.org/officeDocument/2006/relationships/hyperlink" Target="https://www.gakkou.net/kou/view/index_306415.html" TargetMode="External" Id="rId5" /><Relationship Type="http://schemas.openxmlformats.org/officeDocument/2006/relationships/hyperlink" Target="https://www.gakkou.net/kou/view/index_302643.html" TargetMode="External" Id="rId6" /><Relationship Type="http://schemas.openxmlformats.org/officeDocument/2006/relationships/hyperlink" Target="https://www.gakkou.net/kou/view/index_302600.html" TargetMode="External" Id="rId7" /><Relationship Type="http://schemas.openxmlformats.org/officeDocument/2006/relationships/hyperlink" Target="https://www.gakkou.net/kou/view/index_302431.html" TargetMode="External" Id="rId8" /><Relationship Type="http://schemas.openxmlformats.org/officeDocument/2006/relationships/hyperlink" Target="https://www.gakkou.net/kou/view/index_302397.html" TargetMode="External" Id="rId9" /><Relationship Type="http://schemas.openxmlformats.org/officeDocument/2006/relationships/hyperlink" Target="https://www.gakkou.net/kou/view/index_306336.html" TargetMode="External" Id="rId10" /><Relationship Type="http://schemas.openxmlformats.org/officeDocument/2006/relationships/hyperlink" Target="https://www.gakkou.net/kou/view/index_302426.html" TargetMode="External" Id="rId11" /><Relationship Type="http://schemas.openxmlformats.org/officeDocument/2006/relationships/hyperlink" Target="https://www.gakkou.net/kou/view/index_302449.html" TargetMode="External" Id="rId12" /><Relationship Type="http://schemas.openxmlformats.org/officeDocument/2006/relationships/hyperlink" Target="https://www.gakkou.net/kou/view/index_302599.html" TargetMode="External" Id="rId13" /><Relationship Type="http://schemas.openxmlformats.org/officeDocument/2006/relationships/hyperlink" Target="https://www.gakkou.net/kou/view/index_302596.html" TargetMode="External" Id="rId14" /><Relationship Type="http://schemas.openxmlformats.org/officeDocument/2006/relationships/hyperlink" Target="https://www.gakkou.net/kou/view/index_302603.html" TargetMode="External" Id="rId15" /><Relationship Type="http://schemas.openxmlformats.org/officeDocument/2006/relationships/hyperlink" Target="https://www.gakkou.net/kou/view/index_302402.html" TargetMode="External" Id="rId16" /><Relationship Type="http://schemas.openxmlformats.org/officeDocument/2006/relationships/hyperlink" Target="https://www.gakkou.net/kou/view/index_302499.html" TargetMode="External" Id="rId17" /><Relationship Type="http://schemas.openxmlformats.org/officeDocument/2006/relationships/hyperlink" Target="https://www.gakkou.net/kou/view/index_302520.html" TargetMode="External" Id="rId18" /><Relationship Type="http://schemas.openxmlformats.org/officeDocument/2006/relationships/hyperlink" Target="https://www.gakkou.net/kou/view/index_302620.html" TargetMode="External" Id="rId19" /><Relationship Type="http://schemas.openxmlformats.org/officeDocument/2006/relationships/hyperlink" Target="https://www.gakkou.net/kou/view/index_302598.html" TargetMode="External" Id="rId20" /><Relationship Type="http://schemas.openxmlformats.org/officeDocument/2006/relationships/hyperlink" Target="https://www.gakkou.net/kou/view/index_302627.html" TargetMode="External" Id="rId21" /><Relationship Type="http://schemas.openxmlformats.org/officeDocument/2006/relationships/hyperlink" Target="https://www.gakkou.net/kou/view/index_302579.html" TargetMode="External" Id="rId22" /><Relationship Type="http://schemas.openxmlformats.org/officeDocument/2006/relationships/hyperlink" Target="https://www.gakkou.net/kou/view/index_302438.html" TargetMode="External" Id="rId23" /><Relationship Type="http://schemas.openxmlformats.org/officeDocument/2006/relationships/hyperlink" Target="https://www.gakkou.net/kou/view/index_302640.html" TargetMode="External" Id="rId24" /><Relationship Type="http://schemas.openxmlformats.org/officeDocument/2006/relationships/hyperlink" Target="https://www.gakkou.net/kou/view/index_302674.html" TargetMode="External" Id="rId25" /><Relationship Type="http://schemas.openxmlformats.org/officeDocument/2006/relationships/hyperlink" Target="https://www.gakkou.net/kou/view/index_302465.html" TargetMode="External" Id="rId26" /><Relationship Type="http://schemas.openxmlformats.org/officeDocument/2006/relationships/hyperlink" Target="https://www.gakkou.net/kou/view/index_302459.html" TargetMode="External" Id="rId27" /><Relationship Type="http://schemas.openxmlformats.org/officeDocument/2006/relationships/hyperlink" Target="https://www.gakkou.net/kou/view/index_302440.html" TargetMode="External" Id="rId28" /><Relationship Type="http://schemas.openxmlformats.org/officeDocument/2006/relationships/hyperlink" Target="https://www.gakkou.net/kou/view/index_306338.html" TargetMode="External" Id="rId29" /><Relationship Type="http://schemas.openxmlformats.org/officeDocument/2006/relationships/hyperlink" Target="https://www.gakkou.net/kou/view/index_302529.html" TargetMode="External" Id="rId30" /><Relationship Type="http://schemas.openxmlformats.org/officeDocument/2006/relationships/hyperlink" Target="https://www.gakkou.net/kou/view/index_302629.html" TargetMode="External" Id="rId31" /><Relationship Type="http://schemas.openxmlformats.org/officeDocument/2006/relationships/hyperlink" Target="https://www.gakkou.net/kou/view/index_302630.html" TargetMode="External" Id="rId32" /><Relationship Type="http://schemas.openxmlformats.org/officeDocument/2006/relationships/hyperlink" Target="https://www.gakkou.net/kou/view/index_302628.html" TargetMode="External" Id="rId33" /><Relationship Type="http://schemas.openxmlformats.org/officeDocument/2006/relationships/hyperlink" Target="https://www.gakkou.net/kou/view/index_302610.html" TargetMode="External" Id="rId34" /><Relationship Type="http://schemas.openxmlformats.org/officeDocument/2006/relationships/hyperlink" Target="https://www.gakkou.net/kou/view/index_302493.html" TargetMode="External" Id="rId35" /><Relationship Type="http://schemas.openxmlformats.org/officeDocument/2006/relationships/hyperlink" Target="https://www.gakkou.net/kou/view/index_306556.html" TargetMode="External" Id="rId36" /><Relationship Type="http://schemas.openxmlformats.org/officeDocument/2006/relationships/hyperlink" Target="https://www.gakkou.net/kou/view/index_306335.html" TargetMode="External" Id="rId37" /><Relationship Type="http://schemas.openxmlformats.org/officeDocument/2006/relationships/hyperlink" Target="https://www.gakkou.net/kou/view/index_302565.html" TargetMode="External" Id="rId38" /><Relationship Type="http://schemas.openxmlformats.org/officeDocument/2006/relationships/hyperlink" Target="https://www.gakkou.net/kou/view/index_302602.html" TargetMode="External" Id="rId39" /><Relationship Type="http://schemas.openxmlformats.org/officeDocument/2006/relationships/hyperlink" Target="https://www.gakkou.net/kou/view/index_302477.html" TargetMode="External" Id="rId40" /><Relationship Type="http://schemas.openxmlformats.org/officeDocument/2006/relationships/hyperlink" Target="https://www.gakkou.net/kou/view/index_302607.html" TargetMode="External" Id="rId41" /><Relationship Type="http://schemas.openxmlformats.org/officeDocument/2006/relationships/hyperlink" Target="https://www.gakkou.net/kou/view/index_302400.html" TargetMode="External" Id="rId42" /><Relationship Type="http://schemas.openxmlformats.org/officeDocument/2006/relationships/hyperlink" Target="https://www.gakkou.net/kou/view/index_302422.html" TargetMode="External" Id="rId43" /><Relationship Type="http://schemas.openxmlformats.org/officeDocument/2006/relationships/hyperlink" Target="https://www.gakkou.net/kou/view/index_302617.html" TargetMode="External" Id="rId44" /><Relationship Type="http://schemas.openxmlformats.org/officeDocument/2006/relationships/hyperlink" Target="https://www.gakkou.net/kou/view/index_302483.html" TargetMode="External" Id="rId45" /><Relationship Type="http://schemas.openxmlformats.org/officeDocument/2006/relationships/hyperlink" Target="https://www.gakkou.net/kou/view/index_302667.html" TargetMode="External" Id="rId46" /><Relationship Type="http://schemas.openxmlformats.org/officeDocument/2006/relationships/hyperlink" Target="https://www.gakkou.net/kou/view/index_302498.html" TargetMode="External" Id="rId47" /><Relationship Type="http://schemas.openxmlformats.org/officeDocument/2006/relationships/hyperlink" Target="https://www.gakkou.net/kou/view/index_302482.html" TargetMode="External" Id="rId48" /><Relationship Type="http://schemas.openxmlformats.org/officeDocument/2006/relationships/hyperlink" Target="https://www.gakkou.net/kou/view/index_302446.html" TargetMode="External" Id="rId49" /><Relationship Type="http://schemas.openxmlformats.org/officeDocument/2006/relationships/hyperlink" Target="https://www.gakkou.net/kou/view/index_302460.html" TargetMode="External" Id="rId50" /><Relationship Type="http://schemas.openxmlformats.org/officeDocument/2006/relationships/hyperlink" Target="https://www.gakkou.net/kou/view/index_302413.html" TargetMode="External" Id="rId51" /><Relationship Type="http://schemas.openxmlformats.org/officeDocument/2006/relationships/hyperlink" Target="https://www.gakkou.net/kou/view/index_302623.html" TargetMode="External" Id="rId52" /><Relationship Type="http://schemas.openxmlformats.org/officeDocument/2006/relationships/hyperlink" Target="https://www.gakkou.net/kou/view/index_302408.html" TargetMode="External" Id="rId53" /><Relationship Type="http://schemas.openxmlformats.org/officeDocument/2006/relationships/hyperlink" Target="https://www.gakkou.net/kou/view/index_302436.html" TargetMode="External" Id="rId54" /><Relationship Type="http://schemas.openxmlformats.org/officeDocument/2006/relationships/hyperlink" Target="https://www.gakkou.net/kou/view/index_302638.html" TargetMode="External" Id="rId55" /><Relationship Type="http://schemas.openxmlformats.org/officeDocument/2006/relationships/hyperlink" Target="https://www.gakkou.net/kou/view/index_302484.html" TargetMode="External" Id="rId56" /><Relationship Type="http://schemas.openxmlformats.org/officeDocument/2006/relationships/hyperlink" Target="https://www.gakkou.net/kou/view/index_302658.html" TargetMode="External" Id="rId57" /><Relationship Type="http://schemas.openxmlformats.org/officeDocument/2006/relationships/hyperlink" Target="https://www.gakkou.net/kou/view/index_302495.html" TargetMode="External" Id="rId58" /><Relationship Type="http://schemas.openxmlformats.org/officeDocument/2006/relationships/hyperlink" Target="https://www.gakkou.net/kou/view/index_302633.html" TargetMode="External" Id="rId59" /><Relationship Type="http://schemas.openxmlformats.org/officeDocument/2006/relationships/hyperlink" Target="https://www.gakkou.net/kou/view/index_302432.html" TargetMode="External" Id="rId60" /><Relationship Type="http://schemas.openxmlformats.org/officeDocument/2006/relationships/hyperlink" Target="https://www.gakkou.net/kou/view/index_302486.html" TargetMode="External" Id="rId61" /><Relationship Type="http://schemas.openxmlformats.org/officeDocument/2006/relationships/hyperlink" Target="https://www.gakkou.net/kou/view/index_302395.html" TargetMode="External" Id="rId62" /><Relationship Type="http://schemas.openxmlformats.org/officeDocument/2006/relationships/hyperlink" Target="https://www.gakkou.net/kou/view/index_302535.html" TargetMode="External" Id="rId63" /><Relationship Type="http://schemas.openxmlformats.org/officeDocument/2006/relationships/hyperlink" Target="https://www.gakkou.net/kou/view/index_302634.html" TargetMode="External" Id="rId64" /><Relationship Type="http://schemas.openxmlformats.org/officeDocument/2006/relationships/hyperlink" Target="https://www.gakkou.net/kou/view/index_302530.html" TargetMode="External" Id="rId65" /><Relationship Type="http://schemas.openxmlformats.org/officeDocument/2006/relationships/hyperlink" Target="https://www.gakkou.net/kou/view/index_302447.html" TargetMode="External" Id="rId66" /><Relationship Type="http://schemas.openxmlformats.org/officeDocument/2006/relationships/hyperlink" Target="https://www.gakkou.net/kou/view/index_302595.html" TargetMode="External" Id="rId67" /><Relationship Type="http://schemas.openxmlformats.org/officeDocument/2006/relationships/hyperlink" Target="https://www.gakkou.net/kou/view/index_302528.html" TargetMode="External" Id="rId68" /><Relationship Type="http://schemas.openxmlformats.org/officeDocument/2006/relationships/hyperlink" Target="https://www.gakkou.net/kou/view/index_302514.html" TargetMode="External" Id="rId69" /><Relationship Type="http://schemas.openxmlformats.org/officeDocument/2006/relationships/hyperlink" Target="https://www.gakkou.net/kou/view/index_302494.html" TargetMode="External" Id="rId70" /><Relationship Type="http://schemas.openxmlformats.org/officeDocument/2006/relationships/hyperlink" Target="https://www.gakkou.net/kou/view/index_302525.html" TargetMode="External" Id="rId71" /><Relationship Type="http://schemas.openxmlformats.org/officeDocument/2006/relationships/hyperlink" Target="https://www.gakkou.net/kou/view/index_302557.html" TargetMode="External" Id="rId72" /><Relationship Type="http://schemas.openxmlformats.org/officeDocument/2006/relationships/hyperlink" Target="https://www.gakkou.net/kou/view/index_302496.html" TargetMode="External" Id="rId73" /><Relationship Type="http://schemas.openxmlformats.org/officeDocument/2006/relationships/hyperlink" Target="https://www.gakkou.net/kou/view/index_302450.html" TargetMode="External" Id="rId74" /><Relationship Type="http://schemas.openxmlformats.org/officeDocument/2006/relationships/hyperlink" Target="https://www.gakkou.net/kou/view/index_302549.html" TargetMode="External" Id="rId75" /><Relationship Type="http://schemas.openxmlformats.org/officeDocument/2006/relationships/hyperlink" Target="https://www.gakkou.net/kou/view/index_302420.html" TargetMode="External" Id="rId76" /><Relationship Type="http://schemas.openxmlformats.org/officeDocument/2006/relationships/hyperlink" Target="https://www.gakkou.net/kou/view/index_302521.html" TargetMode="External" Id="rId77" /><Relationship Type="http://schemas.openxmlformats.org/officeDocument/2006/relationships/hyperlink" Target="https://www.gakkou.net/kou/view/index_302592.html" TargetMode="External" Id="rId78" /><Relationship Type="http://schemas.openxmlformats.org/officeDocument/2006/relationships/hyperlink" Target="https://www.gakkou.net/kou/view/index_306770.html" TargetMode="External" Id="rId79" /><Relationship Type="http://schemas.openxmlformats.org/officeDocument/2006/relationships/hyperlink" Target="https://www.gakkou.net/kou/view/index_302497.html" TargetMode="External" Id="rId8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架電リスト（神奈川県／80校）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神奈川県</t>
        </is>
      </c>
      <c r="C5" s="5" t="inlineStr">
        <is>
          <t>横浜市南区</t>
        </is>
      </c>
      <c r="D5" s="5" t="inlineStr">
        <is>
          <t>青山学院横浜英和高等学校</t>
        </is>
      </c>
      <c r="E5" s="6" t="inlineStr">
        <is>
          <t>045-731-2862</t>
        </is>
      </c>
      <c r="F5" s="7" t="inlineStr">
        <is>
          <t>中</t>
        </is>
      </c>
      <c r="G5" s="5" t="inlineStr">
        <is>
          <t>普通科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中高共通。横浜市南区の一覧ほかで一致。045-731-2861を載せるサイトもあり</t>
        </is>
      </c>
      <c r="N5" s="11" t="inlineStr">
        <is>
          <t>https://www.city.yokohama.lg.jp/minami/kosodate_kyoiku/kyoiku/gakko/juniorhighschool.html ; https://www.inter-edu.com/schools/school/218</t>
        </is>
      </c>
      <c r="O5" s="12" t="inlineStr">
        <is>
          <t>開く</t>
        </is>
      </c>
    </row>
    <row r="6">
      <c r="A6" s="4" t="n">
        <v>2</v>
      </c>
      <c r="B6" s="5" t="inlineStr">
        <is>
          <t>神奈川県</t>
        </is>
      </c>
      <c r="C6" s="5" t="inlineStr">
        <is>
          <t>横浜市神奈川区</t>
        </is>
      </c>
      <c r="D6" s="5" t="inlineStr">
        <is>
          <t>浅野高等学校</t>
        </is>
      </c>
      <c r="E6" s="6" t="inlineStr">
        <is>
          <t>045-421-3281</t>
        </is>
      </c>
      <c r="F6" s="7" t="inlineStr">
        <is>
          <t>中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中高共通。学校情報サイト1件のみで確認</t>
        </is>
      </c>
      <c r="N6" s="11" t="inlineStr">
        <is>
          <t>https://www.inter-edu.com/schools/school/1/</t>
        </is>
      </c>
      <c r="O6" s="12" t="inlineStr">
        <is>
          <t>開く</t>
        </is>
      </c>
    </row>
    <row r="7">
      <c r="A7" s="4" t="n">
        <v>3</v>
      </c>
      <c r="B7" s="5" t="inlineStr">
        <is>
          <t>神奈川県</t>
        </is>
      </c>
      <c r="C7" s="5" t="inlineStr">
        <is>
          <t>小田原市</t>
        </is>
      </c>
      <c r="D7" s="5" t="inlineStr">
        <is>
          <t>旭丘高等学校</t>
        </is>
      </c>
      <c r="E7" s="6" t="inlineStr">
        <is>
          <t>0465-24-2227</t>
        </is>
      </c>
      <c r="F7" s="7" t="inlineStr">
        <is>
          <t>中</t>
        </is>
      </c>
      <c r="G7" s="5" t="inlineStr">
        <is>
          <t>普通科・総合学科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学校情報サイト1件のみで確認</t>
        </is>
      </c>
      <c r="N7" s="11" t="inlineStr">
        <is>
          <t>https://school.js88.com/scl_h/22042660</t>
        </is>
      </c>
      <c r="O7" s="12" t="inlineStr">
        <is>
          <t>開く</t>
        </is>
      </c>
    </row>
    <row r="8">
      <c r="A8" s="4" t="n">
        <v>4</v>
      </c>
      <c r="B8" s="5" t="inlineStr">
        <is>
          <t>神奈川県</t>
        </is>
      </c>
      <c r="C8" s="5" t="inlineStr">
        <is>
          <t>相模原市中央区</t>
        </is>
      </c>
      <c r="D8" s="5" t="inlineStr">
        <is>
          <t>麻布大学附属高等学校</t>
        </is>
      </c>
      <c r="E8" s="6" t="inlineStr">
        <is>
          <t>042-757-2403</t>
        </is>
      </c>
      <c r="F8" s="13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2つのサイトで一致</t>
        </is>
      </c>
      <c r="N8" s="11" t="inlineStr">
        <is>
          <t>https://school.js88.com/scl_h/22042730 ; https://www.inter-edu.com/schools/school/553</t>
        </is>
      </c>
      <c r="O8" s="12" t="inlineStr">
        <is>
          <t>開く</t>
        </is>
      </c>
    </row>
    <row r="9">
      <c r="A9" s="4" t="n">
        <v>5</v>
      </c>
      <c r="B9" s="5" t="inlineStr">
        <is>
          <t>神奈川県</t>
        </is>
      </c>
      <c r="C9" s="5" t="inlineStr">
        <is>
          <t>厚木市</t>
        </is>
      </c>
      <c r="D9" s="5" t="inlineStr">
        <is>
          <t>厚木中央高等学校</t>
        </is>
      </c>
      <c r="E9" s="6" t="inlineStr">
        <is>
          <t>046-221-5678</t>
        </is>
      </c>
      <c r="F9" s="7" t="inlineStr">
        <is>
          <t>中</t>
        </is>
      </c>
      <c r="G9" s="5" t="inlineStr">
        <is>
          <t>普通科・専門学科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通信制。学校情報サイト1件のみで確認</t>
        </is>
      </c>
      <c r="N9" s="11" t="inlineStr">
        <is>
          <t>https://school.js88.com/scl_h/34025180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神奈川県</t>
        </is>
      </c>
      <c r="C10" s="5" t="inlineStr">
        <is>
          <t>茅ヶ崎市</t>
        </is>
      </c>
      <c r="D10" s="5" t="inlineStr">
        <is>
          <t>アレセイア湘南高等学校</t>
        </is>
      </c>
      <c r="E10" s="6" t="inlineStr">
        <is>
          <t>0467-87-0132</t>
        </is>
      </c>
      <c r="F10" s="13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中高共通。複数サイトで一致</t>
        </is>
      </c>
      <c r="N10" s="11" t="inlineStr">
        <is>
          <t>https://www.inter-edu.com/schools/school/2220 ; https://school.js88.com/scl_h/22042670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神奈川県</t>
        </is>
      </c>
      <c r="C11" s="5" t="inlineStr">
        <is>
          <t>鎌倉市</t>
        </is>
      </c>
      <c r="D11" s="5" t="inlineStr">
        <is>
          <t>栄光学園高等学校</t>
        </is>
      </c>
      <c r="E11" s="6" t="inlineStr">
        <is>
          <t>0467-46-7711</t>
        </is>
      </c>
      <c r="F11" s="13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中高共通</t>
        </is>
      </c>
      <c r="N11" s="11" t="inlineStr">
        <is>
          <t>https://www.inter-edu.com/schools/school/3 ; https://school.js88.com/scl_h/22042500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神奈川県</t>
        </is>
      </c>
      <c r="C12" s="5" t="inlineStr">
        <is>
          <t>横浜市港北区</t>
        </is>
      </c>
      <c r="D12" s="5" t="inlineStr">
        <is>
          <t>英理女子学院高等学校</t>
        </is>
      </c>
      <c r="E12" s="6" t="inlineStr">
        <is>
          <t>045-431-8188</t>
        </is>
      </c>
      <c r="F12" s="7" t="inlineStr">
        <is>
          <t>中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学校情報サイト1件のみで確認</t>
        </is>
      </c>
      <c r="N12" s="11" t="inlineStr">
        <is>
          <t>https://www.inter-edu.com/schools/school/1816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神奈川県</t>
        </is>
      </c>
      <c r="C13" s="5" t="inlineStr">
        <is>
          <t>川崎市中原区</t>
        </is>
      </c>
      <c r="D13" s="5" t="inlineStr">
        <is>
          <t>大西学園高等学校</t>
        </is>
      </c>
      <c r="E13" s="6" t="inlineStr">
        <is>
          <t>044-722-2332</t>
        </is>
      </c>
      <c r="F13" s="13" t="inlineStr">
        <is>
          <t>高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中高共通</t>
        </is>
      </c>
      <c r="N13" s="11" t="inlineStr">
        <is>
          <t>https://school.js88.com/scl_h/22042430/ ; https://www.inter-edu.com/schools/school/1864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神奈川県</t>
        </is>
      </c>
      <c r="C14" s="5" t="inlineStr">
        <is>
          <t>大和市</t>
        </is>
      </c>
      <c r="D14" s="5" t="inlineStr">
        <is>
          <t>柏木学園高等学校</t>
        </is>
      </c>
      <c r="E14" s="6" t="inlineStr">
        <is>
          <t>046-260-9011</t>
        </is>
      </c>
      <c r="F14" s="7" t="inlineStr">
        <is>
          <t>中</t>
        </is>
      </c>
      <c r="G14" s="5" t="inlineStr">
        <is>
          <t>普通科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学校情報サイト1件のみで確認。同じ法人の専門学校とは別番号</t>
        </is>
      </c>
      <c r="N14" s="11" t="inlineStr">
        <is>
          <t>https://school.js88.com/scl_h/22108010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神奈川県</t>
        </is>
      </c>
      <c r="C15" s="5" t="inlineStr">
        <is>
          <t>横浜市神奈川区</t>
        </is>
      </c>
      <c r="D15" s="5" t="inlineStr">
        <is>
          <t>神奈川学園高等学校</t>
        </is>
      </c>
      <c r="E15" s="6" t="inlineStr">
        <is>
          <t>045-311-2961</t>
        </is>
      </c>
      <c r="F15" s="7" t="inlineStr">
        <is>
          <t>中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中高共通。学校情報サイト1件のみで確認</t>
        </is>
      </c>
      <c r="N15" s="11" t="inlineStr">
        <is>
          <t>https://www.inter-edu.com/schools/school/242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神奈川県</t>
        </is>
      </c>
      <c r="C16" s="5" t="inlineStr">
        <is>
          <t>横浜市緑区</t>
        </is>
      </c>
      <c r="D16" s="5" t="inlineStr">
        <is>
          <t>神奈川大学附属高等学校</t>
        </is>
      </c>
      <c r="E16" s="6" t="inlineStr">
        <is>
          <t>045-934-6211</t>
        </is>
      </c>
      <c r="F16" s="13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中高共通。公式資料（2014年）とも一致</t>
        </is>
      </c>
      <c r="N16" s="11" t="inlineStr">
        <is>
          <t>https://www.inter-edu.com/schools/school/150 ; https://www.fhs.kanagawa-u.ac.jp/images/topics/1407458985/1407458985_20.pdf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神奈川県</t>
        </is>
      </c>
      <c r="C17" s="5" t="inlineStr">
        <is>
          <t>鎌倉市</t>
        </is>
      </c>
      <c r="D17" s="5" t="inlineStr">
        <is>
          <t>鎌倉学園高等学校</t>
        </is>
      </c>
      <c r="E17" s="6" t="inlineStr">
        <is>
          <t>0467-22-0994</t>
        </is>
      </c>
      <c r="F17" s="13" t="inlineStr">
        <is>
          <t>高</t>
        </is>
      </c>
      <c r="G17" s="5" t="inlineStr">
        <is>
          <t>普通科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中高共通</t>
        </is>
      </c>
      <c r="N17" s="11" t="inlineStr">
        <is>
          <t>https://www.inter-edu.com/schools/school/1984 ; https://school.js88.com/scl_h/22042510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神奈川県</t>
        </is>
      </c>
      <c r="C18" s="5" t="inlineStr">
        <is>
          <t>鎌倉市</t>
        </is>
      </c>
      <c r="D18" s="5" t="inlineStr">
        <is>
          <t>鎌倉国際文理高等学校</t>
        </is>
      </c>
      <c r="E18" s="6" t="inlineStr">
        <is>
          <t>0467-44-2113</t>
        </is>
      </c>
      <c r="F18" s="13" t="inlineStr">
        <is>
          <t>高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【校名変更】2026年4月に鎌倉女子大学高等部から改称。中高共通</t>
        </is>
      </c>
      <c r="N18" s="11" t="inlineStr">
        <is>
          <t>https://www.inter-edu.com/schools/school/2071 ; https://school.js88.com/scl_h/22042540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神奈川県</t>
        </is>
      </c>
      <c r="C19" s="5" t="inlineStr">
        <is>
          <t>鎌倉市</t>
        </is>
      </c>
      <c r="D19" s="5" t="inlineStr">
        <is>
          <t>鎌倉女学院高等学校</t>
        </is>
      </c>
      <c r="E19" s="6" t="inlineStr">
        <is>
          <t>0467-25-2100</t>
        </is>
      </c>
      <c r="F19" s="7" t="inlineStr">
        <is>
          <t>中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中高共通。学校情報サイト1件のみで確認</t>
        </is>
      </c>
      <c r="N19" s="11" t="inlineStr">
        <is>
          <t>https://www.inter-edu.com/schools/school/241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神奈川県</t>
        </is>
      </c>
      <c r="C20" s="5" t="inlineStr">
        <is>
          <t>川崎市多摩区</t>
        </is>
      </c>
      <c r="D20" s="5" t="inlineStr">
        <is>
          <t>カリタス女子高等学校</t>
        </is>
      </c>
      <c r="E20" s="6" t="inlineStr">
        <is>
          <t>044-911-4656</t>
        </is>
      </c>
      <c r="F20" s="13" t="inlineStr">
        <is>
          <t>高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高校募集なし（完全中高一貫）</t>
        </is>
      </c>
      <c r="N20" s="11" t="inlineStr">
        <is>
          <t>https://school.js88.com/scl_h/22042440 ; https://www.inter-edu.com/schools/school/91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神奈川県</t>
        </is>
      </c>
      <c r="C21" s="5" t="inlineStr">
        <is>
          <t>横浜市南区</t>
        </is>
      </c>
      <c r="D21" s="5" t="inlineStr">
        <is>
          <t>関東学院高等学校</t>
        </is>
      </c>
      <c r="E21" s="6" t="inlineStr">
        <is>
          <t>045-231-1001</t>
        </is>
      </c>
      <c r="F21" s="7" t="inlineStr">
        <is>
          <t>中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中高共通。学校情報サイト1件のみで確認。関東学院六浦（金沢区）とは別の学校</t>
        </is>
      </c>
      <c r="N21" s="11" t="inlineStr">
        <is>
          <t>https://www.inter-edu.com/schools/school/151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神奈川県</t>
        </is>
      </c>
      <c r="C22" s="5" t="inlineStr">
        <is>
          <t>横浜市金沢区</t>
        </is>
      </c>
      <c r="D22" s="5" t="inlineStr">
        <is>
          <t>関東学院六浦高等学校</t>
        </is>
      </c>
      <c r="E22" s="6" t="inlineStr">
        <is>
          <t>045-781-2525</t>
        </is>
      </c>
      <c r="F22" s="7" t="inlineStr">
        <is>
          <t>中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中高共通。学校情報サイトのみで確認</t>
        </is>
      </c>
      <c r="N22" s="11" t="inlineStr">
        <is>
          <t>https://www.inter-edu.com/schools/school/2013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神奈川県</t>
        </is>
      </c>
      <c r="C23" s="5" t="inlineStr">
        <is>
          <t>箱根町</t>
        </is>
      </c>
      <c r="D23" s="5" t="inlineStr">
        <is>
          <t>函嶺白百合学園高等学校</t>
        </is>
      </c>
      <c r="E23" s="6" t="inlineStr">
        <is>
          <t>0460-87-6611</t>
        </is>
      </c>
      <c r="F23" s="13" t="inlineStr">
        <is>
          <t>高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公式の募集要項に「代表」と記載</t>
        </is>
      </c>
      <c r="N23" s="11" t="inlineStr">
        <is>
          <t>https://kanrei-shirayuri.ed.jp/mh/_src/49746279/2026_H_yoko.pdf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神奈川県</t>
        </is>
      </c>
      <c r="C24" s="5" t="inlineStr">
        <is>
          <t>鎌倉市</t>
        </is>
      </c>
      <c r="D24" s="5" t="inlineStr">
        <is>
          <t>北鎌倉女子学園高等学校</t>
        </is>
      </c>
      <c r="E24" s="6" t="inlineStr">
        <is>
          <t>0467-22-6900</t>
        </is>
      </c>
      <c r="F24" s="13" t="inlineStr">
        <is>
          <t>高</t>
        </is>
      </c>
      <c r="G24" s="5" t="inlineStr">
        <is>
          <t>普通科・専門学科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2つのサイトで一致</t>
        </is>
      </c>
      <c r="N24" s="11" t="inlineStr">
        <is>
          <t>https://www.inter-edu.com/schools/school/2069 ; https://school.js88.com/scl_h/22042530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神奈川県</t>
        </is>
      </c>
      <c r="C25" s="5" t="inlineStr">
        <is>
          <t>藤沢市</t>
        </is>
      </c>
      <c r="D25" s="5" t="inlineStr">
        <is>
          <t>鵠沼高等学校</t>
        </is>
      </c>
      <c r="E25" s="6" t="inlineStr">
        <is>
          <t>0466-22-4783</t>
        </is>
      </c>
      <c r="F25" s="7" t="inlineStr">
        <is>
          <t>中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学校情報サイト1件のみで確認</t>
        </is>
      </c>
      <c r="N25" s="11" t="inlineStr">
        <is>
          <t>https://www.inter-edu.com/schools/school/580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神奈川県</t>
        </is>
      </c>
      <c r="C26" s="5" t="inlineStr">
        <is>
          <t>横浜市戸塚区</t>
        </is>
      </c>
      <c r="D26" s="5" t="inlineStr">
        <is>
          <t>公文国際学園高等部</t>
        </is>
      </c>
      <c r="E26" s="6" t="inlineStr">
        <is>
          <t>045-853-8200</t>
        </is>
      </c>
      <c r="F26" s="7" t="inlineStr">
        <is>
          <t>中</t>
        </is>
      </c>
      <c r="G26" s="5" t="inlineStr">
        <is>
          <t>普通科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中高共通。高校募集は原則なしとの情報あり</t>
        </is>
      </c>
      <c r="N26" s="11" t="inlineStr">
        <is>
          <t>https://www.inter-edu.com/schools/school/278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神奈川県</t>
        </is>
      </c>
      <c r="C27" s="5" t="inlineStr">
        <is>
          <t>横浜市港北区</t>
        </is>
      </c>
      <c r="D27" s="5" t="inlineStr">
        <is>
          <t>慶應義塾高等学校</t>
        </is>
      </c>
      <c r="E27" s="14" t="n"/>
      <c r="F27" s="15" t="inlineStr">
        <is>
          <t>要調査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代表番号が見つからず。候補：主事室直通045-566-1375（公式資料）。045-566-1000は大学側の番号なので注意</t>
        </is>
      </c>
      <c r="N27" s="11" t="inlineStr">
        <is>
          <t>https://www.hs.keio.ac.jp/files/2025/4/22/20250422_japanese.pdf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神奈川県</t>
        </is>
      </c>
      <c r="C28" s="5" t="inlineStr">
        <is>
          <t>藤沢市</t>
        </is>
      </c>
      <c r="D28" s="5" t="inlineStr">
        <is>
          <t>慶應義塾湘南藤沢高等部</t>
        </is>
      </c>
      <c r="E28" s="6" t="inlineStr">
        <is>
          <t>0466-49-3585</t>
        </is>
      </c>
      <c r="F28" s="7" t="inlineStr">
        <is>
          <t>中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中高共通。事務室は0466-49-3586（公式資料）</t>
        </is>
      </c>
      <c r="N28" s="11" t="inlineStr">
        <is>
          <t>https://www.inter-edu.com/schools/school/28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神奈川県</t>
        </is>
      </c>
      <c r="C29" s="5" t="inlineStr">
        <is>
          <t>伊勢原市</t>
        </is>
      </c>
      <c r="D29" s="5" t="inlineStr">
        <is>
          <t>向上高等学校</t>
        </is>
      </c>
      <c r="E29" s="6" t="inlineStr">
        <is>
          <t>0463-96-0411</t>
        </is>
      </c>
      <c r="F29" s="13" t="inlineStr">
        <is>
          <t>高</t>
        </is>
      </c>
      <c r="G29" s="5" t="inlineStr">
        <is>
          <t>普通科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2つの情報源で一致</t>
        </is>
      </c>
      <c r="N29" s="11" t="inlineStr">
        <is>
          <t>https://www.inter-edu.com/schools/school/1024 ; https://map.yahoo.co.jp/v3/place/21qUFjHT1e6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神奈川県</t>
        </is>
      </c>
      <c r="C30" s="5" t="inlineStr">
        <is>
          <t>相模原市南区</t>
        </is>
      </c>
      <c r="D30" s="5" t="inlineStr">
        <is>
          <t>光明学園相模原高等学校</t>
        </is>
      </c>
      <c r="E30" s="6" t="inlineStr">
        <is>
          <t>042-778-3333</t>
        </is>
      </c>
      <c r="F30" s="7" t="inlineStr">
        <is>
          <t>中</t>
        </is>
      </c>
      <c r="G30" s="5" t="inlineStr">
        <is>
          <t>普通科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学校情報サイト1件のみで確認</t>
        </is>
      </c>
      <c r="N30" s="11" t="inlineStr">
        <is>
          <t>https://www.inter-edu.com/schools/school/1025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神奈川県</t>
        </is>
      </c>
      <c r="C31" s="5" t="inlineStr">
        <is>
          <t>相模原市南区</t>
        </is>
      </c>
      <c r="D31" s="5" t="inlineStr">
        <is>
          <t>相模女子大学高等部</t>
        </is>
      </c>
      <c r="E31" s="6" t="inlineStr">
        <is>
          <t>042-742-1442</t>
        </is>
      </c>
      <c r="F31" s="7" t="inlineStr">
        <is>
          <t>中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中学部と共通。学校情報サイトのみで確認</t>
        </is>
      </c>
      <c r="N31" s="11" t="inlineStr">
        <is>
          <t>https://www.inter-edu.com/schools/school/2067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神奈川県</t>
        </is>
      </c>
      <c r="C32" s="5" t="inlineStr">
        <is>
          <t>横浜市都筑区</t>
        </is>
      </c>
      <c r="D32" s="5" t="inlineStr">
        <is>
          <t>サレジオ学院高等学校</t>
        </is>
      </c>
      <c r="E32" s="6" t="inlineStr">
        <is>
          <t>045-591-8222</t>
        </is>
      </c>
      <c r="F32" s="7" t="inlineStr">
        <is>
          <t>中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中高共通。学校情報サイト1件のみで確認</t>
        </is>
      </c>
      <c r="N32" s="11" t="inlineStr">
        <is>
          <t>https://www.inter-edu.com/schools/school/11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神奈川県</t>
        </is>
      </c>
      <c r="C33" s="5" t="inlineStr">
        <is>
          <t>横浜市泉区</t>
        </is>
      </c>
      <c r="D33" s="5" t="inlineStr">
        <is>
          <t>秀英高等学校</t>
        </is>
      </c>
      <c r="E33" s="6" t="inlineStr">
        <is>
          <t>045-806-2100</t>
        </is>
      </c>
      <c r="F33" s="7" t="inlineStr">
        <is>
          <t>中</t>
        </is>
      </c>
      <c r="G33" s="5" t="inlineStr">
        <is>
          <t>普通科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inlineStr">
        <is>
          <t>学校情報サイト1件のみで確認</t>
        </is>
      </c>
      <c r="N33" s="11" t="inlineStr">
        <is>
          <t>https://studychain.jp/media/guide-158-2/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神奈川県</t>
        </is>
      </c>
      <c r="C34" s="5" t="inlineStr">
        <is>
          <t>横須賀市</t>
        </is>
      </c>
      <c r="D34" s="5" t="inlineStr">
        <is>
          <t>湘南学院高等学校</t>
        </is>
      </c>
      <c r="E34" s="6" t="inlineStr">
        <is>
          <t>046-833-3433</t>
        </is>
      </c>
      <c r="F34" s="13" t="inlineStr">
        <is>
          <t>高</t>
        </is>
      </c>
      <c r="G34" s="5" t="inlineStr">
        <is>
          <t>普通科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inlineStr">
        <is>
          <t>学校情報サイトと公式LINEで一致。湘南学園（藤沢市）とは別の学校</t>
        </is>
      </c>
      <c r="N34" s="11" t="inlineStr">
        <is>
          <t>https://www.inter-edu.com/schools/school/615 ; https://page.line.me/374yawot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神奈川県</t>
        </is>
      </c>
      <c r="C35" s="5" t="inlineStr">
        <is>
          <t>藤沢市</t>
        </is>
      </c>
      <c r="D35" s="5" t="inlineStr">
        <is>
          <t>湘南学園高等学校</t>
        </is>
      </c>
      <c r="E35" s="6" t="inlineStr">
        <is>
          <t>0466-23-6611</t>
        </is>
      </c>
      <c r="F35" s="7" t="inlineStr">
        <is>
          <t>中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中高共通。学校情報サイト1件のみで確認。湘南学院（横須賀市）とは別の学校</t>
        </is>
      </c>
      <c r="N35" s="11" t="inlineStr">
        <is>
          <t>https://www.inter-edu.com/schools/school/153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神奈川県</t>
        </is>
      </c>
      <c r="C36" s="5" t="inlineStr">
        <is>
          <t>藤沢市</t>
        </is>
      </c>
      <c r="D36" s="5" t="inlineStr">
        <is>
          <t>湘南工科大学附属高等学校</t>
        </is>
      </c>
      <c r="E36" s="6" t="inlineStr">
        <is>
          <t>0466-34-4114</t>
        </is>
      </c>
      <c r="F36" s="7" t="inlineStr">
        <is>
          <t>中</t>
        </is>
      </c>
      <c r="G36" s="5" t="inlineStr">
        <is>
          <t>普通科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inlineStr">
        <is>
          <t>学校情報サイト1件のみで確認。大学の番号とは別</t>
        </is>
      </c>
      <c r="N36" s="11" t="inlineStr">
        <is>
          <t>https://www.inter-edu.com/schools/school/616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神奈川県</t>
        </is>
      </c>
      <c r="C37" s="5" t="inlineStr">
        <is>
          <t>藤沢市</t>
        </is>
      </c>
      <c r="D37" s="5" t="inlineStr">
        <is>
          <t>湘南白百合学園高等学校</t>
        </is>
      </c>
      <c r="E37" s="6" t="inlineStr">
        <is>
          <t>0466-27-6211</t>
        </is>
      </c>
      <c r="F37" s="7" t="inlineStr">
        <is>
          <t>中</t>
        </is>
      </c>
      <c r="G37" s="5" t="inlineStr">
        <is>
          <t>普通科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中高共通。学校情報サイト1件のみで確認</t>
        </is>
      </c>
      <c r="N37" s="11" t="inlineStr">
        <is>
          <t>https://www.inter-edu.com/schools/school/233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神奈川県</t>
        </is>
      </c>
      <c r="C38" s="5" t="inlineStr">
        <is>
          <t>逗子市</t>
        </is>
      </c>
      <c r="D38" s="5" t="inlineStr">
        <is>
          <t>逗子開成高等学校</t>
        </is>
      </c>
      <c r="E38" s="6" t="inlineStr">
        <is>
          <t>046-871-2062</t>
        </is>
      </c>
      <c r="F38" s="13" t="inlineStr">
        <is>
          <t>高</t>
        </is>
      </c>
      <c r="G38" s="5" t="inlineStr">
        <is>
          <t>普通科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inlineStr">
        <is>
          <t>中高共通。2つの情報源で一致</t>
        </is>
      </c>
      <c r="N38" s="11" t="inlineStr">
        <is>
          <t>https://univpress.co.jp/gk_pdf/14562.pdf ; https://www.inter-edu.com/schools/school/81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神奈川県</t>
        </is>
      </c>
      <c r="C39" s="5" t="inlineStr">
        <is>
          <t>横浜市中区</t>
        </is>
      </c>
      <c r="D39" s="5" t="inlineStr">
        <is>
          <t>聖光学院高等学校（神奈川県）</t>
        </is>
      </c>
      <c r="E39" s="6" t="inlineStr">
        <is>
          <t>045-621-2051</t>
        </is>
      </c>
      <c r="F39" s="7" t="inlineStr">
        <is>
          <t>中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inlineStr">
        <is>
          <t>中高共通。学校情報サイト1件のみで確認。福島県の聖光学院とは別の学校</t>
        </is>
      </c>
      <c r="N39" s="11" t="inlineStr">
        <is>
          <t>https://www.inter-edu.com/schools/school/79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神奈川県</t>
        </is>
      </c>
      <c r="C40" s="5" t="inlineStr">
        <is>
          <t>横浜市旭区</t>
        </is>
      </c>
      <c r="D40" s="5" t="inlineStr">
        <is>
          <t>星槎高等学校</t>
        </is>
      </c>
      <c r="E40" s="6" t="inlineStr">
        <is>
          <t>045-442-8686</t>
        </is>
      </c>
      <c r="F40" s="13" t="inlineStr">
        <is>
          <t>高</t>
        </is>
      </c>
      <c r="G40" s="5" t="inlineStr">
        <is>
          <t>普通科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inlineStr">
        <is>
          <t>複数サイトで一致。045-442-8687は星槎中学校の番号</t>
        </is>
      </c>
      <c r="N40" s="11" t="inlineStr">
        <is>
          <t>https://school.js88.com/scl_h/34029509?page=5 ; https://www.inter-edu.com/schools/school/1851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神奈川県</t>
        </is>
      </c>
      <c r="C41" s="5" t="inlineStr">
        <is>
          <t>横浜市港北区</t>
        </is>
      </c>
      <c r="D41" s="5" t="inlineStr">
        <is>
          <t>清心女子高等学校（神奈川県）</t>
        </is>
      </c>
      <c r="E41" s="6" t="inlineStr">
        <is>
          <t>045-421-8864</t>
        </is>
      </c>
      <c r="F41" s="7" t="inlineStr">
        <is>
          <t>中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通信制。学校情報サイト1件のみで確認</t>
        </is>
      </c>
      <c r="N41" s="11" t="inlineStr">
        <is>
          <t>https://www.minkou.jp/hischool/school/93248/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神奈川県</t>
        </is>
      </c>
      <c r="C42" s="5" t="inlineStr">
        <is>
          <t>大和市</t>
        </is>
      </c>
      <c r="D42" s="5" t="inlineStr">
        <is>
          <t>聖セシリア女子高等学校</t>
        </is>
      </c>
      <c r="E42" s="6" t="inlineStr">
        <is>
          <t>046-275-3727</t>
        </is>
      </c>
      <c r="F42" s="13" t="inlineStr">
        <is>
          <t>高</t>
        </is>
      </c>
      <c r="G42" s="5" t="inlineStr">
        <is>
          <t>普通科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inlineStr">
        <is>
          <t>高校の番号。中学校は046-274-7405</t>
        </is>
      </c>
      <c r="N42" s="11" t="inlineStr">
        <is>
          <t>https://school.js88.com/scl_h/22042740 ; https://univpress.co.jp/gk_pdf/14567.pdf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神奈川県</t>
        </is>
      </c>
      <c r="C43" s="5" t="inlineStr">
        <is>
          <t>鎌倉市</t>
        </is>
      </c>
      <c r="D43" s="5" t="inlineStr">
        <is>
          <t>清泉女学院高等学校</t>
        </is>
      </c>
      <c r="E43" s="6" t="inlineStr">
        <is>
          <t>0467-46-3171</t>
        </is>
      </c>
      <c r="F43" s="7" t="inlineStr">
        <is>
          <t>中</t>
        </is>
      </c>
      <c r="G43" s="5" t="inlineStr">
        <is>
          <t>普通科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中高共通。学校情報サイト1件のみで確認</t>
        </is>
      </c>
      <c r="N43" s="11" t="inlineStr">
        <is>
          <t>https://www.inter-edu.com/schools/school/228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神奈川県</t>
        </is>
      </c>
      <c r="C44" s="5" t="inlineStr">
        <is>
          <t>横浜市鶴見区</t>
        </is>
      </c>
      <c r="D44" s="5" t="inlineStr">
        <is>
          <t>聖ヨゼフ学園高等学校</t>
        </is>
      </c>
      <c r="E44" s="6" t="inlineStr">
        <is>
          <t>045-581-8808</t>
        </is>
      </c>
      <c r="F44" s="13" t="inlineStr">
        <is>
          <t>高</t>
        </is>
      </c>
      <c r="G44" s="5" t="inlineStr">
        <is>
          <t>普通科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中高共通。複数の情報源で一致</t>
        </is>
      </c>
      <c r="N44" s="11" t="inlineStr">
        <is>
          <t>https://www.inter-edu.com/schools/school/230 ; https://school.js88.com/scl_h/22042250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神奈川県</t>
        </is>
      </c>
      <c r="C45" s="5" t="inlineStr">
        <is>
          <t>逗子市</t>
        </is>
      </c>
      <c r="D45" s="5" t="inlineStr">
        <is>
          <t>聖和学院高等学校</t>
        </is>
      </c>
      <c r="E45" s="6" t="inlineStr">
        <is>
          <t>046-871-2670</t>
        </is>
      </c>
      <c r="F45" s="13" t="inlineStr">
        <is>
          <t>高</t>
        </is>
      </c>
      <c r="G45" s="5" t="inlineStr">
        <is>
          <t>普通科・専門学科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中高共通</t>
        </is>
      </c>
      <c r="N45" s="11" t="inlineStr">
        <is>
          <t>https://school.js88.com/scl_h/22042680 ; https://www.inter-edu.com/schools/school/1804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神奈川県</t>
        </is>
      </c>
      <c r="C46" s="5" t="inlineStr">
        <is>
          <t>川崎市高津区</t>
        </is>
      </c>
      <c r="D46" s="5" t="inlineStr">
        <is>
          <t>洗足学園高等学校</t>
        </is>
      </c>
      <c r="E46" s="6" t="inlineStr">
        <is>
          <t>044-856-2777</t>
        </is>
      </c>
      <c r="F46" s="7" t="inlineStr">
        <is>
          <t>中</t>
        </is>
      </c>
      <c r="G46" s="5" t="inlineStr">
        <is>
          <t>普通科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中高共通。学校情報サイト1件のみで確認</t>
        </is>
      </c>
      <c r="N46" s="11" t="inlineStr">
        <is>
          <t>https://www.inter-edu.com/schools/school/87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神奈川県</t>
        </is>
      </c>
      <c r="C47" s="5" t="inlineStr">
        <is>
          <t>横浜市神奈川区</t>
        </is>
      </c>
      <c r="D47" s="5" t="inlineStr">
        <is>
          <t>捜真女学校高等学部</t>
        </is>
      </c>
      <c r="E47" s="6" t="inlineStr">
        <is>
          <t>045-491-3686</t>
        </is>
      </c>
      <c r="F47" s="13" t="inlineStr">
        <is>
          <t>高</t>
        </is>
      </c>
      <c r="G47" s="5" t="inlineStr">
        <is>
          <t>普通科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inlineStr">
        <is>
          <t>中高共通。複数の情報源で一致</t>
        </is>
      </c>
      <c r="N47" s="11" t="inlineStr">
        <is>
          <t>https://www.inter-edu.com/schools/school/2062</t>
        </is>
      </c>
      <c r="O47" s="12" t="inlineStr">
        <is>
          <t>開く</t>
        </is>
      </c>
    </row>
    <row r="48">
      <c r="A48" s="4" t="n">
        <v>44</v>
      </c>
      <c r="B48" s="5" t="inlineStr">
        <is>
          <t>神奈川県</t>
        </is>
      </c>
      <c r="C48" s="5" t="inlineStr">
        <is>
          <t>小田原市</t>
        </is>
      </c>
      <c r="D48" s="5" t="inlineStr">
        <is>
          <t>相洋高等学校</t>
        </is>
      </c>
      <c r="E48" s="14" t="n"/>
      <c r="F48" s="15" t="inlineStr">
        <is>
          <t>要調査</t>
        </is>
      </c>
      <c r="G48" s="5" t="inlineStr">
        <is>
          <t>普通科・専門学科</t>
        </is>
      </c>
      <c r="H48" s="8" t="n"/>
      <c r="I48" s="9" t="n"/>
      <c r="J48" s="9" t="inlineStr">
        <is>
          <t>未架電</t>
        </is>
      </c>
      <c r="K48" s="8" t="n"/>
      <c r="L48" s="9" t="n"/>
      <c r="M48" s="10" t="inlineStr">
        <is>
          <t>情報源で番号が食い違い。候補：0465-22-0211（有力）／0465-23-0211。中学直通は0465-23-0214</t>
        </is>
      </c>
      <c r="N48" s="11" t="inlineStr">
        <is>
          <t>https://school.js88.com/scl_h/22042650/ ; https://www.inter-edu.com/schools/school/2524</t>
        </is>
      </c>
      <c r="O48" s="12" t="inlineStr">
        <is>
          <t>開く</t>
        </is>
      </c>
    </row>
    <row r="49">
      <c r="A49" s="4" t="n">
        <v>45</v>
      </c>
      <c r="B49" s="5" t="inlineStr">
        <is>
          <t>神奈川県</t>
        </is>
      </c>
      <c r="C49" s="5" t="inlineStr">
        <is>
          <t>横浜市鶴見区</t>
        </is>
      </c>
      <c r="D49" s="5" t="inlineStr">
        <is>
          <t>橘学苑高等学校</t>
        </is>
      </c>
      <c r="E49" s="6" t="inlineStr">
        <is>
          <t>045-581-0063</t>
        </is>
      </c>
      <c r="F49" s="13" t="inlineStr">
        <is>
          <t>高</t>
        </is>
      </c>
      <c r="G49" s="5" t="inlineStr">
        <is>
          <t>普通科</t>
        </is>
      </c>
      <c r="H49" s="8" t="n"/>
      <c r="I49" s="9" t="n"/>
      <c r="J49" s="9" t="inlineStr">
        <is>
          <t>未架電</t>
        </is>
      </c>
      <c r="K49" s="8" t="n"/>
      <c r="L49" s="9" t="n"/>
      <c r="M49" s="10" t="inlineStr">
        <is>
          <t>中高共通。複数サイトで一致</t>
        </is>
      </c>
      <c r="N49" s="11" t="inlineStr">
        <is>
          <t>https://www.inter-edu.com/schools/school/1787</t>
        </is>
      </c>
      <c r="O49" s="12" t="inlineStr">
        <is>
          <t>開く</t>
        </is>
      </c>
    </row>
    <row r="50">
      <c r="A50" s="4" t="n">
        <v>46</v>
      </c>
      <c r="B50" s="5" t="inlineStr">
        <is>
          <t>神奈川県</t>
        </is>
      </c>
      <c r="C50" s="5" t="inlineStr">
        <is>
          <t>松田町</t>
        </is>
      </c>
      <c r="D50" s="5" t="inlineStr">
        <is>
          <t>立花学園高等学校</t>
        </is>
      </c>
      <c r="E50" s="6" t="inlineStr">
        <is>
          <t>0465-83-1081</t>
        </is>
      </c>
      <c r="F50" s="7" t="inlineStr">
        <is>
          <t>中</t>
        </is>
      </c>
      <c r="G50" s="5" t="inlineStr">
        <is>
          <t>普通科</t>
        </is>
      </c>
      <c r="H50" s="8" t="n"/>
      <c r="I50" s="9" t="n"/>
      <c r="J50" s="9" t="inlineStr">
        <is>
          <t>未架電</t>
        </is>
      </c>
      <c r="K50" s="8" t="n"/>
      <c r="L50" s="9" t="n"/>
      <c r="M50" s="10" t="inlineStr">
        <is>
          <t>学校情報サイト1件のみで確認</t>
        </is>
      </c>
      <c r="N50" s="11" t="inlineStr">
        <is>
          <t>https://school.js88.com/scl_h/22042750?page=9</t>
        </is>
      </c>
      <c r="O50" s="12" t="inlineStr">
        <is>
          <t>開く</t>
        </is>
      </c>
    </row>
    <row r="51">
      <c r="A51" s="4" t="n">
        <v>47</v>
      </c>
      <c r="B51" s="5" t="inlineStr">
        <is>
          <t>神奈川県</t>
        </is>
      </c>
      <c r="C51" s="5" t="inlineStr">
        <is>
          <t>横浜市都筑区</t>
        </is>
      </c>
      <c r="D51" s="5" t="inlineStr">
        <is>
          <t>中央大学附属横浜高等学校</t>
        </is>
      </c>
      <c r="E51" s="6" t="inlineStr">
        <is>
          <t>045-592-0801</t>
        </is>
      </c>
      <c r="F51" s="13" t="inlineStr">
        <is>
          <t>高</t>
        </is>
      </c>
      <c r="G51" s="5" t="inlineStr">
        <is>
          <t>普通科</t>
        </is>
      </c>
      <c r="H51" s="8" t="n"/>
      <c r="I51" s="9" t="n"/>
      <c r="J51" s="9" t="inlineStr">
        <is>
          <t>未架電</t>
        </is>
      </c>
      <c r="K51" s="8" t="n"/>
      <c r="L51" s="9" t="n"/>
      <c r="M51" s="10" t="inlineStr">
        <is>
          <t>中高共通</t>
        </is>
      </c>
      <c r="N51" s="11" t="inlineStr">
        <is>
          <t>https://www.inter-edu.com/schools/school/2092</t>
        </is>
      </c>
      <c r="O51" s="12" t="inlineStr">
        <is>
          <t>開く</t>
        </is>
      </c>
    </row>
    <row r="52">
      <c r="A52" s="4" t="n">
        <v>48</v>
      </c>
      <c r="B52" s="5" t="inlineStr">
        <is>
          <t>神奈川県</t>
        </is>
      </c>
      <c r="C52" s="5" t="inlineStr">
        <is>
          <t>横浜市鶴見区</t>
        </is>
      </c>
      <c r="D52" s="5" t="inlineStr">
        <is>
          <t>鶴見大学附属高等学校</t>
        </is>
      </c>
      <c r="E52" s="6" t="inlineStr">
        <is>
          <t>045-581-6325</t>
        </is>
      </c>
      <c r="F52" s="13" t="inlineStr">
        <is>
          <t>高</t>
        </is>
      </c>
      <c r="G52" s="5" t="inlineStr">
        <is>
          <t>普通科</t>
        </is>
      </c>
      <c r="H52" s="8" t="n"/>
      <c r="I52" s="9" t="n"/>
      <c r="J52" s="9" t="inlineStr">
        <is>
          <t>未架電</t>
        </is>
      </c>
      <c r="K52" s="8" t="n"/>
      <c r="L52" s="9" t="n"/>
      <c r="M52" s="10" t="inlineStr">
        <is>
          <t>中高共通</t>
        </is>
      </c>
      <c r="N52" s="11" t="inlineStr">
        <is>
          <t>https://www.inter-edu.com/schools/school/2014 ; https://www.minkou.jp/junior/school/8301/</t>
        </is>
      </c>
      <c r="O52" s="12" t="inlineStr">
        <is>
          <t>開く</t>
        </is>
      </c>
    </row>
    <row r="53">
      <c r="A53" s="4" t="n">
        <v>49</v>
      </c>
      <c r="B53" s="5" t="inlineStr">
        <is>
          <t>神奈川県</t>
        </is>
      </c>
      <c r="C53" s="5" t="inlineStr">
        <is>
          <t>横浜市青葉区</t>
        </is>
      </c>
      <c r="D53" s="5" t="inlineStr">
        <is>
          <t>桐蔭学園高等学校</t>
        </is>
      </c>
      <c r="E53" s="6" t="inlineStr">
        <is>
          <t>045-971-1411</t>
        </is>
      </c>
      <c r="F53" s="13" t="inlineStr">
        <is>
          <t>高</t>
        </is>
      </c>
      <c r="G53" s="5" t="inlineStr">
        <is>
          <t>普通科・専門学科</t>
        </is>
      </c>
      <c r="H53" s="8" t="n"/>
      <c r="I53" s="9" t="n"/>
      <c r="J53" s="9" t="inlineStr">
        <is>
          <t>未架電</t>
        </is>
      </c>
      <c r="K53" s="8" t="n"/>
      <c r="L53" s="9" t="n"/>
      <c r="M53" s="10" t="inlineStr">
        <is>
          <t>複数サイトで一致。入試当日の連絡先は045-971-1413</t>
        </is>
      </c>
      <c r="N53" s="11" t="inlineStr">
        <is>
          <t>https://www.inter-edu.com/schools/school/94</t>
        </is>
      </c>
      <c r="O53" s="12" t="inlineStr">
        <is>
          <t>開く</t>
        </is>
      </c>
    </row>
    <row r="54">
      <c r="A54" s="4" t="n">
        <v>50</v>
      </c>
      <c r="B54" s="5" t="inlineStr">
        <is>
          <t>神奈川県</t>
        </is>
      </c>
      <c r="C54" s="5" t="inlineStr">
        <is>
          <t>相模原市南区</t>
        </is>
      </c>
      <c r="D54" s="5" t="inlineStr">
        <is>
          <t>東海大学付属相模高等学校</t>
        </is>
      </c>
      <c r="E54" s="6" t="inlineStr">
        <is>
          <t>042-742-1251</t>
        </is>
      </c>
      <c r="F54" s="13" t="inlineStr">
        <is>
          <t>高</t>
        </is>
      </c>
      <c r="G54" s="5" t="inlineStr">
        <is>
          <t>普通科</t>
        </is>
      </c>
      <c r="H54" s="8" t="n"/>
      <c r="I54" s="9" t="n"/>
      <c r="J54" s="9" t="inlineStr">
        <is>
          <t>未架電</t>
        </is>
      </c>
      <c r="K54" s="8" t="n"/>
      <c r="L54" s="9" t="n"/>
      <c r="M54" s="10" t="inlineStr">
        <is>
          <t>中等部と共通</t>
        </is>
      </c>
      <c r="N54" s="11" t="inlineStr">
        <is>
          <t>https://www.inter-edu.com/schools/school/2015</t>
        </is>
      </c>
      <c r="O54" s="12" t="inlineStr">
        <is>
          <t>開く</t>
        </is>
      </c>
    </row>
    <row r="55">
      <c r="A55" s="4" t="n">
        <v>51</v>
      </c>
      <c r="B55" s="5" t="inlineStr">
        <is>
          <t>神奈川県</t>
        </is>
      </c>
      <c r="C55" s="5" t="inlineStr">
        <is>
          <t>川崎市麻生区</t>
        </is>
      </c>
      <c r="D55" s="5" t="inlineStr">
        <is>
          <t>桐光学園高等学校</t>
        </is>
      </c>
      <c r="E55" s="6" t="inlineStr">
        <is>
          <t>044-987-0519</t>
        </is>
      </c>
      <c r="F55" s="7" t="inlineStr">
        <is>
          <t>中</t>
        </is>
      </c>
      <c r="G55" s="5" t="inlineStr">
        <is>
          <t>普通科</t>
        </is>
      </c>
      <c r="H55" s="8" t="n"/>
      <c r="I55" s="9" t="n"/>
      <c r="J55" s="9" t="inlineStr">
        <is>
          <t>未架電</t>
        </is>
      </c>
      <c r="K55" s="8" t="n"/>
      <c r="L55" s="9" t="n"/>
      <c r="M55" s="10" t="inlineStr">
        <is>
          <t>学校情報サイト1件のみで確認</t>
        </is>
      </c>
      <c r="N55" s="11" t="inlineStr">
        <is>
          <t>https://www.inter-edu.com/schools/school/107</t>
        </is>
      </c>
      <c r="O55" s="12" t="inlineStr">
        <is>
          <t>開く</t>
        </is>
      </c>
    </row>
    <row r="56">
      <c r="A56" s="4" t="n">
        <v>52</v>
      </c>
      <c r="B56" s="5" t="inlineStr">
        <is>
          <t>神奈川県</t>
        </is>
      </c>
      <c r="C56" s="5" t="inlineStr">
        <is>
          <t>藤沢市</t>
        </is>
      </c>
      <c r="D56" s="5" t="inlineStr">
        <is>
          <t>藤嶺学園藤沢高等学校</t>
        </is>
      </c>
      <c r="E56" s="6" t="inlineStr">
        <is>
          <t>0466-23-3150</t>
        </is>
      </c>
      <c r="F56" s="13" t="inlineStr">
        <is>
          <t>高</t>
        </is>
      </c>
      <c r="G56" s="5" t="inlineStr">
        <is>
          <t>普通科</t>
        </is>
      </c>
      <c r="H56" s="8" t="n"/>
      <c r="I56" s="9" t="n"/>
      <c r="J56" s="9" t="inlineStr">
        <is>
          <t>未架電</t>
        </is>
      </c>
      <c r="K56" s="8" t="n"/>
      <c r="L56" s="9" t="n"/>
      <c r="M56" s="10" t="inlineStr">
        <is>
          <t>2つのサイトで一致</t>
        </is>
      </c>
      <c r="N56" s="11" t="inlineStr">
        <is>
          <t>https://www.inter-edu.com/schools/school/2045 ; https://school.js88.com/scl_h/22042610/</t>
        </is>
      </c>
      <c r="O56" s="12" t="inlineStr">
        <is>
          <t>開く</t>
        </is>
      </c>
    </row>
    <row r="57">
      <c r="A57" s="4" t="n">
        <v>53</v>
      </c>
      <c r="B57" s="5" t="inlineStr">
        <is>
          <t>神奈川県</t>
        </is>
      </c>
      <c r="C57" s="5" t="inlineStr">
        <is>
          <t>川崎市多摩区</t>
        </is>
      </c>
      <c r="D57" s="5" t="inlineStr">
        <is>
          <t>日本女子大学附属高等学校</t>
        </is>
      </c>
      <c r="E57" s="6" t="inlineStr">
        <is>
          <t>044-952-6705</t>
        </is>
      </c>
      <c r="F57" s="7" t="inlineStr">
        <is>
          <t>中</t>
        </is>
      </c>
      <c r="G57" s="5" t="inlineStr">
        <is>
          <t>普通科</t>
        </is>
      </c>
      <c r="H57" s="8" t="n"/>
      <c r="I57" s="9" t="n"/>
      <c r="J57" s="9" t="inlineStr">
        <is>
          <t>未架電</t>
        </is>
      </c>
      <c r="K57" s="8" t="n"/>
      <c r="L57" s="9" t="n"/>
      <c r="M57" s="10" t="inlineStr">
        <is>
          <t>学校情報サイト1件のみで確認</t>
        </is>
      </c>
      <c r="N57" s="11" t="inlineStr">
        <is>
          <t>https://www.inter-edu.com/schools/school/2059</t>
        </is>
      </c>
      <c r="O57" s="12" t="inlineStr">
        <is>
          <t>開く</t>
        </is>
      </c>
    </row>
    <row r="58">
      <c r="A58" s="4" t="n">
        <v>54</v>
      </c>
      <c r="B58" s="5" t="inlineStr">
        <is>
          <t>神奈川県</t>
        </is>
      </c>
      <c r="C58" s="5" t="inlineStr">
        <is>
          <t>横浜市港北区</t>
        </is>
      </c>
      <c r="D58" s="5" t="inlineStr">
        <is>
          <t>日本大学高等学校</t>
        </is>
      </c>
      <c r="E58" s="6" t="inlineStr">
        <is>
          <t>045-560-2600</t>
        </is>
      </c>
      <c r="F58" s="13" t="inlineStr">
        <is>
          <t>高</t>
        </is>
      </c>
      <c r="G58" s="5" t="inlineStr">
        <is>
          <t>普通科</t>
        </is>
      </c>
      <c r="H58" s="8" t="n"/>
      <c r="I58" s="9" t="n"/>
      <c r="J58" s="9" t="inlineStr">
        <is>
          <t>未架電</t>
        </is>
      </c>
      <c r="K58" s="8" t="n"/>
      <c r="L58" s="9" t="n"/>
      <c r="M58" s="10" t="inlineStr">
        <is>
          <t>公式の入試要項で確認</t>
        </is>
      </c>
      <c r="N58" s="11" t="inlineStr">
        <is>
          <t>https://www.yokohama.hs.nihon-u.ac.jp/senior/pdf/exam/2025_examination.pdf</t>
        </is>
      </c>
      <c r="O58" s="12" t="inlineStr">
        <is>
          <t>開く</t>
        </is>
      </c>
    </row>
    <row r="59">
      <c r="A59" s="4" t="n">
        <v>55</v>
      </c>
      <c r="B59" s="5" t="inlineStr">
        <is>
          <t>神奈川県</t>
        </is>
      </c>
      <c r="C59" s="5" t="inlineStr">
        <is>
          <t>藤沢市</t>
        </is>
      </c>
      <c r="D59" s="5" t="inlineStr">
        <is>
          <t>日本大学藤沢高等学校</t>
        </is>
      </c>
      <c r="E59" s="6" t="inlineStr">
        <is>
          <t>0466-81-0123</t>
        </is>
      </c>
      <c r="F59" s="13" t="inlineStr">
        <is>
          <t>高</t>
        </is>
      </c>
      <c r="G59" s="5" t="inlineStr">
        <is>
          <t>普通科</t>
        </is>
      </c>
      <c r="H59" s="8" t="n"/>
      <c r="I59" s="9" t="n"/>
      <c r="J59" s="9" t="inlineStr">
        <is>
          <t>未架電</t>
        </is>
      </c>
      <c r="K59" s="8" t="n"/>
      <c r="L59" s="9" t="n"/>
      <c r="M59" s="10" t="inlineStr">
        <is>
          <t>公式サイトで高校の番号を確認。中学校は0466-81-0125</t>
        </is>
      </c>
      <c r="N59" s="11" t="inlineStr">
        <is>
          <t>https://www.fujisawa.hs.nihon-u.ac.jp/news/21344</t>
        </is>
      </c>
      <c r="O59" s="12" t="inlineStr">
        <is>
          <t>開く</t>
        </is>
      </c>
    </row>
    <row r="60">
      <c r="A60" s="4" t="n">
        <v>56</v>
      </c>
      <c r="B60" s="5" t="inlineStr">
        <is>
          <t>神奈川県</t>
        </is>
      </c>
      <c r="C60" s="5" t="inlineStr">
        <is>
          <t>横浜市鶴見区</t>
        </is>
      </c>
      <c r="D60" s="5" t="inlineStr">
        <is>
          <t>白鵬女子高等学校</t>
        </is>
      </c>
      <c r="E60" s="6" t="inlineStr">
        <is>
          <t>045-581-6721</t>
        </is>
      </c>
      <c r="F60" s="7" t="inlineStr">
        <is>
          <t>中</t>
        </is>
      </c>
      <c r="G60" s="5" t="inlineStr">
        <is>
          <t>普通科</t>
        </is>
      </c>
      <c r="H60" s="8" t="n"/>
      <c r="I60" s="9" t="n"/>
      <c r="J60" s="9" t="inlineStr">
        <is>
          <t>未架電</t>
        </is>
      </c>
      <c r="K60" s="8" t="n"/>
      <c r="L60" s="9" t="n"/>
      <c r="M60" s="10" t="inlineStr">
        <is>
          <t>学校情報サイト1件のみで確認</t>
        </is>
      </c>
      <c r="N60" s="11" t="inlineStr">
        <is>
          <t>https://www.inter-edu.com/schools/school/1825</t>
        </is>
      </c>
      <c r="O60" s="12" t="inlineStr">
        <is>
          <t>開く</t>
        </is>
      </c>
    </row>
    <row r="61">
      <c r="A61" s="4" t="n">
        <v>57</v>
      </c>
      <c r="B61" s="5" t="inlineStr">
        <is>
          <t>神奈川県</t>
        </is>
      </c>
      <c r="C61" s="5" t="inlineStr">
        <is>
          <t>平塚市</t>
        </is>
      </c>
      <c r="D61" s="5" t="inlineStr">
        <is>
          <t>平塚学園高等学校</t>
        </is>
      </c>
      <c r="E61" s="6" t="inlineStr">
        <is>
          <t>0463-22-0137</t>
        </is>
      </c>
      <c r="F61" s="13" t="inlineStr">
        <is>
          <t>高</t>
        </is>
      </c>
      <c r="G61" s="5" t="inlineStr">
        <is>
          <t>普通科</t>
        </is>
      </c>
      <c r="H61" s="8" t="n"/>
      <c r="I61" s="9" t="n"/>
      <c r="J61" s="9" t="inlineStr">
        <is>
          <t>未架電</t>
        </is>
      </c>
      <c r="K61" s="8" t="n"/>
      <c r="L61" s="9" t="n"/>
      <c r="M61" s="10" t="inlineStr">
        <is>
          <t>2つのサイトで一致</t>
        </is>
      </c>
      <c r="N61" s="11" t="inlineStr">
        <is>
          <t>https://www.inter-edu.com/schools/school/673 ; https://school.js88.com/scl_h/22042490?page=9</t>
        </is>
      </c>
      <c r="O61" s="12" t="inlineStr">
        <is>
          <t>開く</t>
        </is>
      </c>
    </row>
    <row r="62">
      <c r="A62" s="4" t="n">
        <v>58</v>
      </c>
      <c r="B62" s="5" t="inlineStr">
        <is>
          <t>神奈川県</t>
        </is>
      </c>
      <c r="C62" s="5" t="inlineStr">
        <is>
          <t>横浜市中区</t>
        </is>
      </c>
      <c r="D62" s="5" t="inlineStr">
        <is>
          <t>フェリス女学院高等学校</t>
        </is>
      </c>
      <c r="E62" s="6" t="inlineStr">
        <is>
          <t>045-641-0242</t>
        </is>
      </c>
      <c r="F62" s="13" t="inlineStr">
        <is>
          <t>高</t>
        </is>
      </c>
      <c r="G62" s="5" t="inlineStr">
        <is>
          <t>普通科</t>
        </is>
      </c>
      <c r="H62" s="8" t="n"/>
      <c r="I62" s="9" t="n"/>
      <c r="J62" s="9" t="inlineStr">
        <is>
          <t>未架電</t>
        </is>
      </c>
      <c r="K62" s="8" t="n"/>
      <c r="L62" s="9" t="n"/>
      <c r="M62" s="10" t="inlineStr">
        <is>
          <t>中高共通。高校募集なし（完全中高一貫）の可能性</t>
        </is>
      </c>
      <c r="N62" s="11" t="inlineStr">
        <is>
          <t>https://www.inter-edu.com/schools/school/67 ; https://school.js88.com/scl_h/22042080</t>
        </is>
      </c>
      <c r="O62" s="12" t="inlineStr">
        <is>
          <t>開く</t>
        </is>
      </c>
    </row>
    <row r="63">
      <c r="A63" s="4" t="n">
        <v>59</v>
      </c>
      <c r="B63" s="5" t="inlineStr">
        <is>
          <t>神奈川県</t>
        </is>
      </c>
      <c r="C63" s="5" t="inlineStr">
        <is>
          <t>藤沢市</t>
        </is>
      </c>
      <c r="D63" s="5" t="inlineStr">
        <is>
          <t>藤沢翔陵高等学校</t>
        </is>
      </c>
      <c r="E63" s="6" t="inlineStr">
        <is>
          <t>0466-81-3456</t>
        </is>
      </c>
      <c r="F63" s="7" t="inlineStr">
        <is>
          <t>中</t>
        </is>
      </c>
      <c r="G63" s="5" t="inlineStr">
        <is>
          <t>普通科・専門学科</t>
        </is>
      </c>
      <c r="H63" s="8" t="n"/>
      <c r="I63" s="9" t="n"/>
      <c r="J63" s="9" t="inlineStr">
        <is>
          <t>未架電</t>
        </is>
      </c>
      <c r="K63" s="8" t="n"/>
      <c r="L63" s="9" t="n"/>
      <c r="M63" s="10" t="inlineStr">
        <is>
          <t>学校情報サイト1件のみで確認</t>
        </is>
      </c>
      <c r="N63" s="11" t="inlineStr">
        <is>
          <t>https://www.inter-edu.com/schools/school/997</t>
        </is>
      </c>
      <c r="O63" s="12" t="inlineStr">
        <is>
          <t>開く</t>
        </is>
      </c>
    </row>
    <row r="64">
      <c r="A64" s="4" t="n">
        <v>60</v>
      </c>
      <c r="B64" s="5" t="inlineStr">
        <is>
          <t>神奈川県</t>
        </is>
      </c>
      <c r="C64" s="5" t="inlineStr">
        <is>
          <t>横浜市港北区</t>
        </is>
      </c>
      <c r="D64" s="5" t="inlineStr">
        <is>
          <t>武相高等学校</t>
        </is>
      </c>
      <c r="E64" s="6" t="inlineStr">
        <is>
          <t>045-401-9042</t>
        </is>
      </c>
      <c r="F64" s="13" t="inlineStr">
        <is>
          <t>高</t>
        </is>
      </c>
      <c r="G64" s="5" t="inlineStr">
        <is>
          <t>普通科</t>
        </is>
      </c>
      <c r="H64" s="8" t="n"/>
      <c r="I64" s="9" t="n"/>
      <c r="J64" s="9" t="inlineStr">
        <is>
          <t>未架電</t>
        </is>
      </c>
      <c r="K64" s="8" t="n"/>
      <c r="L64" s="9" t="n"/>
      <c r="M64" s="10" t="inlineStr">
        <is>
          <t>中高共通</t>
        </is>
      </c>
      <c r="N64" s="11" t="inlineStr">
        <is>
          <t>https://www.inter-edu.com/schools/school/2047</t>
        </is>
      </c>
      <c r="O64" s="12" t="inlineStr">
        <is>
          <t>開く</t>
        </is>
      </c>
    </row>
    <row r="65">
      <c r="A65" s="4" t="n">
        <v>61</v>
      </c>
      <c r="B65" s="5" t="inlineStr">
        <is>
          <t>神奈川県</t>
        </is>
      </c>
      <c r="C65" s="5" t="inlineStr">
        <is>
          <t>横浜市鶴見区</t>
        </is>
      </c>
      <c r="D65" s="5" t="inlineStr">
        <is>
          <t>法政大学国際高等学校</t>
        </is>
      </c>
      <c r="E65" s="6" t="inlineStr">
        <is>
          <t>045-571-4482</t>
        </is>
      </c>
      <c r="F65" s="13" t="inlineStr">
        <is>
          <t>高</t>
        </is>
      </c>
      <c r="G65" s="5" t="inlineStr">
        <is>
          <t>普通科</t>
        </is>
      </c>
      <c r="H65" s="8" t="n"/>
      <c r="I65" s="9" t="n"/>
      <c r="J65" s="9" t="inlineStr">
        <is>
          <t>未架電</t>
        </is>
      </c>
      <c r="K65" s="8" t="n"/>
      <c r="L65" s="9" t="n"/>
      <c r="M65" s="10" t="inlineStr">
        <is>
          <t>公式資料と学校情報サイトで一致</t>
        </is>
      </c>
      <c r="N65" s="11" t="inlineStr">
        <is>
          <t>https://kokusai-high.ws.hosei.ac.jp/wpcu/1786078104_6ZQ.pdf ; https://www.inter-edu.com/schools/school/684</t>
        </is>
      </c>
      <c r="O65" s="12" t="inlineStr">
        <is>
          <t>開く</t>
        </is>
      </c>
    </row>
    <row r="66">
      <c r="A66" s="4" t="n">
        <v>62</v>
      </c>
      <c r="B66" s="5" t="inlineStr">
        <is>
          <t>神奈川県</t>
        </is>
      </c>
      <c r="C66" s="5" t="inlineStr">
        <is>
          <t>川崎市中原区</t>
        </is>
      </c>
      <c r="D66" s="5" t="inlineStr">
        <is>
          <t>法政大学第二高等学校</t>
        </is>
      </c>
      <c r="E66" s="6" t="inlineStr">
        <is>
          <t>044-711-4321</t>
        </is>
      </c>
      <c r="F66" s="13" t="inlineStr">
        <is>
          <t>高</t>
        </is>
      </c>
      <c r="G66" s="5" t="inlineStr">
        <is>
          <t>普通科</t>
        </is>
      </c>
      <c r="H66" s="8" t="n"/>
      <c r="I66" s="9" t="n"/>
      <c r="J66" s="9" t="inlineStr">
        <is>
          <t>未架電</t>
        </is>
      </c>
      <c r="K66" s="8" t="n"/>
      <c r="L66" s="9" t="n"/>
      <c r="M66" s="10" t="inlineStr">
        <is>
          <t>中高共通。複数サイトで一致</t>
        </is>
      </c>
      <c r="N66" s="11" t="inlineStr">
        <is>
          <t>https://www.inter-edu.com/schools/school/198</t>
        </is>
      </c>
      <c r="O66" s="12" t="inlineStr">
        <is>
          <t>開く</t>
        </is>
      </c>
    </row>
    <row r="67">
      <c r="A67" s="4" t="n">
        <v>63</v>
      </c>
      <c r="B67" s="5" t="inlineStr">
        <is>
          <t>神奈川県</t>
        </is>
      </c>
      <c r="C67" s="5" t="inlineStr">
        <is>
          <t>横須賀市</t>
        </is>
      </c>
      <c r="D67" s="5" t="inlineStr">
        <is>
          <t>三浦学苑高等学校</t>
        </is>
      </c>
      <c r="E67" s="6" t="inlineStr">
        <is>
          <t>046-852-0284</t>
        </is>
      </c>
      <c r="F67" s="7" t="inlineStr">
        <is>
          <t>中</t>
        </is>
      </c>
      <c r="G67" s="5" t="inlineStr">
        <is>
          <t>普通科・専門学科</t>
        </is>
      </c>
      <c r="H67" s="8" t="n"/>
      <c r="I67" s="9" t="n"/>
      <c r="J67" s="9" t="inlineStr">
        <is>
          <t>未架電</t>
        </is>
      </c>
      <c r="K67" s="8" t="n"/>
      <c r="L67" s="9" t="n"/>
      <c r="M67" s="10" t="inlineStr">
        <is>
          <t>学校情報サイト1件のみで確認</t>
        </is>
      </c>
      <c r="N67" s="11" t="inlineStr">
        <is>
          <t>https://www.inter-edu.com/schools/school/690</t>
        </is>
      </c>
      <c r="O67" s="12" t="inlineStr">
        <is>
          <t>開く</t>
        </is>
      </c>
    </row>
    <row r="68">
      <c r="A68" s="4" t="n">
        <v>64</v>
      </c>
      <c r="B68" s="5" t="inlineStr">
        <is>
          <t>神奈川県</t>
        </is>
      </c>
      <c r="C68" s="5" t="inlineStr">
        <is>
          <t>藤沢市</t>
        </is>
      </c>
      <c r="D68" s="5" t="inlineStr">
        <is>
          <t>聖園女学院高等学校</t>
        </is>
      </c>
      <c r="E68" s="6" t="inlineStr">
        <is>
          <t>0466-81-3333</t>
        </is>
      </c>
      <c r="F68" s="13" t="inlineStr">
        <is>
          <t>高</t>
        </is>
      </c>
      <c r="G68" s="5" t="inlineStr">
        <is>
          <t>普通科</t>
        </is>
      </c>
      <c r="H68" s="8" t="n"/>
      <c r="I68" s="9" t="n"/>
      <c r="J68" s="9" t="inlineStr">
        <is>
          <t>未架電</t>
        </is>
      </c>
      <c r="K68" s="8" t="n"/>
      <c r="L68" s="9" t="n"/>
      <c r="M68" s="10" t="inlineStr">
        <is>
          <t>中高共通</t>
        </is>
      </c>
      <c r="N68" s="11" t="inlineStr">
        <is>
          <t>https://www.inter-edu.com/schools/school/2057</t>
        </is>
      </c>
      <c r="O68" s="12" t="inlineStr">
        <is>
          <t>開く</t>
        </is>
      </c>
    </row>
    <row r="69">
      <c r="A69" s="4" t="n">
        <v>65</v>
      </c>
      <c r="B69" s="5" t="inlineStr">
        <is>
          <t>神奈川県</t>
        </is>
      </c>
      <c r="C69" s="5" t="inlineStr">
        <is>
          <t>横須賀市</t>
        </is>
      </c>
      <c r="D69" s="5" t="inlineStr">
        <is>
          <t>緑ヶ丘女子高等学校</t>
        </is>
      </c>
      <c r="E69" s="6" t="inlineStr">
        <is>
          <t>046-822-1651</t>
        </is>
      </c>
      <c r="F69" s="7" t="inlineStr">
        <is>
          <t>中</t>
        </is>
      </c>
      <c r="G69" s="5" t="inlineStr">
        <is>
          <t>普通科</t>
        </is>
      </c>
      <c r="H69" s="8" t="n"/>
      <c r="I69" s="9" t="n"/>
      <c r="J69" s="9" t="inlineStr">
        <is>
          <t>未架電</t>
        </is>
      </c>
      <c r="K69" s="8" t="n"/>
      <c r="L69" s="9" t="n"/>
      <c r="M69" s="10" t="inlineStr">
        <is>
          <t>【校名変更】2026年度から「神奈川歯科大学系属緑ヶ丘女子高校」に変更との情報あり。学校情報サイト1件のみで確認</t>
        </is>
      </c>
      <c r="N69" s="11" t="inlineStr">
        <is>
          <t>https://www.minkou.jp/hischool/school/4559/</t>
        </is>
      </c>
      <c r="O69" s="12" t="inlineStr">
        <is>
          <t>開く</t>
        </is>
      </c>
    </row>
    <row r="70">
      <c r="A70" s="4" t="n">
        <v>66</v>
      </c>
      <c r="B70" s="5" t="inlineStr">
        <is>
          <t>神奈川県</t>
        </is>
      </c>
      <c r="C70" s="5" t="inlineStr">
        <is>
          <t>横浜市緑区</t>
        </is>
      </c>
      <c r="D70" s="5" t="inlineStr">
        <is>
          <t>森村学園高等部</t>
        </is>
      </c>
      <c r="E70" s="6" t="inlineStr">
        <is>
          <t>045-984-2505</t>
        </is>
      </c>
      <c r="F70" s="7" t="inlineStr">
        <is>
          <t>中</t>
        </is>
      </c>
      <c r="G70" s="5" t="inlineStr">
        <is>
          <t>普通科</t>
        </is>
      </c>
      <c r="H70" s="8" t="n"/>
      <c r="I70" s="9" t="n"/>
      <c r="J70" s="9" t="inlineStr">
        <is>
          <t>未架電</t>
        </is>
      </c>
      <c r="K70" s="8" t="n"/>
      <c r="L70" s="9" t="n"/>
      <c r="M70" s="10" t="inlineStr">
        <is>
          <t>中高共通。学校情報サイト1件のみで確認</t>
        </is>
      </c>
      <c r="N70" s="11" t="inlineStr">
        <is>
          <t>https://www.inter-edu.com/schools/school/158</t>
        </is>
      </c>
      <c r="O70" s="12" t="inlineStr">
        <is>
          <t>開く</t>
        </is>
      </c>
    </row>
    <row r="71">
      <c r="A71" s="4" t="n">
        <v>67</v>
      </c>
      <c r="B71" s="5" t="inlineStr">
        <is>
          <t>神奈川県</t>
        </is>
      </c>
      <c r="C71" s="5" t="inlineStr">
        <is>
          <t>横浜市栄区</t>
        </is>
      </c>
      <c r="D71" s="5" t="inlineStr">
        <is>
          <t>山手学院高等学校</t>
        </is>
      </c>
      <c r="E71" s="6" t="inlineStr">
        <is>
          <t>045-891-2111</t>
        </is>
      </c>
      <c r="F71" s="13" t="inlineStr">
        <is>
          <t>高</t>
        </is>
      </c>
      <c r="G71" s="5" t="inlineStr">
        <is>
          <t>普通科</t>
        </is>
      </c>
      <c r="H71" s="8" t="n"/>
      <c r="I71" s="9" t="n"/>
      <c r="J71" s="9" t="inlineStr">
        <is>
          <t>未架電</t>
        </is>
      </c>
      <c r="K71" s="8" t="n"/>
      <c r="L71" s="9" t="n"/>
      <c r="M71" s="10" t="inlineStr">
        <is>
          <t>公式の募集要項で確認。中高共通</t>
        </is>
      </c>
      <c r="N71" s="11" t="inlineStr">
        <is>
          <t>https://www.yamate-gakuin.ac.jp/file/bosyuu.pdf</t>
        </is>
      </c>
      <c r="O71" s="12" t="inlineStr">
        <is>
          <t>開く</t>
        </is>
      </c>
    </row>
    <row r="72">
      <c r="A72" s="4" t="n">
        <v>68</v>
      </c>
      <c r="B72" s="5" t="inlineStr">
        <is>
          <t>神奈川県</t>
        </is>
      </c>
      <c r="C72" s="5" t="inlineStr">
        <is>
          <t>横須賀市</t>
        </is>
      </c>
      <c r="D72" s="5" t="inlineStr">
        <is>
          <t>横須賀学院高等学校</t>
        </is>
      </c>
      <c r="E72" s="6" t="inlineStr">
        <is>
          <t>046-822-3218</t>
        </is>
      </c>
      <c r="F72" s="7" t="inlineStr">
        <is>
          <t>中</t>
        </is>
      </c>
      <c r="G72" s="5" t="inlineStr">
        <is>
          <t>普通科</t>
        </is>
      </c>
      <c r="H72" s="8" t="n"/>
      <c r="I72" s="9" t="n"/>
      <c r="J72" s="9" t="inlineStr">
        <is>
          <t>未架電</t>
        </is>
      </c>
      <c r="K72" s="8" t="n"/>
      <c r="L72" s="9" t="n"/>
      <c r="M72" s="10" t="inlineStr">
        <is>
          <t>中高共通。学校情報サイト1件のみで確認</t>
        </is>
      </c>
      <c r="N72" s="11" t="inlineStr">
        <is>
          <t>https://www.inter-edu.com/schools/school/159</t>
        </is>
      </c>
      <c r="O72" s="12" t="inlineStr">
        <is>
          <t>開く</t>
        </is>
      </c>
    </row>
    <row r="73">
      <c r="A73" s="4" t="n">
        <v>69</v>
      </c>
      <c r="B73" s="5" t="inlineStr">
        <is>
          <t>神奈川県</t>
        </is>
      </c>
      <c r="C73" s="5" t="inlineStr">
        <is>
          <t>横浜市磯子区</t>
        </is>
      </c>
      <c r="D73" s="5" t="inlineStr">
        <is>
          <t>横浜学園高等学校</t>
        </is>
      </c>
      <c r="E73" s="6" t="inlineStr">
        <is>
          <t>045-751-6941</t>
        </is>
      </c>
      <c r="F73" s="7" t="inlineStr">
        <is>
          <t>中</t>
        </is>
      </c>
      <c r="G73" s="5" t="inlineStr">
        <is>
          <t>普通科</t>
        </is>
      </c>
      <c r="H73" s="8" t="n"/>
      <c r="I73" s="9" t="n"/>
      <c r="J73" s="9" t="inlineStr">
        <is>
          <t>未架電</t>
        </is>
      </c>
      <c r="K73" s="8" t="n"/>
      <c r="L73" s="9" t="n"/>
      <c r="M73" s="10" t="inlineStr">
        <is>
          <t>学校情報サイト1件のみで確認</t>
        </is>
      </c>
      <c r="N73" s="11" t="inlineStr">
        <is>
          <t>https://school.js88.com/scl_h/22042340?page=5</t>
        </is>
      </c>
      <c r="O73" s="12" t="inlineStr">
        <is>
          <t>開く</t>
        </is>
      </c>
    </row>
    <row r="74">
      <c r="A74" s="4" t="n">
        <v>70</v>
      </c>
      <c r="B74" s="5" t="inlineStr">
        <is>
          <t>神奈川県</t>
        </is>
      </c>
      <c r="C74" s="5" t="inlineStr">
        <is>
          <t>横浜市中区</t>
        </is>
      </c>
      <c r="D74" s="5" t="inlineStr">
        <is>
          <t>横浜共立学園高等学校</t>
        </is>
      </c>
      <c r="E74" s="6" t="inlineStr">
        <is>
          <t>045-641-3785</t>
        </is>
      </c>
      <c r="F74" s="7" t="inlineStr">
        <is>
          <t>中</t>
        </is>
      </c>
      <c r="G74" s="5" t="inlineStr">
        <is>
          <t>普通科</t>
        </is>
      </c>
      <c r="H74" s="8" t="n"/>
      <c r="I74" s="9" t="n"/>
      <c r="J74" s="9" t="inlineStr">
        <is>
          <t>未架電</t>
        </is>
      </c>
      <c r="K74" s="8" t="n"/>
      <c r="L74" s="9" t="n"/>
      <c r="M74" s="10" t="inlineStr">
        <is>
          <t>中高共通。学校情報サイト1件のみで確認</t>
        </is>
      </c>
      <c r="N74" s="11" t="inlineStr">
        <is>
          <t>https://www.inter-edu.com/schools/school/217</t>
        </is>
      </c>
      <c r="O74" s="12" t="inlineStr">
        <is>
          <t>開く</t>
        </is>
      </c>
    </row>
    <row r="75">
      <c r="A75" s="4" t="n">
        <v>71</v>
      </c>
      <c r="B75" s="5" t="inlineStr">
        <is>
          <t>神奈川県</t>
        </is>
      </c>
      <c r="C75" s="5" t="inlineStr">
        <is>
          <t>横浜市金沢区</t>
        </is>
      </c>
      <c r="D75" s="5" t="inlineStr">
        <is>
          <t>横浜高等学校</t>
        </is>
      </c>
      <c r="E75" s="6" t="inlineStr">
        <is>
          <t>045-781-3395</t>
        </is>
      </c>
      <c r="F75" s="13" t="inlineStr">
        <is>
          <t>高</t>
        </is>
      </c>
      <c r="G75" s="5" t="inlineStr">
        <is>
          <t>普通科</t>
        </is>
      </c>
      <c r="H75" s="8" t="n"/>
      <c r="I75" s="9" t="n"/>
      <c r="J75" s="9" t="inlineStr">
        <is>
          <t>未架電</t>
        </is>
      </c>
      <c r="K75" s="8" t="n"/>
      <c r="L75" s="9" t="n"/>
      <c r="M75" s="10" t="inlineStr">
        <is>
          <t>2つのサイトで一致</t>
        </is>
      </c>
      <c r="N75" s="11" t="inlineStr">
        <is>
          <t>https://www.inter-edu.com/schools/school/2048 ; https://www.minkou.jp/junior/school/8367/</t>
        </is>
      </c>
      <c r="O75" s="12" t="inlineStr">
        <is>
          <t>開く</t>
        </is>
      </c>
    </row>
    <row r="76">
      <c r="A76" s="4" t="n">
        <v>72</v>
      </c>
      <c r="B76" s="5" t="inlineStr">
        <is>
          <t>神奈川県</t>
        </is>
      </c>
      <c r="C76" s="5" t="inlineStr">
        <is>
          <t>横浜市旭区</t>
        </is>
      </c>
      <c r="D76" s="5" t="inlineStr">
        <is>
          <t>横浜商科大学高等学校</t>
        </is>
      </c>
      <c r="E76" s="6" t="inlineStr">
        <is>
          <t>045-951-2246</t>
        </is>
      </c>
      <c r="F76" s="7" t="inlineStr">
        <is>
          <t>中</t>
        </is>
      </c>
      <c r="G76" s="5" t="inlineStr">
        <is>
          <t>普通科・専門学科</t>
        </is>
      </c>
      <c r="H76" s="8" t="n"/>
      <c r="I76" s="9" t="n"/>
      <c r="J76" s="9" t="inlineStr">
        <is>
          <t>未架電</t>
        </is>
      </c>
      <c r="K76" s="8" t="n"/>
      <c r="L76" s="9" t="n"/>
      <c r="M76" s="10" t="inlineStr">
        <is>
          <t>学校情報サイト1件のみで確認。大学の番号とは別</t>
        </is>
      </c>
      <c r="N76" s="11" t="inlineStr">
        <is>
          <t>https://www.inter-edu.com/schools/school/702</t>
        </is>
      </c>
      <c r="O76" s="12" t="inlineStr">
        <is>
          <t>開く</t>
        </is>
      </c>
    </row>
    <row r="77">
      <c r="A77" s="4" t="n">
        <v>73</v>
      </c>
      <c r="B77" s="5" t="inlineStr">
        <is>
          <t>神奈川県</t>
        </is>
      </c>
      <c r="C77" s="5" t="inlineStr">
        <is>
          <t>横浜市中区</t>
        </is>
      </c>
      <c r="D77" s="5" t="inlineStr">
        <is>
          <t>横浜女学院高等学校</t>
        </is>
      </c>
      <c r="E77" s="6" t="inlineStr">
        <is>
          <t>045-641-3284</t>
        </is>
      </c>
      <c r="F77" s="13" t="inlineStr">
        <is>
          <t>高</t>
        </is>
      </c>
      <c r="G77" s="5" t="inlineStr">
        <is>
          <t>普通科</t>
        </is>
      </c>
      <c r="H77" s="8" t="n"/>
      <c r="I77" s="9" t="n"/>
      <c r="J77" s="9" t="inlineStr">
        <is>
          <t>未架電</t>
        </is>
      </c>
      <c r="K77" s="8" t="n"/>
      <c r="L77" s="9" t="n"/>
      <c r="M77" s="10" t="inlineStr">
        <is>
          <t>公式の受験案内で確認。事務室直通は045-681-7767</t>
        </is>
      </c>
      <c r="N77" s="11" t="inlineStr">
        <is>
          <t>https://yjg.y-gakuin.ed.jp/yjg-info/wp-content/uploads/2025/01/横浜女学院_25受験案内.pdf</t>
        </is>
      </c>
      <c r="O77" s="12" t="inlineStr">
        <is>
          <t>開く</t>
        </is>
      </c>
    </row>
    <row r="78">
      <c r="A78" s="4" t="n">
        <v>74</v>
      </c>
      <c r="B78" s="5" t="inlineStr">
        <is>
          <t>神奈川県</t>
        </is>
      </c>
      <c r="C78" s="5" t="inlineStr">
        <is>
          <t>横浜市緑区</t>
        </is>
      </c>
      <c r="D78" s="5" t="inlineStr">
        <is>
          <t>横浜翠陵高等学校</t>
        </is>
      </c>
      <c r="E78" s="6" t="inlineStr">
        <is>
          <t>045-921-0301</t>
        </is>
      </c>
      <c r="F78" s="7" t="inlineStr">
        <is>
          <t>中</t>
        </is>
      </c>
      <c r="G78" s="5" t="inlineStr">
        <is>
          <t>普通科</t>
        </is>
      </c>
      <c r="H78" s="8" t="n"/>
      <c r="I78" s="9" t="n"/>
      <c r="J78" s="9" t="inlineStr">
        <is>
          <t>未架電</t>
        </is>
      </c>
      <c r="K78" s="8" t="n"/>
      <c r="L78" s="9" t="n"/>
      <c r="M78" s="10" t="inlineStr">
        <is>
          <t>中高共通。学校情報サイトのみで確認</t>
        </is>
      </c>
      <c r="N78" s="11" t="inlineStr">
        <is>
          <t>https://www.inter-edu.com/schools/school/2055</t>
        </is>
      </c>
      <c r="O78" s="12" t="inlineStr">
        <is>
          <t>開く</t>
        </is>
      </c>
    </row>
    <row r="79">
      <c r="A79" s="4" t="n">
        <v>75</v>
      </c>
      <c r="B79" s="5" t="inlineStr">
        <is>
          <t>神奈川県</t>
        </is>
      </c>
      <c r="C79" s="5" t="inlineStr">
        <is>
          <t>横浜市保土ケ谷区</t>
        </is>
      </c>
      <c r="D79" s="5" t="inlineStr">
        <is>
          <t>横浜清風高等学校</t>
        </is>
      </c>
      <c r="E79" s="6" t="inlineStr">
        <is>
          <t>045-731-4361</t>
        </is>
      </c>
      <c r="F79" s="13" t="inlineStr">
        <is>
          <t>高</t>
        </is>
      </c>
      <c r="G79" s="5" t="inlineStr">
        <is>
          <t>普通科</t>
        </is>
      </c>
      <c r="H79" s="8" t="n"/>
      <c r="I79" s="9" t="n"/>
      <c r="J79" s="9" t="inlineStr">
        <is>
          <t>未架電</t>
        </is>
      </c>
      <c r="K79" s="8" t="n"/>
      <c r="L79" s="9" t="n"/>
      <c r="M79" s="10" t="inlineStr">
        <is>
          <t>2つの情報源で一致</t>
        </is>
      </c>
      <c r="N79" s="11" t="inlineStr">
        <is>
          <t>https://school.js88.com/scl_h/22042170/ ; https://map.yahoo.co.jp/v3/place/bG8VLDV7swI</t>
        </is>
      </c>
      <c r="O79" s="12" t="inlineStr">
        <is>
          <t>開く</t>
        </is>
      </c>
    </row>
    <row r="80">
      <c r="A80" s="4" t="n">
        <v>76</v>
      </c>
      <c r="B80" s="5" t="inlineStr">
        <is>
          <t>神奈川県</t>
        </is>
      </c>
      <c r="C80" s="5" t="inlineStr">
        <is>
          <t>横浜市神奈川区</t>
        </is>
      </c>
      <c r="D80" s="5" t="inlineStr">
        <is>
          <t>横浜創英高等学校</t>
        </is>
      </c>
      <c r="E80" s="6" t="inlineStr">
        <is>
          <t>045-421-3121</t>
        </is>
      </c>
      <c r="F80" s="13" t="inlineStr">
        <is>
          <t>高</t>
        </is>
      </c>
      <c r="G80" s="5" t="inlineStr">
        <is>
          <t>普通科</t>
        </is>
      </c>
      <c r="H80" s="8" t="n"/>
      <c r="I80" s="9" t="n"/>
      <c r="J80" s="9" t="inlineStr">
        <is>
          <t>未架電</t>
        </is>
      </c>
      <c r="K80" s="8" t="n"/>
      <c r="L80" s="9" t="n"/>
      <c r="M80" s="10" t="inlineStr">
        <is>
          <t>中高共通。複数サイトで一致。横浜創学館（金沢区）とは別の学校</t>
        </is>
      </c>
      <c r="N80" s="11" t="inlineStr">
        <is>
          <t>https://www.inter-edu.com/schools/school/2108</t>
        </is>
      </c>
      <c r="O80" s="12" t="inlineStr">
        <is>
          <t>開く</t>
        </is>
      </c>
    </row>
    <row r="81">
      <c r="A81" s="4" t="n">
        <v>77</v>
      </c>
      <c r="B81" s="5" t="inlineStr">
        <is>
          <t>神奈川県</t>
        </is>
      </c>
      <c r="C81" s="5" t="inlineStr">
        <is>
          <t>横浜市金沢区</t>
        </is>
      </c>
      <c r="D81" s="5" t="inlineStr">
        <is>
          <t>横浜創学館高等学校</t>
        </is>
      </c>
      <c r="E81" s="6" t="inlineStr">
        <is>
          <t>045-781-0631</t>
        </is>
      </c>
      <c r="F81" s="7" t="inlineStr">
        <is>
          <t>中</t>
        </is>
      </c>
      <c r="G81" s="5" t="inlineStr">
        <is>
          <t>普通科</t>
        </is>
      </c>
      <c r="H81" s="8" t="n"/>
      <c r="I81" s="9" t="n"/>
      <c r="J81" s="9" t="inlineStr">
        <is>
          <t>未架電</t>
        </is>
      </c>
      <c r="K81" s="8" t="n"/>
      <c r="L81" s="9" t="n"/>
      <c r="M81" s="10" t="inlineStr">
        <is>
          <t>学校情報サイト1件のみで確認。横浜創英（神奈川区）とは別の学校</t>
        </is>
      </c>
      <c r="N81" s="11" t="inlineStr">
        <is>
          <t>https://www.inter-edu.com/schools/school/1026</t>
        </is>
      </c>
      <c r="O81" s="12" t="inlineStr">
        <is>
          <t>開く</t>
        </is>
      </c>
    </row>
    <row r="82">
      <c r="A82" s="4" t="n">
        <v>78</v>
      </c>
      <c r="B82" s="5" t="inlineStr">
        <is>
          <t>神奈川県</t>
        </is>
      </c>
      <c r="C82" s="5" t="inlineStr">
        <is>
          <t>横浜市瀬谷区</t>
        </is>
      </c>
      <c r="D82" s="5" t="inlineStr">
        <is>
          <t>横浜隼人高等学校</t>
        </is>
      </c>
      <c r="E82" s="6" t="inlineStr">
        <is>
          <t>045-364-5101</t>
        </is>
      </c>
      <c r="F82" s="7" t="inlineStr">
        <is>
          <t>中</t>
        </is>
      </c>
      <c r="G82" s="5" t="inlineStr">
        <is>
          <t>普通科・専門学科</t>
        </is>
      </c>
      <c r="H82" s="8" t="n"/>
      <c r="I82" s="9" t="n"/>
      <c r="J82" s="9" t="inlineStr">
        <is>
          <t>未架電</t>
        </is>
      </c>
      <c r="K82" s="8" t="n"/>
      <c r="L82" s="9" t="n"/>
      <c r="M82" s="10" t="inlineStr">
        <is>
          <t>中高共通。学校情報サイト1件のみで確認</t>
        </is>
      </c>
      <c r="N82" s="11" t="inlineStr">
        <is>
          <t>https://www.inter-edu.com/schools/school/160</t>
        </is>
      </c>
      <c r="O82" s="12" t="inlineStr">
        <is>
          <t>開く</t>
        </is>
      </c>
    </row>
    <row r="83">
      <c r="A83" s="4" t="n">
        <v>79</v>
      </c>
      <c r="B83" s="5" t="inlineStr">
        <is>
          <t>神奈川県</t>
        </is>
      </c>
      <c r="C83" s="5" t="inlineStr">
        <is>
          <t>横浜市旭区</t>
        </is>
      </c>
      <c r="D83" s="5" t="inlineStr">
        <is>
          <t>横浜富士見丘学園高等学校</t>
        </is>
      </c>
      <c r="E83" s="6" t="inlineStr">
        <is>
          <t>045-367-4380</t>
        </is>
      </c>
      <c r="F83" s="7" t="inlineStr">
        <is>
          <t>中</t>
        </is>
      </c>
      <c r="G83" s="5" t="inlineStr">
        <is>
          <t>普通科</t>
        </is>
      </c>
      <c r="H83" s="8" t="n"/>
      <c r="I83" s="9" t="n"/>
      <c r="J83" s="9" t="inlineStr">
        <is>
          <t>未架電</t>
        </is>
      </c>
      <c r="K83" s="8" t="n"/>
      <c r="L83" s="9" t="n"/>
      <c r="M83" s="10" t="inlineStr">
        <is>
          <t>中高共通。学校情報サイトのみで確認</t>
        </is>
      </c>
      <c r="N83" s="11" t="inlineStr">
        <is>
          <t>https://www.inter-edu.com/schools/school/2054</t>
        </is>
      </c>
      <c r="O83" s="12" t="inlineStr">
        <is>
          <t>開く</t>
        </is>
      </c>
    </row>
    <row r="84">
      <c r="A84" s="4" t="n">
        <v>80</v>
      </c>
      <c r="B84" s="5" t="inlineStr">
        <is>
          <t>神奈川県</t>
        </is>
      </c>
      <c r="C84" s="5" t="inlineStr">
        <is>
          <t>横浜市中区</t>
        </is>
      </c>
      <c r="D84" s="5" t="inlineStr">
        <is>
          <t>横浜雙葉高等学校</t>
        </is>
      </c>
      <c r="E84" s="6" t="inlineStr">
        <is>
          <t>045-641-1004</t>
        </is>
      </c>
      <c r="F84" s="7" t="inlineStr">
        <is>
          <t>中</t>
        </is>
      </c>
      <c r="G84" s="5" t="inlineStr">
        <is>
          <t>普通科</t>
        </is>
      </c>
      <c r="H84" s="8" t="n"/>
      <c r="I84" s="9" t="n"/>
      <c r="J84" s="9" t="inlineStr">
        <is>
          <t>未架電</t>
        </is>
      </c>
      <c r="K84" s="8" t="n"/>
      <c r="L84" s="9" t="n"/>
      <c r="M84" s="10" t="inlineStr">
        <is>
          <t>中高共通。学校情報サイト1件のみで確認</t>
        </is>
      </c>
      <c r="N84" s="11" t="inlineStr">
        <is>
          <t>https://www.inter-edu.com/schools/school/212</t>
        </is>
      </c>
      <c r="O84" s="12" t="inlineStr">
        <is>
          <t>開く</t>
        </is>
      </c>
    </row>
  </sheetData>
  <autoFilter ref="A4:O84"/>
  <conditionalFormatting sqref="A5:O84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84" showDropDown="0" showInputMessage="0" showErrorMessage="0" allowBlank="1" type="list">
      <formula1>"未架電,不在・折返し待ち,担当者不在,資料送付,アポ獲得,検討中,NG,番号不明"</formula1>
    </dataValidation>
    <dataValidation sqref="H5:H84 K5:K84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  <hyperlink xmlns:r="http://schemas.openxmlformats.org/officeDocument/2006/relationships" ref="O71" r:id="rId67"/>
    <hyperlink xmlns:r="http://schemas.openxmlformats.org/officeDocument/2006/relationships" ref="O72" r:id="rId68"/>
    <hyperlink xmlns:r="http://schemas.openxmlformats.org/officeDocument/2006/relationships" ref="O73" r:id="rId69"/>
    <hyperlink xmlns:r="http://schemas.openxmlformats.org/officeDocument/2006/relationships" ref="O74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1" r:id="rId77"/>
    <hyperlink xmlns:r="http://schemas.openxmlformats.org/officeDocument/2006/relationships" ref="O82" r:id="rId78"/>
    <hyperlink xmlns:r="http://schemas.openxmlformats.org/officeDocument/2006/relationships" ref="O83" r:id="rId79"/>
    <hyperlink xmlns:r="http://schemas.openxmlformats.org/officeDocument/2006/relationships" ref="O84" r:id="rId8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6" t="inlineStr">
        <is>
          <t>藤沢市</t>
        </is>
      </c>
      <c r="B4" s="16">
        <f>COUNTIF('架電リスト'!$C$5:$C$84,A4)</f>
        <v/>
      </c>
      <c r="C4" s="16">
        <f>COUNTIFS('架電リスト'!$C$5:$C$84,A4,'架電リスト'!$E$5:$E$84,"&lt;&gt;")</f>
        <v/>
      </c>
      <c r="D4" s="16">
        <f>B4-COUNTIFS('架電リスト'!$C$5:$C$84,A4,'架電リスト'!$J$5:$J$84,"未架電")-COUNTIFS('架電リスト'!$C$5:$C$84,A4,'架電リスト'!$J$5:$J$84,"")</f>
        <v/>
      </c>
      <c r="E4" s="16">
        <f>COUNTIFS('架電リスト'!$C$5:$C$84,$A4,'架電リスト'!$J$5:$J$84,"不在・折返し待ち")</f>
        <v/>
      </c>
      <c r="F4" s="16">
        <f>COUNTIFS('架電リスト'!$C$5:$C$84,$A4,'架電リスト'!$J$5:$J$84,"担当者不在")</f>
        <v/>
      </c>
      <c r="G4" s="16">
        <f>COUNTIFS('架電リスト'!$C$5:$C$84,$A4,'架電リスト'!$J$5:$J$84,"資料送付")</f>
        <v/>
      </c>
      <c r="H4" s="16">
        <f>COUNTIFS('架電リスト'!$C$5:$C$84,$A4,'架電リスト'!$J$5:$J$84,"アポ獲得")</f>
        <v/>
      </c>
      <c r="I4" s="16">
        <f>COUNTIFS('架電リスト'!$C$5:$C$84,$A4,'架電リスト'!$J$5:$J$84,"検討中")</f>
        <v/>
      </c>
      <c r="J4" s="16">
        <f>COUNTIFS('架電リスト'!$C$5:$C$84,$A4,'架電リスト'!$J$5:$J$84,"NG")</f>
        <v/>
      </c>
      <c r="K4" s="16">
        <f>COUNTIFS('架電リスト'!$C$5:$C$84,$A4,'架電リスト'!$J$5:$J$84,"番号不明")</f>
        <v/>
      </c>
    </row>
    <row r="5">
      <c r="A5" s="16" t="inlineStr">
        <is>
          <t>鎌倉市</t>
        </is>
      </c>
      <c r="B5" s="16">
        <f>COUNTIF('架電リスト'!$C$5:$C$84,A5)</f>
        <v/>
      </c>
      <c r="C5" s="16">
        <f>COUNTIFS('架電リスト'!$C$5:$C$84,A5,'架電リスト'!$E$5:$E$84,"&lt;&gt;")</f>
        <v/>
      </c>
      <c r="D5" s="16">
        <f>B5-COUNTIFS('架電リスト'!$C$5:$C$84,A5,'架電リスト'!$J$5:$J$84,"未架電")-COUNTIFS('架電リスト'!$C$5:$C$84,A5,'架電リスト'!$J$5:$J$84,"")</f>
        <v/>
      </c>
      <c r="E5" s="16">
        <f>COUNTIFS('架電リスト'!$C$5:$C$84,$A5,'架電リスト'!$J$5:$J$84,"不在・折返し待ち")</f>
        <v/>
      </c>
      <c r="F5" s="16">
        <f>COUNTIFS('架電リスト'!$C$5:$C$84,$A5,'架電リスト'!$J$5:$J$84,"担当者不在")</f>
        <v/>
      </c>
      <c r="G5" s="16">
        <f>COUNTIFS('架電リスト'!$C$5:$C$84,$A5,'架電リスト'!$J$5:$J$84,"資料送付")</f>
        <v/>
      </c>
      <c r="H5" s="16">
        <f>COUNTIFS('架電リスト'!$C$5:$C$84,$A5,'架電リスト'!$J$5:$J$84,"アポ獲得")</f>
        <v/>
      </c>
      <c r="I5" s="16">
        <f>COUNTIFS('架電リスト'!$C$5:$C$84,$A5,'架電リスト'!$J$5:$J$84,"検討中")</f>
        <v/>
      </c>
      <c r="J5" s="16">
        <f>COUNTIFS('架電リスト'!$C$5:$C$84,$A5,'架電リスト'!$J$5:$J$84,"NG")</f>
        <v/>
      </c>
      <c r="K5" s="16">
        <f>COUNTIFS('架電リスト'!$C$5:$C$84,$A5,'架電リスト'!$J$5:$J$84,"番号不明")</f>
        <v/>
      </c>
    </row>
    <row r="6">
      <c r="A6" s="16" t="inlineStr">
        <is>
          <t>横浜市港北区</t>
        </is>
      </c>
      <c r="B6" s="16">
        <f>COUNTIF('架電リスト'!$C$5:$C$84,A6)</f>
        <v/>
      </c>
      <c r="C6" s="16">
        <f>COUNTIFS('架電リスト'!$C$5:$C$84,A6,'架電リスト'!$E$5:$E$84,"&lt;&gt;")</f>
        <v/>
      </c>
      <c r="D6" s="16">
        <f>B6-COUNTIFS('架電リスト'!$C$5:$C$84,A6,'架電リスト'!$J$5:$J$84,"未架電")-COUNTIFS('架電リスト'!$C$5:$C$84,A6,'架電リスト'!$J$5:$J$84,"")</f>
        <v/>
      </c>
      <c r="E6" s="16">
        <f>COUNTIFS('架電リスト'!$C$5:$C$84,$A6,'架電リスト'!$J$5:$J$84,"不在・折返し待ち")</f>
        <v/>
      </c>
      <c r="F6" s="16">
        <f>COUNTIFS('架電リスト'!$C$5:$C$84,$A6,'架電リスト'!$J$5:$J$84,"担当者不在")</f>
        <v/>
      </c>
      <c r="G6" s="16">
        <f>COUNTIFS('架電リスト'!$C$5:$C$84,$A6,'架電リスト'!$J$5:$J$84,"資料送付")</f>
        <v/>
      </c>
      <c r="H6" s="16">
        <f>COUNTIFS('架電リスト'!$C$5:$C$84,$A6,'架電リスト'!$J$5:$J$84,"アポ獲得")</f>
        <v/>
      </c>
      <c r="I6" s="16">
        <f>COUNTIFS('架電リスト'!$C$5:$C$84,$A6,'架電リスト'!$J$5:$J$84,"検討中")</f>
        <v/>
      </c>
      <c r="J6" s="16">
        <f>COUNTIFS('架電リスト'!$C$5:$C$84,$A6,'架電リスト'!$J$5:$J$84,"NG")</f>
        <v/>
      </c>
      <c r="K6" s="16">
        <f>COUNTIFS('架電リスト'!$C$5:$C$84,$A6,'架電リスト'!$J$5:$J$84,"番号不明")</f>
        <v/>
      </c>
    </row>
    <row r="7">
      <c r="A7" s="16" t="inlineStr">
        <is>
          <t>横浜市中区</t>
        </is>
      </c>
      <c r="B7" s="16">
        <f>COUNTIF('架電リスト'!$C$5:$C$84,A7)</f>
        <v/>
      </c>
      <c r="C7" s="16">
        <f>COUNTIFS('架電リスト'!$C$5:$C$84,A7,'架電リスト'!$E$5:$E$84,"&lt;&gt;")</f>
        <v/>
      </c>
      <c r="D7" s="16">
        <f>B7-COUNTIFS('架電リスト'!$C$5:$C$84,A7,'架電リスト'!$J$5:$J$84,"未架電")-COUNTIFS('架電リスト'!$C$5:$C$84,A7,'架電リスト'!$J$5:$J$84,"")</f>
        <v/>
      </c>
      <c r="E7" s="16">
        <f>COUNTIFS('架電リスト'!$C$5:$C$84,$A7,'架電リスト'!$J$5:$J$84,"不在・折返し待ち")</f>
        <v/>
      </c>
      <c r="F7" s="16">
        <f>COUNTIFS('架電リスト'!$C$5:$C$84,$A7,'架電リスト'!$J$5:$J$84,"担当者不在")</f>
        <v/>
      </c>
      <c r="G7" s="16">
        <f>COUNTIFS('架電リスト'!$C$5:$C$84,$A7,'架電リスト'!$J$5:$J$84,"資料送付")</f>
        <v/>
      </c>
      <c r="H7" s="16">
        <f>COUNTIFS('架電リスト'!$C$5:$C$84,$A7,'架電リスト'!$J$5:$J$84,"アポ獲得")</f>
        <v/>
      </c>
      <c r="I7" s="16">
        <f>COUNTIFS('架電リスト'!$C$5:$C$84,$A7,'架電リスト'!$J$5:$J$84,"検討中")</f>
        <v/>
      </c>
      <c r="J7" s="16">
        <f>COUNTIFS('架電リスト'!$C$5:$C$84,$A7,'架電リスト'!$J$5:$J$84,"NG")</f>
        <v/>
      </c>
      <c r="K7" s="16">
        <f>COUNTIFS('架電リスト'!$C$5:$C$84,$A7,'架電リスト'!$J$5:$J$84,"番号不明")</f>
        <v/>
      </c>
    </row>
    <row r="8">
      <c r="A8" s="16" t="inlineStr">
        <is>
          <t>横浜市鶴見区</t>
        </is>
      </c>
      <c r="B8" s="16">
        <f>COUNTIF('架電リスト'!$C$5:$C$84,A8)</f>
        <v/>
      </c>
      <c r="C8" s="16">
        <f>COUNTIFS('架電リスト'!$C$5:$C$84,A8,'架電リスト'!$E$5:$E$84,"&lt;&gt;")</f>
        <v/>
      </c>
      <c r="D8" s="16">
        <f>B8-COUNTIFS('架電リスト'!$C$5:$C$84,A8,'架電リスト'!$J$5:$J$84,"未架電")-COUNTIFS('架電リスト'!$C$5:$C$84,A8,'架電リスト'!$J$5:$J$84,"")</f>
        <v/>
      </c>
      <c r="E8" s="16">
        <f>COUNTIFS('架電リスト'!$C$5:$C$84,$A8,'架電リスト'!$J$5:$J$84,"不在・折返し待ち")</f>
        <v/>
      </c>
      <c r="F8" s="16">
        <f>COUNTIFS('架電リスト'!$C$5:$C$84,$A8,'架電リスト'!$J$5:$J$84,"担当者不在")</f>
        <v/>
      </c>
      <c r="G8" s="16">
        <f>COUNTIFS('架電リスト'!$C$5:$C$84,$A8,'架電リスト'!$J$5:$J$84,"資料送付")</f>
        <v/>
      </c>
      <c r="H8" s="16">
        <f>COUNTIFS('架電リスト'!$C$5:$C$84,$A8,'架電リスト'!$J$5:$J$84,"アポ獲得")</f>
        <v/>
      </c>
      <c r="I8" s="16">
        <f>COUNTIFS('架電リスト'!$C$5:$C$84,$A8,'架電リスト'!$J$5:$J$84,"検討中")</f>
        <v/>
      </c>
      <c r="J8" s="16">
        <f>COUNTIFS('架電リスト'!$C$5:$C$84,$A8,'架電リスト'!$J$5:$J$84,"NG")</f>
        <v/>
      </c>
      <c r="K8" s="16">
        <f>COUNTIFS('架電リスト'!$C$5:$C$84,$A8,'架電リスト'!$J$5:$J$84,"番号不明")</f>
        <v/>
      </c>
    </row>
    <row r="9">
      <c r="A9" s="16" t="inlineStr">
        <is>
          <t>横浜市神奈川区</t>
        </is>
      </c>
      <c r="B9" s="16">
        <f>COUNTIF('架電リスト'!$C$5:$C$84,A9)</f>
        <v/>
      </c>
      <c r="C9" s="16">
        <f>COUNTIFS('架電リスト'!$C$5:$C$84,A9,'架電リスト'!$E$5:$E$84,"&lt;&gt;")</f>
        <v/>
      </c>
      <c r="D9" s="16">
        <f>B9-COUNTIFS('架電リスト'!$C$5:$C$84,A9,'架電リスト'!$J$5:$J$84,"未架電")-COUNTIFS('架電リスト'!$C$5:$C$84,A9,'架電リスト'!$J$5:$J$84,"")</f>
        <v/>
      </c>
      <c r="E9" s="16">
        <f>COUNTIFS('架電リスト'!$C$5:$C$84,$A9,'架電リスト'!$J$5:$J$84,"不在・折返し待ち")</f>
        <v/>
      </c>
      <c r="F9" s="16">
        <f>COUNTIFS('架電リスト'!$C$5:$C$84,$A9,'架電リスト'!$J$5:$J$84,"担当者不在")</f>
        <v/>
      </c>
      <c r="G9" s="16">
        <f>COUNTIFS('架電リスト'!$C$5:$C$84,$A9,'架電リスト'!$J$5:$J$84,"資料送付")</f>
        <v/>
      </c>
      <c r="H9" s="16">
        <f>COUNTIFS('架電リスト'!$C$5:$C$84,$A9,'架電リスト'!$J$5:$J$84,"アポ獲得")</f>
        <v/>
      </c>
      <c r="I9" s="16">
        <f>COUNTIFS('架電リスト'!$C$5:$C$84,$A9,'架電リスト'!$J$5:$J$84,"検討中")</f>
        <v/>
      </c>
      <c r="J9" s="16">
        <f>COUNTIFS('架電リスト'!$C$5:$C$84,$A9,'架電リスト'!$J$5:$J$84,"NG")</f>
        <v/>
      </c>
      <c r="K9" s="16">
        <f>COUNTIFS('架電リスト'!$C$5:$C$84,$A9,'架電リスト'!$J$5:$J$84,"番号不明")</f>
        <v/>
      </c>
    </row>
    <row r="10">
      <c r="A10" s="16" t="inlineStr">
        <is>
          <t>横須賀市</t>
        </is>
      </c>
      <c r="B10" s="16">
        <f>COUNTIF('架電リスト'!$C$5:$C$84,A10)</f>
        <v/>
      </c>
      <c r="C10" s="16">
        <f>COUNTIFS('架電リスト'!$C$5:$C$84,A10,'架電リスト'!$E$5:$E$84,"&lt;&gt;")</f>
        <v/>
      </c>
      <c r="D10" s="16">
        <f>B10-COUNTIFS('架電リスト'!$C$5:$C$84,A10,'架電リスト'!$J$5:$J$84,"未架電")-COUNTIFS('架電リスト'!$C$5:$C$84,A10,'架電リスト'!$J$5:$J$84,"")</f>
        <v/>
      </c>
      <c r="E10" s="16">
        <f>COUNTIFS('架電リスト'!$C$5:$C$84,$A10,'架電リスト'!$J$5:$J$84,"不在・折返し待ち")</f>
        <v/>
      </c>
      <c r="F10" s="16">
        <f>COUNTIFS('架電リスト'!$C$5:$C$84,$A10,'架電リスト'!$J$5:$J$84,"担当者不在")</f>
        <v/>
      </c>
      <c r="G10" s="16">
        <f>COUNTIFS('架電リスト'!$C$5:$C$84,$A10,'架電リスト'!$J$5:$J$84,"資料送付")</f>
        <v/>
      </c>
      <c r="H10" s="16">
        <f>COUNTIFS('架電リスト'!$C$5:$C$84,$A10,'架電リスト'!$J$5:$J$84,"アポ獲得")</f>
        <v/>
      </c>
      <c r="I10" s="16">
        <f>COUNTIFS('架電リスト'!$C$5:$C$84,$A10,'架電リスト'!$J$5:$J$84,"検討中")</f>
        <v/>
      </c>
      <c r="J10" s="16">
        <f>COUNTIFS('架電リスト'!$C$5:$C$84,$A10,'架電リスト'!$J$5:$J$84,"NG")</f>
        <v/>
      </c>
      <c r="K10" s="16">
        <f>COUNTIFS('架電リスト'!$C$5:$C$84,$A10,'架電リスト'!$J$5:$J$84,"番号不明")</f>
        <v/>
      </c>
    </row>
    <row r="11">
      <c r="A11" s="16" t="inlineStr">
        <is>
          <t>横浜市緑区</t>
        </is>
      </c>
      <c r="B11" s="16">
        <f>COUNTIF('架電リスト'!$C$5:$C$84,A11)</f>
        <v/>
      </c>
      <c r="C11" s="16">
        <f>COUNTIFS('架電リスト'!$C$5:$C$84,A11,'架電リスト'!$E$5:$E$84,"&lt;&gt;")</f>
        <v/>
      </c>
      <c r="D11" s="16">
        <f>B11-COUNTIFS('架電リスト'!$C$5:$C$84,A11,'架電リスト'!$J$5:$J$84,"未架電")-COUNTIFS('架電リスト'!$C$5:$C$84,A11,'架電リスト'!$J$5:$J$84,"")</f>
        <v/>
      </c>
      <c r="E11" s="16">
        <f>COUNTIFS('架電リスト'!$C$5:$C$84,$A11,'架電リスト'!$J$5:$J$84,"不在・折返し待ち")</f>
        <v/>
      </c>
      <c r="F11" s="16">
        <f>COUNTIFS('架電リスト'!$C$5:$C$84,$A11,'架電リスト'!$J$5:$J$84,"担当者不在")</f>
        <v/>
      </c>
      <c r="G11" s="16">
        <f>COUNTIFS('架電リスト'!$C$5:$C$84,$A11,'架電リスト'!$J$5:$J$84,"資料送付")</f>
        <v/>
      </c>
      <c r="H11" s="16">
        <f>COUNTIFS('架電リスト'!$C$5:$C$84,$A11,'架電リスト'!$J$5:$J$84,"アポ獲得")</f>
        <v/>
      </c>
      <c r="I11" s="16">
        <f>COUNTIFS('架電リスト'!$C$5:$C$84,$A11,'架電リスト'!$J$5:$J$84,"検討中")</f>
        <v/>
      </c>
      <c r="J11" s="16">
        <f>COUNTIFS('架電リスト'!$C$5:$C$84,$A11,'架電リスト'!$J$5:$J$84,"NG")</f>
        <v/>
      </c>
      <c r="K11" s="16">
        <f>COUNTIFS('架電リスト'!$C$5:$C$84,$A11,'架電リスト'!$J$5:$J$84,"番号不明")</f>
        <v/>
      </c>
    </row>
    <row r="12">
      <c r="A12" s="16" t="inlineStr">
        <is>
          <t>横浜市金沢区</t>
        </is>
      </c>
      <c r="B12" s="16">
        <f>COUNTIF('架電リスト'!$C$5:$C$84,A12)</f>
        <v/>
      </c>
      <c r="C12" s="16">
        <f>COUNTIFS('架電リスト'!$C$5:$C$84,A12,'架電リスト'!$E$5:$E$84,"&lt;&gt;")</f>
        <v/>
      </c>
      <c r="D12" s="16">
        <f>B12-COUNTIFS('架電リスト'!$C$5:$C$84,A12,'架電リスト'!$J$5:$J$84,"未架電")-COUNTIFS('架電リスト'!$C$5:$C$84,A12,'架電リスト'!$J$5:$J$84,"")</f>
        <v/>
      </c>
      <c r="E12" s="16">
        <f>COUNTIFS('架電リスト'!$C$5:$C$84,$A12,'架電リスト'!$J$5:$J$84,"不在・折返し待ち")</f>
        <v/>
      </c>
      <c r="F12" s="16">
        <f>COUNTIFS('架電リスト'!$C$5:$C$84,$A12,'架電リスト'!$J$5:$J$84,"担当者不在")</f>
        <v/>
      </c>
      <c r="G12" s="16">
        <f>COUNTIFS('架電リスト'!$C$5:$C$84,$A12,'架電リスト'!$J$5:$J$84,"資料送付")</f>
        <v/>
      </c>
      <c r="H12" s="16">
        <f>COUNTIFS('架電リスト'!$C$5:$C$84,$A12,'架電リスト'!$J$5:$J$84,"アポ獲得")</f>
        <v/>
      </c>
      <c r="I12" s="16">
        <f>COUNTIFS('架電リスト'!$C$5:$C$84,$A12,'架電リスト'!$J$5:$J$84,"検討中")</f>
        <v/>
      </c>
      <c r="J12" s="16">
        <f>COUNTIFS('架電リスト'!$C$5:$C$84,$A12,'架電リスト'!$J$5:$J$84,"NG")</f>
        <v/>
      </c>
      <c r="K12" s="16">
        <f>COUNTIFS('架電リスト'!$C$5:$C$84,$A12,'架電リスト'!$J$5:$J$84,"番号不明")</f>
        <v/>
      </c>
    </row>
    <row r="13">
      <c r="A13" s="16" t="inlineStr">
        <is>
          <t>相模原市南区</t>
        </is>
      </c>
      <c r="B13" s="16">
        <f>COUNTIF('架電リスト'!$C$5:$C$84,A13)</f>
        <v/>
      </c>
      <c r="C13" s="16">
        <f>COUNTIFS('架電リスト'!$C$5:$C$84,A13,'架電リスト'!$E$5:$E$84,"&lt;&gt;")</f>
        <v/>
      </c>
      <c r="D13" s="16">
        <f>B13-COUNTIFS('架電リスト'!$C$5:$C$84,A13,'架電リスト'!$J$5:$J$84,"未架電")-COUNTIFS('架電リスト'!$C$5:$C$84,A13,'架電リスト'!$J$5:$J$84,"")</f>
        <v/>
      </c>
      <c r="E13" s="16">
        <f>COUNTIFS('架電リスト'!$C$5:$C$84,$A13,'架電リスト'!$J$5:$J$84,"不在・折返し待ち")</f>
        <v/>
      </c>
      <c r="F13" s="16">
        <f>COUNTIFS('架電リスト'!$C$5:$C$84,$A13,'架電リスト'!$J$5:$J$84,"担当者不在")</f>
        <v/>
      </c>
      <c r="G13" s="16">
        <f>COUNTIFS('架電リスト'!$C$5:$C$84,$A13,'架電リスト'!$J$5:$J$84,"資料送付")</f>
        <v/>
      </c>
      <c r="H13" s="16">
        <f>COUNTIFS('架電リスト'!$C$5:$C$84,$A13,'架電リスト'!$J$5:$J$84,"アポ獲得")</f>
        <v/>
      </c>
      <c r="I13" s="16">
        <f>COUNTIFS('架電リスト'!$C$5:$C$84,$A13,'架電リスト'!$J$5:$J$84,"検討中")</f>
        <v/>
      </c>
      <c r="J13" s="16">
        <f>COUNTIFS('架電リスト'!$C$5:$C$84,$A13,'架電リスト'!$J$5:$J$84,"NG")</f>
        <v/>
      </c>
      <c r="K13" s="16">
        <f>COUNTIFS('架電リスト'!$C$5:$C$84,$A13,'架電リスト'!$J$5:$J$84,"番号不明")</f>
        <v/>
      </c>
    </row>
    <row r="14">
      <c r="A14" s="16" t="inlineStr">
        <is>
          <t>横浜市旭区</t>
        </is>
      </c>
      <c r="B14" s="16">
        <f>COUNTIF('架電リスト'!$C$5:$C$84,A14)</f>
        <v/>
      </c>
      <c r="C14" s="16">
        <f>COUNTIFS('架電リスト'!$C$5:$C$84,A14,'架電リスト'!$E$5:$E$84,"&lt;&gt;")</f>
        <v/>
      </c>
      <c r="D14" s="16">
        <f>B14-COUNTIFS('架電リスト'!$C$5:$C$84,A14,'架電リスト'!$J$5:$J$84,"未架電")-COUNTIFS('架電リスト'!$C$5:$C$84,A14,'架電リスト'!$J$5:$J$84,"")</f>
        <v/>
      </c>
      <c r="E14" s="16">
        <f>COUNTIFS('架電リスト'!$C$5:$C$84,$A14,'架電リスト'!$J$5:$J$84,"不在・折返し待ち")</f>
        <v/>
      </c>
      <c r="F14" s="16">
        <f>COUNTIFS('架電リスト'!$C$5:$C$84,$A14,'架電リスト'!$J$5:$J$84,"担当者不在")</f>
        <v/>
      </c>
      <c r="G14" s="16">
        <f>COUNTIFS('架電リスト'!$C$5:$C$84,$A14,'架電リスト'!$J$5:$J$84,"資料送付")</f>
        <v/>
      </c>
      <c r="H14" s="16">
        <f>COUNTIFS('架電リスト'!$C$5:$C$84,$A14,'架電リスト'!$J$5:$J$84,"アポ獲得")</f>
        <v/>
      </c>
      <c r="I14" s="16">
        <f>COUNTIFS('架電リスト'!$C$5:$C$84,$A14,'架電リスト'!$J$5:$J$84,"検討中")</f>
        <v/>
      </c>
      <c r="J14" s="16">
        <f>COUNTIFS('架電リスト'!$C$5:$C$84,$A14,'架電リスト'!$J$5:$J$84,"NG")</f>
        <v/>
      </c>
      <c r="K14" s="16">
        <f>COUNTIFS('架電リスト'!$C$5:$C$84,$A14,'架電リスト'!$J$5:$J$84,"番号不明")</f>
        <v/>
      </c>
    </row>
    <row r="15">
      <c r="A15" s="16" t="inlineStr">
        <is>
          <t>横浜市南区</t>
        </is>
      </c>
      <c r="B15" s="16">
        <f>COUNTIF('架電リスト'!$C$5:$C$84,A15)</f>
        <v/>
      </c>
      <c r="C15" s="16">
        <f>COUNTIFS('架電リスト'!$C$5:$C$84,A15,'架電リスト'!$E$5:$E$84,"&lt;&gt;")</f>
        <v/>
      </c>
      <c r="D15" s="16">
        <f>B15-COUNTIFS('架電リスト'!$C$5:$C$84,A15,'架電リスト'!$J$5:$J$84,"未架電")-COUNTIFS('架電リスト'!$C$5:$C$84,A15,'架電リスト'!$J$5:$J$84,"")</f>
        <v/>
      </c>
      <c r="E15" s="16">
        <f>COUNTIFS('架電リスト'!$C$5:$C$84,$A15,'架電リスト'!$J$5:$J$84,"不在・折返し待ち")</f>
        <v/>
      </c>
      <c r="F15" s="16">
        <f>COUNTIFS('架電リスト'!$C$5:$C$84,$A15,'架電リスト'!$J$5:$J$84,"担当者不在")</f>
        <v/>
      </c>
      <c r="G15" s="16">
        <f>COUNTIFS('架電リスト'!$C$5:$C$84,$A15,'架電リスト'!$J$5:$J$84,"資料送付")</f>
        <v/>
      </c>
      <c r="H15" s="16">
        <f>COUNTIFS('架電リスト'!$C$5:$C$84,$A15,'架電リスト'!$J$5:$J$84,"アポ獲得")</f>
        <v/>
      </c>
      <c r="I15" s="16">
        <f>COUNTIFS('架電リスト'!$C$5:$C$84,$A15,'架電リスト'!$J$5:$J$84,"検討中")</f>
        <v/>
      </c>
      <c r="J15" s="16">
        <f>COUNTIFS('架電リスト'!$C$5:$C$84,$A15,'架電リスト'!$J$5:$J$84,"NG")</f>
        <v/>
      </c>
      <c r="K15" s="16">
        <f>COUNTIFS('架電リスト'!$C$5:$C$84,$A15,'架電リスト'!$J$5:$J$84,"番号不明")</f>
        <v/>
      </c>
    </row>
    <row r="16">
      <c r="A16" s="16" t="inlineStr">
        <is>
          <t>小田原市</t>
        </is>
      </c>
      <c r="B16" s="16">
        <f>COUNTIF('架電リスト'!$C$5:$C$84,A16)</f>
        <v/>
      </c>
      <c r="C16" s="16">
        <f>COUNTIFS('架電リスト'!$C$5:$C$84,A16,'架電リスト'!$E$5:$E$84,"&lt;&gt;")</f>
        <v/>
      </c>
      <c r="D16" s="16">
        <f>B16-COUNTIFS('架電リスト'!$C$5:$C$84,A16,'架電リスト'!$J$5:$J$84,"未架電")-COUNTIFS('架電リスト'!$C$5:$C$84,A16,'架電リスト'!$J$5:$J$84,"")</f>
        <v/>
      </c>
      <c r="E16" s="16">
        <f>COUNTIFS('架電リスト'!$C$5:$C$84,$A16,'架電リスト'!$J$5:$J$84,"不在・折返し待ち")</f>
        <v/>
      </c>
      <c r="F16" s="16">
        <f>COUNTIFS('架電リスト'!$C$5:$C$84,$A16,'架電リスト'!$J$5:$J$84,"担当者不在")</f>
        <v/>
      </c>
      <c r="G16" s="16">
        <f>COUNTIFS('架電リスト'!$C$5:$C$84,$A16,'架電リスト'!$J$5:$J$84,"資料送付")</f>
        <v/>
      </c>
      <c r="H16" s="16">
        <f>COUNTIFS('架電リスト'!$C$5:$C$84,$A16,'架電リスト'!$J$5:$J$84,"アポ獲得")</f>
        <v/>
      </c>
      <c r="I16" s="16">
        <f>COUNTIFS('架電リスト'!$C$5:$C$84,$A16,'架電リスト'!$J$5:$J$84,"検討中")</f>
        <v/>
      </c>
      <c r="J16" s="16">
        <f>COUNTIFS('架電リスト'!$C$5:$C$84,$A16,'架電リスト'!$J$5:$J$84,"NG")</f>
        <v/>
      </c>
      <c r="K16" s="16">
        <f>COUNTIFS('架電リスト'!$C$5:$C$84,$A16,'架電リスト'!$J$5:$J$84,"番号不明")</f>
        <v/>
      </c>
    </row>
    <row r="17">
      <c r="A17" s="16" t="inlineStr">
        <is>
          <t>川崎市中原区</t>
        </is>
      </c>
      <c r="B17" s="16">
        <f>COUNTIF('架電リスト'!$C$5:$C$84,A17)</f>
        <v/>
      </c>
      <c r="C17" s="16">
        <f>COUNTIFS('架電リスト'!$C$5:$C$84,A17,'架電リスト'!$E$5:$E$84,"&lt;&gt;")</f>
        <v/>
      </c>
      <c r="D17" s="16">
        <f>B17-COUNTIFS('架電リスト'!$C$5:$C$84,A17,'架電リスト'!$J$5:$J$84,"未架電")-COUNTIFS('架電リスト'!$C$5:$C$84,A17,'架電リスト'!$J$5:$J$84,"")</f>
        <v/>
      </c>
      <c r="E17" s="16">
        <f>COUNTIFS('架電リスト'!$C$5:$C$84,$A17,'架電リスト'!$J$5:$J$84,"不在・折返し待ち")</f>
        <v/>
      </c>
      <c r="F17" s="16">
        <f>COUNTIFS('架電リスト'!$C$5:$C$84,$A17,'架電リスト'!$J$5:$J$84,"担当者不在")</f>
        <v/>
      </c>
      <c r="G17" s="16">
        <f>COUNTIFS('架電リスト'!$C$5:$C$84,$A17,'架電リスト'!$J$5:$J$84,"資料送付")</f>
        <v/>
      </c>
      <c r="H17" s="16">
        <f>COUNTIFS('架電リスト'!$C$5:$C$84,$A17,'架電リスト'!$J$5:$J$84,"アポ獲得")</f>
        <v/>
      </c>
      <c r="I17" s="16">
        <f>COUNTIFS('架電リスト'!$C$5:$C$84,$A17,'架電リスト'!$J$5:$J$84,"検討中")</f>
        <v/>
      </c>
      <c r="J17" s="16">
        <f>COUNTIFS('架電リスト'!$C$5:$C$84,$A17,'架電リスト'!$J$5:$J$84,"NG")</f>
        <v/>
      </c>
      <c r="K17" s="16">
        <f>COUNTIFS('架電リスト'!$C$5:$C$84,$A17,'架電リスト'!$J$5:$J$84,"番号不明")</f>
        <v/>
      </c>
    </row>
    <row r="18">
      <c r="A18" s="16" t="inlineStr">
        <is>
          <t>大和市</t>
        </is>
      </c>
      <c r="B18" s="16">
        <f>COUNTIF('架電リスト'!$C$5:$C$84,A18)</f>
        <v/>
      </c>
      <c r="C18" s="16">
        <f>COUNTIFS('架電リスト'!$C$5:$C$84,A18,'架電リスト'!$E$5:$E$84,"&lt;&gt;")</f>
        <v/>
      </c>
      <c r="D18" s="16">
        <f>B18-COUNTIFS('架電リスト'!$C$5:$C$84,A18,'架電リスト'!$J$5:$J$84,"未架電")-COUNTIFS('架電リスト'!$C$5:$C$84,A18,'架電リスト'!$J$5:$J$84,"")</f>
        <v/>
      </c>
      <c r="E18" s="16">
        <f>COUNTIFS('架電リスト'!$C$5:$C$84,$A18,'架電リスト'!$J$5:$J$84,"不在・折返し待ち")</f>
        <v/>
      </c>
      <c r="F18" s="16">
        <f>COUNTIFS('架電リスト'!$C$5:$C$84,$A18,'架電リスト'!$J$5:$J$84,"担当者不在")</f>
        <v/>
      </c>
      <c r="G18" s="16">
        <f>COUNTIFS('架電リスト'!$C$5:$C$84,$A18,'架電リスト'!$J$5:$J$84,"資料送付")</f>
        <v/>
      </c>
      <c r="H18" s="16">
        <f>COUNTIFS('架電リスト'!$C$5:$C$84,$A18,'架電リスト'!$J$5:$J$84,"アポ獲得")</f>
        <v/>
      </c>
      <c r="I18" s="16">
        <f>COUNTIFS('架電リスト'!$C$5:$C$84,$A18,'架電リスト'!$J$5:$J$84,"検討中")</f>
        <v/>
      </c>
      <c r="J18" s="16">
        <f>COUNTIFS('架電リスト'!$C$5:$C$84,$A18,'架電リスト'!$J$5:$J$84,"NG")</f>
        <v/>
      </c>
      <c r="K18" s="16">
        <f>COUNTIFS('架電リスト'!$C$5:$C$84,$A18,'架電リスト'!$J$5:$J$84,"番号不明")</f>
        <v/>
      </c>
    </row>
    <row r="19">
      <c r="A19" s="16" t="inlineStr">
        <is>
          <t>川崎市多摩区</t>
        </is>
      </c>
      <c r="B19" s="16">
        <f>COUNTIF('架電リスト'!$C$5:$C$84,A19)</f>
        <v/>
      </c>
      <c r="C19" s="16">
        <f>COUNTIFS('架電リスト'!$C$5:$C$84,A19,'架電リスト'!$E$5:$E$84,"&lt;&gt;")</f>
        <v/>
      </c>
      <c r="D19" s="16">
        <f>B19-COUNTIFS('架電リスト'!$C$5:$C$84,A19,'架電リスト'!$J$5:$J$84,"未架電")-COUNTIFS('架電リスト'!$C$5:$C$84,A19,'架電リスト'!$J$5:$J$84,"")</f>
        <v/>
      </c>
      <c r="E19" s="16">
        <f>COUNTIFS('架電リスト'!$C$5:$C$84,$A19,'架電リスト'!$J$5:$J$84,"不在・折返し待ち")</f>
        <v/>
      </c>
      <c r="F19" s="16">
        <f>COUNTIFS('架電リスト'!$C$5:$C$84,$A19,'架電リスト'!$J$5:$J$84,"担当者不在")</f>
        <v/>
      </c>
      <c r="G19" s="16">
        <f>COUNTIFS('架電リスト'!$C$5:$C$84,$A19,'架電リスト'!$J$5:$J$84,"資料送付")</f>
        <v/>
      </c>
      <c r="H19" s="16">
        <f>COUNTIFS('架電リスト'!$C$5:$C$84,$A19,'架電リスト'!$J$5:$J$84,"アポ獲得")</f>
        <v/>
      </c>
      <c r="I19" s="16">
        <f>COUNTIFS('架電リスト'!$C$5:$C$84,$A19,'架電リスト'!$J$5:$J$84,"検討中")</f>
        <v/>
      </c>
      <c r="J19" s="16">
        <f>COUNTIFS('架電リスト'!$C$5:$C$84,$A19,'架電リスト'!$J$5:$J$84,"NG")</f>
        <v/>
      </c>
      <c r="K19" s="16">
        <f>COUNTIFS('架電リスト'!$C$5:$C$84,$A19,'架電リスト'!$J$5:$J$84,"番号不明")</f>
        <v/>
      </c>
    </row>
    <row r="20">
      <c r="A20" s="16" t="inlineStr">
        <is>
          <t>横浜市都筑区</t>
        </is>
      </c>
      <c r="B20" s="16">
        <f>COUNTIF('架電リスト'!$C$5:$C$84,A20)</f>
        <v/>
      </c>
      <c r="C20" s="16">
        <f>COUNTIFS('架電リスト'!$C$5:$C$84,A20,'架電リスト'!$E$5:$E$84,"&lt;&gt;")</f>
        <v/>
      </c>
      <c r="D20" s="16">
        <f>B20-COUNTIFS('架電リスト'!$C$5:$C$84,A20,'架電リスト'!$J$5:$J$84,"未架電")-COUNTIFS('架電リスト'!$C$5:$C$84,A20,'架電リスト'!$J$5:$J$84,"")</f>
        <v/>
      </c>
      <c r="E20" s="16">
        <f>COUNTIFS('架電リスト'!$C$5:$C$84,$A20,'架電リスト'!$J$5:$J$84,"不在・折返し待ち")</f>
        <v/>
      </c>
      <c r="F20" s="16">
        <f>COUNTIFS('架電リスト'!$C$5:$C$84,$A20,'架電リスト'!$J$5:$J$84,"担当者不在")</f>
        <v/>
      </c>
      <c r="G20" s="16">
        <f>COUNTIFS('架電リスト'!$C$5:$C$84,$A20,'架電リスト'!$J$5:$J$84,"資料送付")</f>
        <v/>
      </c>
      <c r="H20" s="16">
        <f>COUNTIFS('架電リスト'!$C$5:$C$84,$A20,'架電リスト'!$J$5:$J$84,"アポ獲得")</f>
        <v/>
      </c>
      <c r="I20" s="16">
        <f>COUNTIFS('架電リスト'!$C$5:$C$84,$A20,'架電リスト'!$J$5:$J$84,"検討中")</f>
        <v/>
      </c>
      <c r="J20" s="16">
        <f>COUNTIFS('架電リスト'!$C$5:$C$84,$A20,'架電リスト'!$J$5:$J$84,"NG")</f>
        <v/>
      </c>
      <c r="K20" s="16">
        <f>COUNTIFS('架電リスト'!$C$5:$C$84,$A20,'架電リスト'!$J$5:$J$84,"番号不明")</f>
        <v/>
      </c>
    </row>
    <row r="21">
      <c r="A21" s="16" t="inlineStr">
        <is>
          <t>逗子市</t>
        </is>
      </c>
      <c r="B21" s="16">
        <f>COUNTIF('架電リスト'!$C$5:$C$84,A21)</f>
        <v/>
      </c>
      <c r="C21" s="16">
        <f>COUNTIFS('架電リスト'!$C$5:$C$84,A21,'架電リスト'!$E$5:$E$84,"&lt;&gt;")</f>
        <v/>
      </c>
      <c r="D21" s="16">
        <f>B21-COUNTIFS('架電リスト'!$C$5:$C$84,A21,'架電リスト'!$J$5:$J$84,"未架電")-COUNTIFS('架電リスト'!$C$5:$C$84,A21,'架電リスト'!$J$5:$J$84,"")</f>
        <v/>
      </c>
      <c r="E21" s="16">
        <f>COUNTIFS('架電リスト'!$C$5:$C$84,$A21,'架電リスト'!$J$5:$J$84,"不在・折返し待ち")</f>
        <v/>
      </c>
      <c r="F21" s="16">
        <f>COUNTIFS('架電リスト'!$C$5:$C$84,$A21,'架電リスト'!$J$5:$J$84,"担当者不在")</f>
        <v/>
      </c>
      <c r="G21" s="16">
        <f>COUNTIFS('架電リスト'!$C$5:$C$84,$A21,'架電リスト'!$J$5:$J$84,"資料送付")</f>
        <v/>
      </c>
      <c r="H21" s="16">
        <f>COUNTIFS('架電リスト'!$C$5:$C$84,$A21,'架電リスト'!$J$5:$J$84,"アポ獲得")</f>
        <v/>
      </c>
      <c r="I21" s="16">
        <f>COUNTIFS('架電リスト'!$C$5:$C$84,$A21,'架電リスト'!$J$5:$J$84,"検討中")</f>
        <v/>
      </c>
      <c r="J21" s="16">
        <f>COUNTIFS('架電リスト'!$C$5:$C$84,$A21,'架電リスト'!$J$5:$J$84,"NG")</f>
        <v/>
      </c>
      <c r="K21" s="16">
        <f>COUNTIFS('架電リスト'!$C$5:$C$84,$A21,'架電リスト'!$J$5:$J$84,"番号不明")</f>
        <v/>
      </c>
    </row>
    <row r="22">
      <c r="A22" s="16" t="inlineStr">
        <is>
          <t>相模原市中央区</t>
        </is>
      </c>
      <c r="B22" s="16">
        <f>COUNTIF('架電リスト'!$C$5:$C$84,A22)</f>
        <v/>
      </c>
      <c r="C22" s="16">
        <f>COUNTIFS('架電リスト'!$C$5:$C$84,A22,'架電リスト'!$E$5:$E$84,"&lt;&gt;")</f>
        <v/>
      </c>
      <c r="D22" s="16">
        <f>B22-COUNTIFS('架電リスト'!$C$5:$C$84,A22,'架電リスト'!$J$5:$J$84,"未架電")-COUNTIFS('架電リスト'!$C$5:$C$84,A22,'架電リスト'!$J$5:$J$84,"")</f>
        <v/>
      </c>
      <c r="E22" s="16">
        <f>COUNTIFS('架電リスト'!$C$5:$C$84,$A22,'架電リスト'!$J$5:$J$84,"不在・折返し待ち")</f>
        <v/>
      </c>
      <c r="F22" s="16">
        <f>COUNTIFS('架電リスト'!$C$5:$C$84,$A22,'架電リスト'!$J$5:$J$84,"担当者不在")</f>
        <v/>
      </c>
      <c r="G22" s="16">
        <f>COUNTIFS('架電リスト'!$C$5:$C$84,$A22,'架電リスト'!$J$5:$J$84,"資料送付")</f>
        <v/>
      </c>
      <c r="H22" s="16">
        <f>COUNTIFS('架電リスト'!$C$5:$C$84,$A22,'架電リスト'!$J$5:$J$84,"アポ獲得")</f>
        <v/>
      </c>
      <c r="I22" s="16">
        <f>COUNTIFS('架電リスト'!$C$5:$C$84,$A22,'架電リスト'!$J$5:$J$84,"検討中")</f>
        <v/>
      </c>
      <c r="J22" s="16">
        <f>COUNTIFS('架電リスト'!$C$5:$C$84,$A22,'架電リスト'!$J$5:$J$84,"NG")</f>
        <v/>
      </c>
      <c r="K22" s="16">
        <f>COUNTIFS('架電リスト'!$C$5:$C$84,$A22,'架電リスト'!$J$5:$J$84,"番号不明")</f>
        <v/>
      </c>
    </row>
    <row r="23">
      <c r="A23" s="16" t="inlineStr">
        <is>
          <t>厚木市</t>
        </is>
      </c>
      <c r="B23" s="16">
        <f>COUNTIF('架電リスト'!$C$5:$C$84,A23)</f>
        <v/>
      </c>
      <c r="C23" s="16">
        <f>COUNTIFS('架電リスト'!$C$5:$C$84,A23,'架電リスト'!$E$5:$E$84,"&lt;&gt;")</f>
        <v/>
      </c>
      <c r="D23" s="16">
        <f>B23-COUNTIFS('架電リスト'!$C$5:$C$84,A23,'架電リスト'!$J$5:$J$84,"未架電")-COUNTIFS('架電リスト'!$C$5:$C$84,A23,'架電リスト'!$J$5:$J$84,"")</f>
        <v/>
      </c>
      <c r="E23" s="16">
        <f>COUNTIFS('架電リスト'!$C$5:$C$84,$A23,'架電リスト'!$J$5:$J$84,"不在・折返し待ち")</f>
        <v/>
      </c>
      <c r="F23" s="16">
        <f>COUNTIFS('架電リスト'!$C$5:$C$84,$A23,'架電リスト'!$J$5:$J$84,"担当者不在")</f>
        <v/>
      </c>
      <c r="G23" s="16">
        <f>COUNTIFS('架電リスト'!$C$5:$C$84,$A23,'架電リスト'!$J$5:$J$84,"資料送付")</f>
        <v/>
      </c>
      <c r="H23" s="16">
        <f>COUNTIFS('架電リスト'!$C$5:$C$84,$A23,'架電リスト'!$J$5:$J$84,"アポ獲得")</f>
        <v/>
      </c>
      <c r="I23" s="16">
        <f>COUNTIFS('架電リスト'!$C$5:$C$84,$A23,'架電リスト'!$J$5:$J$84,"検討中")</f>
        <v/>
      </c>
      <c r="J23" s="16">
        <f>COUNTIFS('架電リスト'!$C$5:$C$84,$A23,'架電リスト'!$J$5:$J$84,"NG")</f>
        <v/>
      </c>
      <c r="K23" s="16">
        <f>COUNTIFS('架電リスト'!$C$5:$C$84,$A23,'架電リスト'!$J$5:$J$84,"番号不明")</f>
        <v/>
      </c>
    </row>
    <row r="24">
      <c r="A24" s="16" t="inlineStr">
        <is>
          <t>茅ヶ崎市</t>
        </is>
      </c>
      <c r="B24" s="16">
        <f>COUNTIF('架電リスト'!$C$5:$C$84,A24)</f>
        <v/>
      </c>
      <c r="C24" s="16">
        <f>COUNTIFS('架電リスト'!$C$5:$C$84,A24,'架電リスト'!$E$5:$E$84,"&lt;&gt;")</f>
        <v/>
      </c>
      <c r="D24" s="16">
        <f>B24-COUNTIFS('架電リスト'!$C$5:$C$84,A24,'架電リスト'!$J$5:$J$84,"未架電")-COUNTIFS('架電リスト'!$C$5:$C$84,A24,'架電リスト'!$J$5:$J$84,"")</f>
        <v/>
      </c>
      <c r="E24" s="16">
        <f>COUNTIFS('架電リスト'!$C$5:$C$84,$A24,'架電リスト'!$J$5:$J$84,"不在・折返し待ち")</f>
        <v/>
      </c>
      <c r="F24" s="16">
        <f>COUNTIFS('架電リスト'!$C$5:$C$84,$A24,'架電リスト'!$J$5:$J$84,"担当者不在")</f>
        <v/>
      </c>
      <c r="G24" s="16">
        <f>COUNTIFS('架電リスト'!$C$5:$C$84,$A24,'架電リスト'!$J$5:$J$84,"資料送付")</f>
        <v/>
      </c>
      <c r="H24" s="16">
        <f>COUNTIFS('架電リスト'!$C$5:$C$84,$A24,'架電リスト'!$J$5:$J$84,"アポ獲得")</f>
        <v/>
      </c>
      <c r="I24" s="16">
        <f>COUNTIFS('架電リスト'!$C$5:$C$84,$A24,'架電リスト'!$J$5:$J$84,"検討中")</f>
        <v/>
      </c>
      <c r="J24" s="16">
        <f>COUNTIFS('架電リスト'!$C$5:$C$84,$A24,'架電リスト'!$J$5:$J$84,"NG")</f>
        <v/>
      </c>
      <c r="K24" s="16">
        <f>COUNTIFS('架電リスト'!$C$5:$C$84,$A24,'架電リスト'!$J$5:$J$84,"番号不明")</f>
        <v/>
      </c>
    </row>
    <row r="25">
      <c r="A25" s="16" t="inlineStr">
        <is>
          <t>箱根町</t>
        </is>
      </c>
      <c r="B25" s="16">
        <f>COUNTIF('架電リスト'!$C$5:$C$84,A25)</f>
        <v/>
      </c>
      <c r="C25" s="16">
        <f>COUNTIFS('架電リスト'!$C$5:$C$84,A25,'架電リスト'!$E$5:$E$84,"&lt;&gt;")</f>
        <v/>
      </c>
      <c r="D25" s="16">
        <f>B25-COUNTIFS('架電リスト'!$C$5:$C$84,A25,'架電リスト'!$J$5:$J$84,"未架電")-COUNTIFS('架電リスト'!$C$5:$C$84,A25,'架電リスト'!$J$5:$J$84,"")</f>
        <v/>
      </c>
      <c r="E25" s="16">
        <f>COUNTIFS('架電リスト'!$C$5:$C$84,$A25,'架電リスト'!$J$5:$J$84,"不在・折返し待ち")</f>
        <v/>
      </c>
      <c r="F25" s="16">
        <f>COUNTIFS('架電リスト'!$C$5:$C$84,$A25,'架電リスト'!$J$5:$J$84,"担当者不在")</f>
        <v/>
      </c>
      <c r="G25" s="16">
        <f>COUNTIFS('架電リスト'!$C$5:$C$84,$A25,'架電リスト'!$J$5:$J$84,"資料送付")</f>
        <v/>
      </c>
      <c r="H25" s="16">
        <f>COUNTIFS('架電リスト'!$C$5:$C$84,$A25,'架電リスト'!$J$5:$J$84,"アポ獲得")</f>
        <v/>
      </c>
      <c r="I25" s="16">
        <f>COUNTIFS('架電リスト'!$C$5:$C$84,$A25,'架電リスト'!$J$5:$J$84,"検討中")</f>
        <v/>
      </c>
      <c r="J25" s="16">
        <f>COUNTIFS('架電リスト'!$C$5:$C$84,$A25,'架電リスト'!$J$5:$J$84,"NG")</f>
        <v/>
      </c>
      <c r="K25" s="16">
        <f>COUNTIFS('架電リスト'!$C$5:$C$84,$A25,'架電リスト'!$J$5:$J$84,"番号不明")</f>
        <v/>
      </c>
    </row>
    <row r="26">
      <c r="A26" s="16" t="inlineStr">
        <is>
          <t>横浜市戸塚区</t>
        </is>
      </c>
      <c r="B26" s="16">
        <f>COUNTIF('架電リスト'!$C$5:$C$84,A26)</f>
        <v/>
      </c>
      <c r="C26" s="16">
        <f>COUNTIFS('架電リスト'!$C$5:$C$84,A26,'架電リスト'!$E$5:$E$84,"&lt;&gt;")</f>
        <v/>
      </c>
      <c r="D26" s="16">
        <f>B26-COUNTIFS('架電リスト'!$C$5:$C$84,A26,'架電リスト'!$J$5:$J$84,"未架電")-COUNTIFS('架電リスト'!$C$5:$C$84,A26,'架電リスト'!$J$5:$J$84,"")</f>
        <v/>
      </c>
      <c r="E26" s="16">
        <f>COUNTIFS('架電リスト'!$C$5:$C$84,$A26,'架電リスト'!$J$5:$J$84,"不在・折返し待ち")</f>
        <v/>
      </c>
      <c r="F26" s="16">
        <f>COUNTIFS('架電リスト'!$C$5:$C$84,$A26,'架電リスト'!$J$5:$J$84,"担当者不在")</f>
        <v/>
      </c>
      <c r="G26" s="16">
        <f>COUNTIFS('架電リスト'!$C$5:$C$84,$A26,'架電リスト'!$J$5:$J$84,"資料送付")</f>
        <v/>
      </c>
      <c r="H26" s="16">
        <f>COUNTIFS('架電リスト'!$C$5:$C$84,$A26,'架電リスト'!$J$5:$J$84,"アポ獲得")</f>
        <v/>
      </c>
      <c r="I26" s="16">
        <f>COUNTIFS('架電リスト'!$C$5:$C$84,$A26,'架電リスト'!$J$5:$J$84,"検討中")</f>
        <v/>
      </c>
      <c r="J26" s="16">
        <f>COUNTIFS('架電リスト'!$C$5:$C$84,$A26,'架電リスト'!$J$5:$J$84,"NG")</f>
        <v/>
      </c>
      <c r="K26" s="16">
        <f>COUNTIFS('架電リスト'!$C$5:$C$84,$A26,'架電リスト'!$J$5:$J$84,"番号不明")</f>
        <v/>
      </c>
    </row>
    <row r="27">
      <c r="A27" s="16" t="inlineStr">
        <is>
          <t>伊勢原市</t>
        </is>
      </c>
      <c r="B27" s="16">
        <f>COUNTIF('架電リスト'!$C$5:$C$84,A27)</f>
        <v/>
      </c>
      <c r="C27" s="16">
        <f>COUNTIFS('架電リスト'!$C$5:$C$84,A27,'架電リスト'!$E$5:$E$84,"&lt;&gt;")</f>
        <v/>
      </c>
      <c r="D27" s="16">
        <f>B27-COUNTIFS('架電リスト'!$C$5:$C$84,A27,'架電リスト'!$J$5:$J$84,"未架電")-COUNTIFS('架電リスト'!$C$5:$C$84,A27,'架電リスト'!$J$5:$J$84,"")</f>
        <v/>
      </c>
      <c r="E27" s="16">
        <f>COUNTIFS('架電リスト'!$C$5:$C$84,$A27,'架電リスト'!$J$5:$J$84,"不在・折返し待ち")</f>
        <v/>
      </c>
      <c r="F27" s="16">
        <f>COUNTIFS('架電リスト'!$C$5:$C$84,$A27,'架電リスト'!$J$5:$J$84,"担当者不在")</f>
        <v/>
      </c>
      <c r="G27" s="16">
        <f>COUNTIFS('架電リスト'!$C$5:$C$84,$A27,'架電リスト'!$J$5:$J$84,"資料送付")</f>
        <v/>
      </c>
      <c r="H27" s="16">
        <f>COUNTIFS('架電リスト'!$C$5:$C$84,$A27,'架電リスト'!$J$5:$J$84,"アポ獲得")</f>
        <v/>
      </c>
      <c r="I27" s="16">
        <f>COUNTIFS('架電リスト'!$C$5:$C$84,$A27,'架電リスト'!$J$5:$J$84,"検討中")</f>
        <v/>
      </c>
      <c r="J27" s="16">
        <f>COUNTIFS('架電リスト'!$C$5:$C$84,$A27,'架電リスト'!$J$5:$J$84,"NG")</f>
        <v/>
      </c>
      <c r="K27" s="16">
        <f>COUNTIFS('架電リスト'!$C$5:$C$84,$A27,'架電リスト'!$J$5:$J$84,"番号不明")</f>
        <v/>
      </c>
    </row>
    <row r="28">
      <c r="A28" s="16" t="inlineStr">
        <is>
          <t>横浜市泉区</t>
        </is>
      </c>
      <c r="B28" s="16">
        <f>COUNTIF('架電リスト'!$C$5:$C$84,A28)</f>
        <v/>
      </c>
      <c r="C28" s="16">
        <f>COUNTIFS('架電リスト'!$C$5:$C$84,A28,'架電リスト'!$E$5:$E$84,"&lt;&gt;")</f>
        <v/>
      </c>
      <c r="D28" s="16">
        <f>B28-COUNTIFS('架電リスト'!$C$5:$C$84,A28,'架電リスト'!$J$5:$J$84,"未架電")-COUNTIFS('架電リスト'!$C$5:$C$84,A28,'架電リスト'!$J$5:$J$84,"")</f>
        <v/>
      </c>
      <c r="E28" s="16">
        <f>COUNTIFS('架電リスト'!$C$5:$C$84,$A28,'架電リスト'!$J$5:$J$84,"不在・折返し待ち")</f>
        <v/>
      </c>
      <c r="F28" s="16">
        <f>COUNTIFS('架電リスト'!$C$5:$C$84,$A28,'架電リスト'!$J$5:$J$84,"担当者不在")</f>
        <v/>
      </c>
      <c r="G28" s="16">
        <f>COUNTIFS('架電リスト'!$C$5:$C$84,$A28,'架電リスト'!$J$5:$J$84,"資料送付")</f>
        <v/>
      </c>
      <c r="H28" s="16">
        <f>COUNTIFS('架電リスト'!$C$5:$C$84,$A28,'架電リスト'!$J$5:$J$84,"アポ獲得")</f>
        <v/>
      </c>
      <c r="I28" s="16">
        <f>COUNTIFS('架電リスト'!$C$5:$C$84,$A28,'架電リスト'!$J$5:$J$84,"検討中")</f>
        <v/>
      </c>
      <c r="J28" s="16">
        <f>COUNTIFS('架電リスト'!$C$5:$C$84,$A28,'架電リスト'!$J$5:$J$84,"NG")</f>
        <v/>
      </c>
      <c r="K28" s="16">
        <f>COUNTIFS('架電リスト'!$C$5:$C$84,$A28,'架電リスト'!$J$5:$J$84,"番号不明")</f>
        <v/>
      </c>
    </row>
    <row r="29">
      <c r="A29" s="16" t="inlineStr">
        <is>
          <t>川崎市高津区</t>
        </is>
      </c>
      <c r="B29" s="16">
        <f>COUNTIF('架電リスト'!$C$5:$C$84,A29)</f>
        <v/>
      </c>
      <c r="C29" s="16">
        <f>COUNTIFS('架電リスト'!$C$5:$C$84,A29,'架電リスト'!$E$5:$E$84,"&lt;&gt;")</f>
        <v/>
      </c>
      <c r="D29" s="16">
        <f>B29-COUNTIFS('架電リスト'!$C$5:$C$84,A29,'架電リスト'!$J$5:$J$84,"未架電")-COUNTIFS('架電リスト'!$C$5:$C$84,A29,'架電リスト'!$J$5:$J$84,"")</f>
        <v/>
      </c>
      <c r="E29" s="16">
        <f>COUNTIFS('架電リスト'!$C$5:$C$84,$A29,'架電リスト'!$J$5:$J$84,"不在・折返し待ち")</f>
        <v/>
      </c>
      <c r="F29" s="16">
        <f>COUNTIFS('架電リスト'!$C$5:$C$84,$A29,'架電リスト'!$J$5:$J$84,"担当者不在")</f>
        <v/>
      </c>
      <c r="G29" s="16">
        <f>COUNTIFS('架電リスト'!$C$5:$C$84,$A29,'架電リスト'!$J$5:$J$84,"資料送付")</f>
        <v/>
      </c>
      <c r="H29" s="16">
        <f>COUNTIFS('架電リスト'!$C$5:$C$84,$A29,'架電リスト'!$J$5:$J$84,"アポ獲得")</f>
        <v/>
      </c>
      <c r="I29" s="16">
        <f>COUNTIFS('架電リスト'!$C$5:$C$84,$A29,'架電リスト'!$J$5:$J$84,"検討中")</f>
        <v/>
      </c>
      <c r="J29" s="16">
        <f>COUNTIFS('架電リスト'!$C$5:$C$84,$A29,'架電リスト'!$J$5:$J$84,"NG")</f>
        <v/>
      </c>
      <c r="K29" s="16">
        <f>COUNTIFS('架電リスト'!$C$5:$C$84,$A29,'架電リスト'!$J$5:$J$84,"番号不明")</f>
        <v/>
      </c>
    </row>
    <row r="30">
      <c r="A30" s="16" t="inlineStr">
        <is>
          <t>松田町</t>
        </is>
      </c>
      <c r="B30" s="16">
        <f>COUNTIF('架電リスト'!$C$5:$C$84,A30)</f>
        <v/>
      </c>
      <c r="C30" s="16">
        <f>COUNTIFS('架電リスト'!$C$5:$C$84,A30,'架電リスト'!$E$5:$E$84,"&lt;&gt;")</f>
        <v/>
      </c>
      <c r="D30" s="16">
        <f>B30-COUNTIFS('架電リスト'!$C$5:$C$84,A30,'架電リスト'!$J$5:$J$84,"未架電")-COUNTIFS('架電リスト'!$C$5:$C$84,A30,'架電リスト'!$J$5:$J$84,"")</f>
        <v/>
      </c>
      <c r="E30" s="16">
        <f>COUNTIFS('架電リスト'!$C$5:$C$84,$A30,'架電リスト'!$J$5:$J$84,"不在・折返し待ち")</f>
        <v/>
      </c>
      <c r="F30" s="16">
        <f>COUNTIFS('架電リスト'!$C$5:$C$84,$A30,'架電リスト'!$J$5:$J$84,"担当者不在")</f>
        <v/>
      </c>
      <c r="G30" s="16">
        <f>COUNTIFS('架電リスト'!$C$5:$C$84,$A30,'架電リスト'!$J$5:$J$84,"資料送付")</f>
        <v/>
      </c>
      <c r="H30" s="16">
        <f>COUNTIFS('架電リスト'!$C$5:$C$84,$A30,'架電リスト'!$J$5:$J$84,"アポ獲得")</f>
        <v/>
      </c>
      <c r="I30" s="16">
        <f>COUNTIFS('架電リスト'!$C$5:$C$84,$A30,'架電リスト'!$J$5:$J$84,"検討中")</f>
        <v/>
      </c>
      <c r="J30" s="16">
        <f>COUNTIFS('架電リスト'!$C$5:$C$84,$A30,'架電リスト'!$J$5:$J$84,"NG")</f>
        <v/>
      </c>
      <c r="K30" s="16">
        <f>COUNTIFS('架電リスト'!$C$5:$C$84,$A30,'架電リスト'!$J$5:$J$84,"番号不明")</f>
        <v/>
      </c>
    </row>
    <row r="31">
      <c r="A31" s="16" t="inlineStr">
        <is>
          <t>横浜市青葉区</t>
        </is>
      </c>
      <c r="B31" s="16">
        <f>COUNTIF('架電リスト'!$C$5:$C$84,A31)</f>
        <v/>
      </c>
      <c r="C31" s="16">
        <f>COUNTIFS('架電リスト'!$C$5:$C$84,A31,'架電リスト'!$E$5:$E$84,"&lt;&gt;")</f>
        <v/>
      </c>
      <c r="D31" s="16">
        <f>B31-COUNTIFS('架電リスト'!$C$5:$C$84,A31,'架電リスト'!$J$5:$J$84,"未架電")-COUNTIFS('架電リスト'!$C$5:$C$84,A31,'架電リスト'!$J$5:$J$84,"")</f>
        <v/>
      </c>
      <c r="E31" s="16">
        <f>COUNTIFS('架電リスト'!$C$5:$C$84,$A31,'架電リスト'!$J$5:$J$84,"不在・折返し待ち")</f>
        <v/>
      </c>
      <c r="F31" s="16">
        <f>COUNTIFS('架電リスト'!$C$5:$C$84,$A31,'架電リスト'!$J$5:$J$84,"担当者不在")</f>
        <v/>
      </c>
      <c r="G31" s="16">
        <f>COUNTIFS('架電リスト'!$C$5:$C$84,$A31,'架電リスト'!$J$5:$J$84,"資料送付")</f>
        <v/>
      </c>
      <c r="H31" s="16">
        <f>COUNTIFS('架電リスト'!$C$5:$C$84,$A31,'架電リスト'!$J$5:$J$84,"アポ獲得")</f>
        <v/>
      </c>
      <c r="I31" s="16">
        <f>COUNTIFS('架電リスト'!$C$5:$C$84,$A31,'架電リスト'!$J$5:$J$84,"検討中")</f>
        <v/>
      </c>
      <c r="J31" s="16">
        <f>COUNTIFS('架電リスト'!$C$5:$C$84,$A31,'架電リスト'!$J$5:$J$84,"NG")</f>
        <v/>
      </c>
      <c r="K31" s="16">
        <f>COUNTIFS('架電リスト'!$C$5:$C$84,$A31,'架電リスト'!$J$5:$J$84,"番号不明")</f>
        <v/>
      </c>
    </row>
    <row r="32">
      <c r="A32" s="16" t="inlineStr">
        <is>
          <t>川崎市麻生区</t>
        </is>
      </c>
      <c r="B32" s="16">
        <f>COUNTIF('架電リスト'!$C$5:$C$84,A32)</f>
        <v/>
      </c>
      <c r="C32" s="16">
        <f>COUNTIFS('架電リスト'!$C$5:$C$84,A32,'架電リスト'!$E$5:$E$84,"&lt;&gt;")</f>
        <v/>
      </c>
      <c r="D32" s="16">
        <f>B32-COUNTIFS('架電リスト'!$C$5:$C$84,A32,'架電リスト'!$J$5:$J$84,"未架電")-COUNTIFS('架電リスト'!$C$5:$C$84,A32,'架電リスト'!$J$5:$J$84,"")</f>
        <v/>
      </c>
      <c r="E32" s="16">
        <f>COUNTIFS('架電リスト'!$C$5:$C$84,$A32,'架電リスト'!$J$5:$J$84,"不在・折返し待ち")</f>
        <v/>
      </c>
      <c r="F32" s="16">
        <f>COUNTIFS('架電リスト'!$C$5:$C$84,$A32,'架電リスト'!$J$5:$J$84,"担当者不在")</f>
        <v/>
      </c>
      <c r="G32" s="16">
        <f>COUNTIFS('架電リスト'!$C$5:$C$84,$A32,'架電リスト'!$J$5:$J$84,"資料送付")</f>
        <v/>
      </c>
      <c r="H32" s="16">
        <f>COUNTIFS('架電リスト'!$C$5:$C$84,$A32,'架電リスト'!$J$5:$J$84,"アポ獲得")</f>
        <v/>
      </c>
      <c r="I32" s="16">
        <f>COUNTIFS('架電リスト'!$C$5:$C$84,$A32,'架電リスト'!$J$5:$J$84,"検討中")</f>
        <v/>
      </c>
      <c r="J32" s="16">
        <f>COUNTIFS('架電リスト'!$C$5:$C$84,$A32,'架電リスト'!$J$5:$J$84,"NG")</f>
        <v/>
      </c>
      <c r="K32" s="16">
        <f>COUNTIFS('架電リスト'!$C$5:$C$84,$A32,'架電リスト'!$J$5:$J$84,"番号不明")</f>
        <v/>
      </c>
    </row>
    <row r="33">
      <c r="A33" s="16" t="inlineStr">
        <is>
          <t>平塚市</t>
        </is>
      </c>
      <c r="B33" s="16">
        <f>COUNTIF('架電リスト'!$C$5:$C$84,A33)</f>
        <v/>
      </c>
      <c r="C33" s="16">
        <f>COUNTIFS('架電リスト'!$C$5:$C$84,A33,'架電リスト'!$E$5:$E$84,"&lt;&gt;")</f>
        <v/>
      </c>
      <c r="D33" s="16">
        <f>B33-COUNTIFS('架電リスト'!$C$5:$C$84,A33,'架電リスト'!$J$5:$J$84,"未架電")-COUNTIFS('架電リスト'!$C$5:$C$84,A33,'架電リスト'!$J$5:$J$84,"")</f>
        <v/>
      </c>
      <c r="E33" s="16">
        <f>COUNTIFS('架電リスト'!$C$5:$C$84,$A33,'架電リスト'!$J$5:$J$84,"不在・折返し待ち")</f>
        <v/>
      </c>
      <c r="F33" s="16">
        <f>COUNTIFS('架電リスト'!$C$5:$C$84,$A33,'架電リスト'!$J$5:$J$84,"担当者不在")</f>
        <v/>
      </c>
      <c r="G33" s="16">
        <f>COUNTIFS('架電リスト'!$C$5:$C$84,$A33,'架電リスト'!$J$5:$J$84,"資料送付")</f>
        <v/>
      </c>
      <c r="H33" s="16">
        <f>COUNTIFS('架電リスト'!$C$5:$C$84,$A33,'架電リスト'!$J$5:$J$84,"アポ獲得")</f>
        <v/>
      </c>
      <c r="I33" s="16">
        <f>COUNTIFS('架電リスト'!$C$5:$C$84,$A33,'架電リスト'!$J$5:$J$84,"検討中")</f>
        <v/>
      </c>
      <c r="J33" s="16">
        <f>COUNTIFS('架電リスト'!$C$5:$C$84,$A33,'架電リスト'!$J$5:$J$84,"NG")</f>
        <v/>
      </c>
      <c r="K33" s="16">
        <f>COUNTIFS('架電リスト'!$C$5:$C$84,$A33,'架電リスト'!$J$5:$J$84,"番号不明")</f>
        <v/>
      </c>
    </row>
    <row r="34">
      <c r="A34" s="16" t="inlineStr">
        <is>
          <t>横浜市栄区</t>
        </is>
      </c>
      <c r="B34" s="16">
        <f>COUNTIF('架電リスト'!$C$5:$C$84,A34)</f>
        <v/>
      </c>
      <c r="C34" s="16">
        <f>COUNTIFS('架電リスト'!$C$5:$C$84,A34,'架電リスト'!$E$5:$E$84,"&lt;&gt;")</f>
        <v/>
      </c>
      <c r="D34" s="16">
        <f>B34-COUNTIFS('架電リスト'!$C$5:$C$84,A34,'架電リスト'!$J$5:$J$84,"未架電")-COUNTIFS('架電リスト'!$C$5:$C$84,A34,'架電リスト'!$J$5:$J$84,"")</f>
        <v/>
      </c>
      <c r="E34" s="16">
        <f>COUNTIFS('架電リスト'!$C$5:$C$84,$A34,'架電リスト'!$J$5:$J$84,"不在・折返し待ち")</f>
        <v/>
      </c>
      <c r="F34" s="16">
        <f>COUNTIFS('架電リスト'!$C$5:$C$84,$A34,'架電リスト'!$J$5:$J$84,"担当者不在")</f>
        <v/>
      </c>
      <c r="G34" s="16">
        <f>COUNTIFS('架電リスト'!$C$5:$C$84,$A34,'架電リスト'!$J$5:$J$84,"資料送付")</f>
        <v/>
      </c>
      <c r="H34" s="16">
        <f>COUNTIFS('架電リスト'!$C$5:$C$84,$A34,'架電リスト'!$J$5:$J$84,"アポ獲得")</f>
        <v/>
      </c>
      <c r="I34" s="16">
        <f>COUNTIFS('架電リスト'!$C$5:$C$84,$A34,'架電リスト'!$J$5:$J$84,"検討中")</f>
        <v/>
      </c>
      <c r="J34" s="16">
        <f>COUNTIFS('架電リスト'!$C$5:$C$84,$A34,'架電リスト'!$J$5:$J$84,"NG")</f>
        <v/>
      </c>
      <c r="K34" s="16">
        <f>COUNTIFS('架電リスト'!$C$5:$C$84,$A34,'架電リスト'!$J$5:$J$84,"番号不明")</f>
        <v/>
      </c>
    </row>
    <row r="35">
      <c r="A35" s="16" t="inlineStr">
        <is>
          <t>横浜市磯子区</t>
        </is>
      </c>
      <c r="B35" s="16">
        <f>COUNTIF('架電リスト'!$C$5:$C$84,A35)</f>
        <v/>
      </c>
      <c r="C35" s="16">
        <f>COUNTIFS('架電リスト'!$C$5:$C$84,A35,'架電リスト'!$E$5:$E$84,"&lt;&gt;")</f>
        <v/>
      </c>
      <c r="D35" s="16">
        <f>B35-COUNTIFS('架電リスト'!$C$5:$C$84,A35,'架電リスト'!$J$5:$J$84,"未架電")-COUNTIFS('架電リスト'!$C$5:$C$84,A35,'架電リスト'!$J$5:$J$84,"")</f>
        <v/>
      </c>
      <c r="E35" s="16">
        <f>COUNTIFS('架電リスト'!$C$5:$C$84,$A35,'架電リスト'!$J$5:$J$84,"不在・折返し待ち")</f>
        <v/>
      </c>
      <c r="F35" s="16">
        <f>COUNTIFS('架電リスト'!$C$5:$C$84,$A35,'架電リスト'!$J$5:$J$84,"担当者不在")</f>
        <v/>
      </c>
      <c r="G35" s="16">
        <f>COUNTIFS('架電リスト'!$C$5:$C$84,$A35,'架電リスト'!$J$5:$J$84,"資料送付")</f>
        <v/>
      </c>
      <c r="H35" s="16">
        <f>COUNTIFS('架電リスト'!$C$5:$C$84,$A35,'架電リスト'!$J$5:$J$84,"アポ獲得")</f>
        <v/>
      </c>
      <c r="I35" s="16">
        <f>COUNTIFS('架電リスト'!$C$5:$C$84,$A35,'架電リスト'!$J$5:$J$84,"検討中")</f>
        <v/>
      </c>
      <c r="J35" s="16">
        <f>COUNTIFS('架電リスト'!$C$5:$C$84,$A35,'架電リスト'!$J$5:$J$84,"NG")</f>
        <v/>
      </c>
      <c r="K35" s="16">
        <f>COUNTIFS('架電リスト'!$C$5:$C$84,$A35,'架電リスト'!$J$5:$J$84,"番号不明")</f>
        <v/>
      </c>
    </row>
    <row r="36">
      <c r="A36" s="16" t="inlineStr">
        <is>
          <t>横浜市保土ケ谷区</t>
        </is>
      </c>
      <c r="B36" s="16">
        <f>COUNTIF('架電リスト'!$C$5:$C$84,A36)</f>
        <v/>
      </c>
      <c r="C36" s="16">
        <f>COUNTIFS('架電リスト'!$C$5:$C$84,A36,'架電リスト'!$E$5:$E$84,"&lt;&gt;")</f>
        <v/>
      </c>
      <c r="D36" s="16">
        <f>B36-COUNTIFS('架電リスト'!$C$5:$C$84,A36,'架電リスト'!$J$5:$J$84,"未架電")-COUNTIFS('架電リスト'!$C$5:$C$84,A36,'架電リスト'!$J$5:$J$84,"")</f>
        <v/>
      </c>
      <c r="E36" s="16">
        <f>COUNTIFS('架電リスト'!$C$5:$C$84,$A36,'架電リスト'!$J$5:$J$84,"不在・折返し待ち")</f>
        <v/>
      </c>
      <c r="F36" s="16">
        <f>COUNTIFS('架電リスト'!$C$5:$C$84,$A36,'架電リスト'!$J$5:$J$84,"担当者不在")</f>
        <v/>
      </c>
      <c r="G36" s="16">
        <f>COUNTIFS('架電リスト'!$C$5:$C$84,$A36,'架電リスト'!$J$5:$J$84,"資料送付")</f>
        <v/>
      </c>
      <c r="H36" s="16">
        <f>COUNTIFS('架電リスト'!$C$5:$C$84,$A36,'架電リスト'!$J$5:$J$84,"アポ獲得")</f>
        <v/>
      </c>
      <c r="I36" s="16">
        <f>COUNTIFS('架電リスト'!$C$5:$C$84,$A36,'架電リスト'!$J$5:$J$84,"検討中")</f>
        <v/>
      </c>
      <c r="J36" s="16">
        <f>COUNTIFS('架電リスト'!$C$5:$C$84,$A36,'架電リスト'!$J$5:$J$84,"NG")</f>
        <v/>
      </c>
      <c r="K36" s="16">
        <f>COUNTIFS('架電リスト'!$C$5:$C$84,$A36,'架電リスト'!$J$5:$J$84,"番号不明")</f>
        <v/>
      </c>
    </row>
    <row r="37">
      <c r="A37" s="16" t="inlineStr">
        <is>
          <t>横浜市瀬谷区</t>
        </is>
      </c>
      <c r="B37" s="16">
        <f>COUNTIF('架電リスト'!$C$5:$C$84,A37)</f>
        <v/>
      </c>
      <c r="C37" s="16">
        <f>COUNTIFS('架電リスト'!$C$5:$C$84,A37,'架電リスト'!$E$5:$E$84,"&lt;&gt;")</f>
        <v/>
      </c>
      <c r="D37" s="16">
        <f>B37-COUNTIFS('架電リスト'!$C$5:$C$84,A37,'架電リスト'!$J$5:$J$84,"未架電")-COUNTIFS('架電リスト'!$C$5:$C$84,A37,'架電リスト'!$J$5:$J$84,"")</f>
        <v/>
      </c>
      <c r="E37" s="16">
        <f>COUNTIFS('架電リスト'!$C$5:$C$84,$A37,'架電リスト'!$J$5:$J$84,"不在・折返し待ち")</f>
        <v/>
      </c>
      <c r="F37" s="16">
        <f>COUNTIFS('架電リスト'!$C$5:$C$84,$A37,'架電リスト'!$J$5:$J$84,"担当者不在")</f>
        <v/>
      </c>
      <c r="G37" s="16">
        <f>COUNTIFS('架電リスト'!$C$5:$C$84,$A37,'架電リスト'!$J$5:$J$84,"資料送付")</f>
        <v/>
      </c>
      <c r="H37" s="16">
        <f>COUNTIFS('架電リスト'!$C$5:$C$84,$A37,'架電リスト'!$J$5:$J$84,"アポ獲得")</f>
        <v/>
      </c>
      <c r="I37" s="16">
        <f>COUNTIFS('架電リスト'!$C$5:$C$84,$A37,'架電リスト'!$J$5:$J$84,"検討中")</f>
        <v/>
      </c>
      <c r="J37" s="16">
        <f>COUNTIFS('架電リスト'!$C$5:$C$84,$A37,'架電リスト'!$J$5:$J$84,"NG")</f>
        <v/>
      </c>
      <c r="K37" s="16">
        <f>COUNTIFS('架電リスト'!$C$5:$C$84,$A37,'架電リスト'!$J$5:$J$84,"番号不明")</f>
        <v/>
      </c>
    </row>
    <row r="38">
      <c r="A38" s="17" t="inlineStr">
        <is>
          <t>合計</t>
        </is>
      </c>
      <c r="B38" s="17">
        <f>SUM(B4:B37)</f>
        <v/>
      </c>
      <c r="C38" s="17">
        <f>SUM(C4:C37)</f>
        <v/>
      </c>
      <c r="D38" s="17">
        <f>SUM(D4:D37)</f>
        <v/>
      </c>
      <c r="E38" s="17">
        <f>SUM(E4:E37)</f>
        <v/>
      </c>
      <c r="F38" s="17">
        <f>SUM(F4:F37)</f>
        <v/>
      </c>
      <c r="G38" s="17">
        <f>SUM(G4:G37)</f>
        <v/>
      </c>
      <c r="H38" s="17">
        <f>SUM(H4:H37)</f>
        <v/>
      </c>
      <c r="I38" s="17">
        <f>SUM(I4:I37)</f>
        <v/>
      </c>
      <c r="J38" s="17">
        <f>SUM(J4:J37)</f>
        <v/>
      </c>
      <c r="K38" s="17">
        <f>SUM(K4:K37)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■ 使い方</t>
        </is>
      </c>
    </row>
    <row r="2">
      <c r="A2" s="19" t="inlineStr">
        <is>
          <t>・「架電リスト」の黄色の列（電話番号・架電日・担当者・架電結果・次回連絡日・メモ）に入力してください。</t>
        </is>
      </c>
    </row>
    <row r="3">
      <c r="A3" s="19" t="inlineStr">
        <is>
          <t>・架電結果はプルダウンから選択します（アポ獲得＝緑、NG＝グレーで行が自動着色）。</t>
        </is>
      </c>
    </row>
    <row r="4">
      <c r="A4" s="19" t="inlineStr">
        <is>
          <t>・「学校情報ページ」の「開く」をクリックすると、学校ネットの各校ページが開きます。</t>
        </is>
      </c>
    </row>
    <row r="5">
      <c r="A5" s="19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9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9" t="inlineStr">
        <is>
          <t>・都道府県や市区町村で絞り込む場合は、見出し行の▼（フィルター）を使用してください。</t>
        </is>
      </c>
    </row>
    <row r="8">
      <c r="A8" s="19" t="inlineStr">
        <is>
          <t>・集計シートは入力内容に連動して自動で集計されます。</t>
        </is>
      </c>
    </row>
    <row r="9">
      <c r="A9" s="19" t="inlineStr"/>
    </row>
    <row r="10">
      <c r="A10" s="18" t="inlineStr">
        <is>
          <t>■ 元データについての注意</t>
        </is>
      </c>
    </row>
    <row r="11">
      <c r="A11" s="19" t="inlineStr">
        <is>
          <t>・出典：ご提供いただいた学校ネットの検索結果（私立高校・神奈川県、80校）の貼り付けデータ。並び順は都道府県ごとに元データの掲載順です。</t>
        </is>
      </c>
    </row>
    <row r="12">
      <c r="A12" s="19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9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9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2026-10-09T15:09:04Z</dcterms:created>
  <dcterms:modified xsi:type="dcterms:W3CDTF">2026-10-09T15:09:05Z</dcterms:modified>
</cp:coreProperties>
</file>