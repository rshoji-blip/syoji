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'架電リスト'!$A$4:$O$22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725.html" TargetMode="External" Id="rId1" /><Relationship Type="http://schemas.openxmlformats.org/officeDocument/2006/relationships/hyperlink" Target="https://www.gakkou.net/kou/view/index_300616.html" TargetMode="External" Id="rId2" /><Relationship Type="http://schemas.openxmlformats.org/officeDocument/2006/relationships/hyperlink" Target="https://www.gakkou.net/kou/view/index_300657.html" TargetMode="External" Id="rId3" /><Relationship Type="http://schemas.openxmlformats.org/officeDocument/2006/relationships/hyperlink" Target="https://www.gakkou.net/kou/view/index_300617.html" TargetMode="External" Id="rId4" /><Relationship Type="http://schemas.openxmlformats.org/officeDocument/2006/relationships/hyperlink" Target="https://www.gakkou.net/kou/view/index_300654.html" TargetMode="External" Id="rId5" /><Relationship Type="http://schemas.openxmlformats.org/officeDocument/2006/relationships/hyperlink" Target="https://www.gakkou.net/kou/view/index_300651.html" TargetMode="External" Id="rId6" /><Relationship Type="http://schemas.openxmlformats.org/officeDocument/2006/relationships/hyperlink" Target="https://www.gakkou.net/kou/view/index_300608.html" TargetMode="External" Id="rId7" /><Relationship Type="http://schemas.openxmlformats.org/officeDocument/2006/relationships/hyperlink" Target="https://www.gakkou.net/kou/view/index_306757.html" TargetMode="External" Id="rId8" /><Relationship Type="http://schemas.openxmlformats.org/officeDocument/2006/relationships/hyperlink" Target="https://www.gakkou.net/kou/view/index_300625.html" TargetMode="External" Id="rId9" /><Relationship Type="http://schemas.openxmlformats.org/officeDocument/2006/relationships/hyperlink" Target="https://www.gakkou.net/kou/view/index_300609.html" TargetMode="External" Id="rId10" /><Relationship Type="http://schemas.openxmlformats.org/officeDocument/2006/relationships/hyperlink" Target="https://www.gakkou.net/kou/view/index_300632.html" TargetMode="External" Id="rId11" /><Relationship Type="http://schemas.openxmlformats.org/officeDocument/2006/relationships/hyperlink" Target="https://www.gakkou.net/kou/view/index_300623.html" TargetMode="External" Id="rId12" /><Relationship Type="http://schemas.openxmlformats.org/officeDocument/2006/relationships/hyperlink" Target="https://www.gakkou.net/kou/view/index_300641.html" TargetMode="External" Id="rId13" /><Relationship Type="http://schemas.openxmlformats.org/officeDocument/2006/relationships/hyperlink" Target="https://www.gakkou.net/kou/view/index_300698.html" TargetMode="External" Id="rId14" /><Relationship Type="http://schemas.openxmlformats.org/officeDocument/2006/relationships/hyperlink" Target="https://www.gakkou.net/kou/view/index_300607.html" TargetMode="External" Id="rId15" /><Relationship Type="http://schemas.openxmlformats.org/officeDocument/2006/relationships/hyperlink" Target="https://www.gakkou.net/kou/view/index_300704.html" TargetMode="External" Id="rId16" /><Relationship Type="http://schemas.openxmlformats.org/officeDocument/2006/relationships/hyperlink" Target="https://www.gakkou.net/kou/view/index_300726.html" TargetMode="External" Id="rId17" /><Relationship Type="http://schemas.openxmlformats.org/officeDocument/2006/relationships/hyperlink" Target="https://www.gakkou.net/kou/view/index_300626.htm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架電リスト（宮城県／18校）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宮城県</t>
        </is>
      </c>
      <c r="C5" s="5" t="inlineStr">
        <is>
          <t>大崎市</t>
        </is>
      </c>
      <c r="D5" s="5" t="inlineStr">
        <is>
          <t>大崎中央高等学校</t>
        </is>
      </c>
      <c r="E5" s="6" t="inlineStr">
        <is>
          <t>0229-22-2030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</t>
        </is>
      </c>
      <c r="N5" s="11" t="inlineStr">
        <is>
          <t>http://www.osakichuo.ed.jp/access.html ; https://www.pref.miyagi.jp/documents/6697/r6_meibo.pdf</t>
        </is>
      </c>
      <c r="O5" s="12" t="inlineStr">
        <is>
          <t>開く</t>
        </is>
      </c>
    </row>
    <row r="6">
      <c r="A6" s="4" t="n">
        <v>2</v>
      </c>
      <c r="B6" s="5" t="inlineStr">
        <is>
          <t>宮城県</t>
        </is>
      </c>
      <c r="C6" s="5" t="inlineStr">
        <is>
          <t>仙台市青葉区</t>
        </is>
      </c>
      <c r="D6" s="5" t="inlineStr">
        <is>
          <t>尚絅学院高等学校</t>
        </is>
      </c>
      <c r="E6" s="6" t="inlineStr">
        <is>
          <t>022-264-5881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公式サイトで確認。中高共通。名取市の尚絅学院大学（022-381-3300）とは別</t>
        </is>
      </c>
      <c r="N6" s="11" t="inlineStr">
        <is>
          <t>https://ap.shokei.jp/access/ ; https://school.js88.com/scl_h/22029620</t>
        </is>
      </c>
      <c r="O6" s="12" t="inlineStr">
        <is>
          <t>開く</t>
        </is>
      </c>
    </row>
    <row r="7">
      <c r="A7" s="4" t="n">
        <v>3</v>
      </c>
      <c r="B7" s="5" t="inlineStr">
        <is>
          <t>宮城県</t>
        </is>
      </c>
      <c r="C7" s="5" t="inlineStr">
        <is>
          <t>仙台市若林区</t>
        </is>
      </c>
      <c r="D7" s="5" t="inlineStr">
        <is>
          <t>聖ウルスラ学院英智高等学校</t>
        </is>
      </c>
      <c r="E7" s="6" t="inlineStr">
        <is>
          <t>022-286-3557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宮城県の名簿（R7）と学校情報サイトで一致。小・中学校課程は別番号（022-286-6461）</t>
        </is>
      </c>
      <c r="N7" s="11" t="inlineStr">
        <is>
          <t>https://www.pref.miyagi.jp/documents/6697/r7_meibo.pdf ; https://school.js88.com/scl_h/22029880/</t>
        </is>
      </c>
      <c r="O7" s="12" t="inlineStr">
        <is>
          <t>開く</t>
        </is>
      </c>
    </row>
    <row r="8">
      <c r="A8" s="4" t="n">
        <v>4</v>
      </c>
      <c r="B8" s="5" t="inlineStr">
        <is>
          <t>宮城県</t>
        </is>
      </c>
      <c r="C8" s="5" t="inlineStr">
        <is>
          <t>仙台市青葉区</t>
        </is>
      </c>
      <c r="D8" s="5" t="inlineStr">
        <is>
          <t>聖ドミニコ学院高等学校</t>
        </is>
      </c>
      <c r="E8" s="6" t="inlineStr">
        <is>
          <t>022-222-6337</t>
        </is>
      </c>
      <c r="F8" s="13" t="inlineStr">
        <is>
          <t>中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JS日本の学校のみで確認。中学校と共通</t>
        </is>
      </c>
      <c r="N8" s="11" t="inlineStr">
        <is>
          <t>https://school.js88.com/scl_h/22029890/</t>
        </is>
      </c>
      <c r="O8" s="12" t="inlineStr">
        <is>
          <t>開く</t>
        </is>
      </c>
    </row>
    <row r="9">
      <c r="A9" s="4" t="n">
        <v>5</v>
      </c>
      <c r="B9" s="5" t="inlineStr">
        <is>
          <t>宮城県</t>
        </is>
      </c>
      <c r="C9" s="5" t="inlineStr">
        <is>
          <t>仙台市若林区</t>
        </is>
      </c>
      <c r="D9" s="5" t="inlineStr">
        <is>
          <t>聖和学園高等学校</t>
        </is>
      </c>
      <c r="E9" s="6" t="inlineStr">
        <is>
          <t>022-257-7777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公式サイトで確認（薬師堂キャンパス）。三神峯キャンパスは022-304-2030</t>
        </is>
      </c>
      <c r="N9" s="11" t="inlineStr">
        <is>
          <t>https://highschool.seiwa.ac.jp/access/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宮城県</t>
        </is>
      </c>
      <c r="C10" s="5" t="inlineStr">
        <is>
          <t>仙台市宮城野区</t>
        </is>
      </c>
      <c r="D10" s="5" t="inlineStr">
        <is>
          <t>仙台育英学園高等学校</t>
        </is>
      </c>
      <c r="E10" s="6" t="inlineStr">
        <is>
          <t>022-256-4141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公式サイトで確認（宮城野校舎の代表）。多賀城校舎は022-368-4111、入試広報部は022-353-6103</t>
        </is>
      </c>
      <c r="N10" s="11" t="inlineStr">
        <is>
          <t>https://www.sendaiikuei.ed.jp/hs/access/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宮城県</t>
        </is>
      </c>
      <c r="C11" s="5" t="inlineStr">
        <is>
          <t>仙台市泉区</t>
        </is>
      </c>
      <c r="D11" s="5" t="inlineStr">
        <is>
          <t>仙台白百合学園高等学校</t>
        </is>
      </c>
      <c r="E11" s="6" t="inlineStr">
        <is>
          <t>022-777-5777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公式サイトで確認。中高共通。仙台白百合女子大学とは別</t>
        </is>
      </c>
      <c r="N11" s="11" t="inlineStr">
        <is>
          <t>https://jh.sendaishirayuri.net/ ; https://www.miyagi-chukouren.com/post/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宮城県</t>
        </is>
      </c>
      <c r="C12" s="5" t="inlineStr">
        <is>
          <t>仙台市太白区</t>
        </is>
      </c>
      <c r="D12" s="5" t="inlineStr">
        <is>
          <t>仙台城南高等学校</t>
        </is>
      </c>
      <c r="E12" s="6" t="inlineStr">
        <is>
          <t>022-305-2111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学校情報サイト2件で一致、公式サイトでは未確認</t>
        </is>
      </c>
      <c r="N12" s="11" t="inlineStr">
        <is>
          <t>https://school.js88.com/scl_h/22029900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宮城県</t>
        </is>
      </c>
      <c r="C13" s="5" t="inlineStr">
        <is>
          <t>仙台市青葉区</t>
        </is>
      </c>
      <c r="D13" s="5" t="inlineStr">
        <is>
          <t>仙台大学附属明成高等学校</t>
        </is>
      </c>
      <c r="E13" s="6" t="inlineStr">
        <is>
          <t>022-278-6131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公式の令和8年度募集要項で確認。法人事務所（022-278-9136）とは別</t>
        </is>
      </c>
      <c r="N13" s="11" t="inlineStr">
        <is>
          <t>https://www.hgm.ed.jp/dnt2/_meisei/access/nic_img/7/files/r8bosyuyokopdf.pdf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宮城県</t>
        </is>
      </c>
      <c r="C14" s="5" t="inlineStr">
        <is>
          <t>仙台市宮城野区</t>
        </is>
      </c>
      <c r="D14" s="5" t="inlineStr">
        <is>
          <t>東北学院高等学校</t>
        </is>
      </c>
      <c r="E14" s="6" t="inlineStr">
        <is>
          <t>022-786-1231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公式資料に「代表」と記載。中学校と共通</t>
        </is>
      </c>
      <c r="N14" s="11" t="inlineStr">
        <is>
          <t>https://www.jhs.tohoku-gakuin.ac.jp/admission/files/guidebook.pdf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宮城県</t>
        </is>
      </c>
      <c r="C15" s="5" t="inlineStr">
        <is>
          <t>仙台市泉区</t>
        </is>
      </c>
      <c r="D15" s="5" t="inlineStr">
        <is>
          <t>東北学院榴ケ岡高等学校</t>
        </is>
      </c>
      <c r="E15" s="6" t="inlineStr">
        <is>
          <t>022-372-6611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公式パンフレットと入試要項で一致</t>
        </is>
      </c>
      <c r="N15" s="11" t="inlineStr">
        <is>
          <t>https://www.tutuji.tohoku-gakuin.ac.jp/admission/files/pamphlet.pdf ; https://www.tutuji.tohoku-gakuin.ac.jp/admission/data/second/youkou.pdf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宮城県</t>
        </is>
      </c>
      <c r="C16" s="5" t="inlineStr">
        <is>
          <t>仙台市青葉区</t>
        </is>
      </c>
      <c r="D16" s="5" t="inlineStr">
        <is>
          <t>東北高等学校</t>
        </is>
      </c>
      <c r="E16" s="6" t="inlineStr">
        <is>
          <t>022-234-6361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小松島キャンパスの代表。泉キャンパスは022-379-6001、入試広報センターは022-234-2351</t>
        </is>
      </c>
      <c r="N16" s="11" t="inlineStr">
        <is>
          <t>https://www.tohoku.ed.jp/access/ ; https://school.js88.com/scl_h/22029570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宮城県</t>
        </is>
      </c>
      <c r="C17" s="5" t="inlineStr">
        <is>
          <t>仙台市泉区</t>
        </is>
      </c>
      <c r="D17" s="5" t="inlineStr">
        <is>
          <t>東北生活文化大学高等学校</t>
        </is>
      </c>
      <c r="E17" s="6" t="inlineStr">
        <is>
          <t>022-272-7511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公式サイトに「代表」と記載。入試広報室は022-272-7522</t>
        </is>
      </c>
      <c r="N17" s="11" t="inlineStr">
        <is>
          <t>https://www.seibun.ed.jp/contact/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宮城県</t>
        </is>
      </c>
      <c r="C18" s="5" t="inlineStr">
        <is>
          <t>気仙沼市</t>
        </is>
      </c>
      <c r="D18" s="5" t="inlineStr">
        <is>
          <t>東陵高等学校</t>
        </is>
      </c>
      <c r="E18" s="6" t="inlineStr">
        <is>
          <t>0226-23-3100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宮城県の資料と学校情報サイトで一致</t>
        </is>
      </c>
      <c r="N18" s="11" t="inlineStr">
        <is>
          <t>https://www.pref.miyagi.jp/documents/17663/09kannaigakkouitiran.pdf ; https://school.js88.com/scl_h/22029940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宮城県</t>
        </is>
      </c>
      <c r="C19" s="5" t="inlineStr">
        <is>
          <t>仙台市青葉区</t>
        </is>
      </c>
      <c r="D19" s="5" t="inlineStr">
        <is>
          <t>常盤木学園高等学校</t>
        </is>
      </c>
      <c r="E19" s="6" t="inlineStr">
        <is>
          <t>022-263-1755</t>
        </is>
      </c>
      <c r="F19" s="13" t="inlineStr">
        <is>
          <t>中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公式サイトでは職員室の番号。事務室（法人）は022-263-1751で、こちらを代表とするサイトもあり</t>
        </is>
      </c>
      <c r="N19" s="11" t="inlineStr">
        <is>
          <t>https://www.tokiwagi.ed.jp/ ; https://www.mapion.co.jp/phonebook/M11004/04101/ILSP0000041493_ipclm/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宮城県</t>
        </is>
      </c>
      <c r="C20" s="5" t="inlineStr">
        <is>
          <t>七ヶ宿町</t>
        </is>
      </c>
      <c r="D20" s="5" t="inlineStr">
        <is>
          <t>西山学院高等学校</t>
        </is>
      </c>
      <c r="E20" s="6" t="inlineStr">
        <is>
          <t>0224-37-2131</t>
        </is>
      </c>
      <c r="F20" s="13" t="inlineStr">
        <is>
          <t>中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七ヶ宿町の本校。学校情報サイト2件で一致、公式サイトでは未確認。全寮制</t>
        </is>
      </c>
      <c r="N20" s="11" t="inlineStr">
        <is>
          <t>https://school.js88.com/scl_h/22029950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宮城県</t>
        </is>
      </c>
      <c r="C21" s="5" t="inlineStr">
        <is>
          <t>大崎市</t>
        </is>
      </c>
      <c r="D21" s="5" t="inlineStr">
        <is>
          <t>古川学園高等学校</t>
        </is>
      </c>
      <c r="E21" s="6" t="inlineStr">
        <is>
          <t>0229-22-2545</t>
        </is>
      </c>
      <c r="F21" s="13" t="inlineStr">
        <is>
          <t>中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学校情報サイト2件で一致、公式サイトでは未確認。中学校と共通</t>
        </is>
      </c>
      <c r="N21" s="11" t="inlineStr">
        <is>
          <t>https://school.js88.com/scl_h/22029920 ; https://www.minkou.jp/hischool/school/university/4189/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宮城県</t>
        </is>
      </c>
      <c r="C22" s="5" t="inlineStr">
        <is>
          <t>仙台市青葉区</t>
        </is>
      </c>
      <c r="D22" s="5" t="inlineStr">
        <is>
          <t>宮城学院高等学校</t>
        </is>
      </c>
      <c r="E22" s="6" t="inlineStr">
        <is>
          <t>022-279-1331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宮城県私立中学高等学校連合会ほかで「代表」として一致。法人代表（022-279-1311）とは別</t>
        </is>
      </c>
      <c r="N22" s="11" t="inlineStr">
        <is>
          <t>https://www.miyagi-chukouren.com/post/ ; https://www.mapion.co.jp/phonebook/M11004/04101/ILSP0000041377_ipclm/</t>
        </is>
      </c>
      <c r="O22" s="12" t="inlineStr">
        <is>
          <t>開く</t>
        </is>
      </c>
    </row>
  </sheetData>
  <autoFilter ref="A4:O22"/>
  <conditionalFormatting sqref="A5:O22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2" showDropDown="0" showInputMessage="0" showErrorMessage="0" allowBlank="1" type="list">
      <formula1>"未架電,不在・折返し待ち,担当者不在,資料送付,アポ獲得,検討中,NG,番号不明"</formula1>
    </dataValidation>
    <dataValidation sqref="H5:H22 K5:K22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仙台市青葉区</t>
        </is>
      </c>
      <c r="B4" s="14">
        <f>COUNTIF('架電リスト'!$C$5:$C$22,A4)</f>
        <v/>
      </c>
      <c r="C4" s="14">
        <f>COUNTIFS('架電リスト'!$C$5:$C$22,A4,'架電リスト'!$E$5:$E$22,"&lt;&gt;")</f>
        <v/>
      </c>
      <c r="D4" s="14">
        <f>B4-COUNTIFS('架電リスト'!$C$5:$C$22,A4,'架電リスト'!$J$5:$J$22,"未架電")-COUNTIFS('架電リスト'!$C$5:$C$22,A4,'架電リスト'!$J$5:$J$22,"")</f>
        <v/>
      </c>
      <c r="E4" s="14">
        <f>COUNTIFS('架電リスト'!$C$5:$C$22,$A4,'架電リスト'!$J$5:$J$22,"不在・折返し待ち")</f>
        <v/>
      </c>
      <c r="F4" s="14">
        <f>COUNTIFS('架電リスト'!$C$5:$C$22,$A4,'架電リスト'!$J$5:$J$22,"担当者不在")</f>
        <v/>
      </c>
      <c r="G4" s="14">
        <f>COUNTIFS('架電リスト'!$C$5:$C$22,$A4,'架電リスト'!$J$5:$J$22,"資料送付")</f>
        <v/>
      </c>
      <c r="H4" s="14">
        <f>COUNTIFS('架電リスト'!$C$5:$C$22,$A4,'架電リスト'!$J$5:$J$22,"アポ獲得")</f>
        <v/>
      </c>
      <c r="I4" s="14">
        <f>COUNTIFS('架電リスト'!$C$5:$C$22,$A4,'架電リスト'!$J$5:$J$22,"検討中")</f>
        <v/>
      </c>
      <c r="J4" s="14">
        <f>COUNTIFS('架電リスト'!$C$5:$C$22,$A4,'架電リスト'!$J$5:$J$22,"NG")</f>
        <v/>
      </c>
      <c r="K4" s="14">
        <f>COUNTIFS('架電リスト'!$C$5:$C$22,$A4,'架電リスト'!$J$5:$J$22,"番号不明")</f>
        <v/>
      </c>
    </row>
    <row r="5">
      <c r="A5" s="14" t="inlineStr">
        <is>
          <t>仙台市泉区</t>
        </is>
      </c>
      <c r="B5" s="14">
        <f>COUNTIF('架電リスト'!$C$5:$C$22,A5)</f>
        <v/>
      </c>
      <c r="C5" s="14">
        <f>COUNTIFS('架電リスト'!$C$5:$C$22,A5,'架電リスト'!$E$5:$E$22,"&lt;&gt;")</f>
        <v/>
      </c>
      <c r="D5" s="14">
        <f>B5-COUNTIFS('架電リスト'!$C$5:$C$22,A5,'架電リスト'!$J$5:$J$22,"未架電")-COUNTIFS('架電リスト'!$C$5:$C$22,A5,'架電リスト'!$J$5:$J$22,"")</f>
        <v/>
      </c>
      <c r="E5" s="14">
        <f>COUNTIFS('架電リスト'!$C$5:$C$22,$A5,'架電リスト'!$J$5:$J$22,"不在・折返し待ち")</f>
        <v/>
      </c>
      <c r="F5" s="14">
        <f>COUNTIFS('架電リスト'!$C$5:$C$22,$A5,'架電リスト'!$J$5:$J$22,"担当者不在")</f>
        <v/>
      </c>
      <c r="G5" s="14">
        <f>COUNTIFS('架電リスト'!$C$5:$C$22,$A5,'架電リスト'!$J$5:$J$22,"資料送付")</f>
        <v/>
      </c>
      <c r="H5" s="14">
        <f>COUNTIFS('架電リスト'!$C$5:$C$22,$A5,'架電リスト'!$J$5:$J$22,"アポ獲得")</f>
        <v/>
      </c>
      <c r="I5" s="14">
        <f>COUNTIFS('架電リスト'!$C$5:$C$22,$A5,'架電リスト'!$J$5:$J$22,"検討中")</f>
        <v/>
      </c>
      <c r="J5" s="14">
        <f>COUNTIFS('架電リスト'!$C$5:$C$22,$A5,'架電リスト'!$J$5:$J$22,"NG")</f>
        <v/>
      </c>
      <c r="K5" s="14">
        <f>COUNTIFS('架電リスト'!$C$5:$C$22,$A5,'架電リスト'!$J$5:$J$22,"番号不明")</f>
        <v/>
      </c>
    </row>
    <row r="6">
      <c r="A6" s="14" t="inlineStr">
        <is>
          <t>大崎市</t>
        </is>
      </c>
      <c r="B6" s="14">
        <f>COUNTIF('架電リスト'!$C$5:$C$22,A6)</f>
        <v/>
      </c>
      <c r="C6" s="14">
        <f>COUNTIFS('架電リスト'!$C$5:$C$22,A6,'架電リスト'!$E$5:$E$22,"&lt;&gt;")</f>
        <v/>
      </c>
      <c r="D6" s="14">
        <f>B6-COUNTIFS('架電リスト'!$C$5:$C$22,A6,'架電リスト'!$J$5:$J$22,"未架電")-COUNTIFS('架電リスト'!$C$5:$C$22,A6,'架電リスト'!$J$5:$J$22,"")</f>
        <v/>
      </c>
      <c r="E6" s="14">
        <f>COUNTIFS('架電リスト'!$C$5:$C$22,$A6,'架電リスト'!$J$5:$J$22,"不在・折返し待ち")</f>
        <v/>
      </c>
      <c r="F6" s="14">
        <f>COUNTIFS('架電リスト'!$C$5:$C$22,$A6,'架電リスト'!$J$5:$J$22,"担当者不在")</f>
        <v/>
      </c>
      <c r="G6" s="14">
        <f>COUNTIFS('架電リスト'!$C$5:$C$22,$A6,'架電リスト'!$J$5:$J$22,"資料送付")</f>
        <v/>
      </c>
      <c r="H6" s="14">
        <f>COUNTIFS('架電リスト'!$C$5:$C$22,$A6,'架電リスト'!$J$5:$J$22,"アポ獲得")</f>
        <v/>
      </c>
      <c r="I6" s="14">
        <f>COUNTIFS('架電リスト'!$C$5:$C$22,$A6,'架電リスト'!$J$5:$J$22,"検討中")</f>
        <v/>
      </c>
      <c r="J6" s="14">
        <f>COUNTIFS('架電リスト'!$C$5:$C$22,$A6,'架電リスト'!$J$5:$J$22,"NG")</f>
        <v/>
      </c>
      <c r="K6" s="14">
        <f>COUNTIFS('架電リスト'!$C$5:$C$22,$A6,'架電リスト'!$J$5:$J$22,"番号不明")</f>
        <v/>
      </c>
    </row>
    <row r="7">
      <c r="A7" s="14" t="inlineStr">
        <is>
          <t>仙台市若林区</t>
        </is>
      </c>
      <c r="B7" s="14">
        <f>COUNTIF('架電リスト'!$C$5:$C$22,A7)</f>
        <v/>
      </c>
      <c r="C7" s="14">
        <f>COUNTIFS('架電リスト'!$C$5:$C$22,A7,'架電リスト'!$E$5:$E$22,"&lt;&gt;")</f>
        <v/>
      </c>
      <c r="D7" s="14">
        <f>B7-COUNTIFS('架電リスト'!$C$5:$C$22,A7,'架電リスト'!$J$5:$J$22,"未架電")-COUNTIFS('架電リスト'!$C$5:$C$22,A7,'架電リスト'!$J$5:$J$22,"")</f>
        <v/>
      </c>
      <c r="E7" s="14">
        <f>COUNTIFS('架電リスト'!$C$5:$C$22,$A7,'架電リスト'!$J$5:$J$22,"不在・折返し待ち")</f>
        <v/>
      </c>
      <c r="F7" s="14">
        <f>COUNTIFS('架電リスト'!$C$5:$C$22,$A7,'架電リスト'!$J$5:$J$22,"担当者不在")</f>
        <v/>
      </c>
      <c r="G7" s="14">
        <f>COUNTIFS('架電リスト'!$C$5:$C$22,$A7,'架電リスト'!$J$5:$J$22,"資料送付")</f>
        <v/>
      </c>
      <c r="H7" s="14">
        <f>COUNTIFS('架電リスト'!$C$5:$C$22,$A7,'架電リスト'!$J$5:$J$22,"アポ獲得")</f>
        <v/>
      </c>
      <c r="I7" s="14">
        <f>COUNTIFS('架電リスト'!$C$5:$C$22,$A7,'架電リスト'!$J$5:$J$22,"検討中")</f>
        <v/>
      </c>
      <c r="J7" s="14">
        <f>COUNTIFS('架電リスト'!$C$5:$C$22,$A7,'架電リスト'!$J$5:$J$22,"NG")</f>
        <v/>
      </c>
      <c r="K7" s="14">
        <f>COUNTIFS('架電リスト'!$C$5:$C$22,$A7,'架電リスト'!$J$5:$J$22,"番号不明")</f>
        <v/>
      </c>
    </row>
    <row r="8">
      <c r="A8" s="14" t="inlineStr">
        <is>
          <t>仙台市宮城野区</t>
        </is>
      </c>
      <c r="B8" s="14">
        <f>COUNTIF('架電リスト'!$C$5:$C$22,A8)</f>
        <v/>
      </c>
      <c r="C8" s="14">
        <f>COUNTIFS('架電リスト'!$C$5:$C$22,A8,'架電リスト'!$E$5:$E$22,"&lt;&gt;")</f>
        <v/>
      </c>
      <c r="D8" s="14">
        <f>B8-COUNTIFS('架電リスト'!$C$5:$C$22,A8,'架電リスト'!$J$5:$J$22,"未架電")-COUNTIFS('架電リスト'!$C$5:$C$22,A8,'架電リスト'!$J$5:$J$22,"")</f>
        <v/>
      </c>
      <c r="E8" s="14">
        <f>COUNTIFS('架電リスト'!$C$5:$C$22,$A8,'架電リスト'!$J$5:$J$22,"不在・折返し待ち")</f>
        <v/>
      </c>
      <c r="F8" s="14">
        <f>COUNTIFS('架電リスト'!$C$5:$C$22,$A8,'架電リスト'!$J$5:$J$22,"担当者不在")</f>
        <v/>
      </c>
      <c r="G8" s="14">
        <f>COUNTIFS('架電リスト'!$C$5:$C$22,$A8,'架電リスト'!$J$5:$J$22,"資料送付")</f>
        <v/>
      </c>
      <c r="H8" s="14">
        <f>COUNTIFS('架電リスト'!$C$5:$C$22,$A8,'架電リスト'!$J$5:$J$22,"アポ獲得")</f>
        <v/>
      </c>
      <c r="I8" s="14">
        <f>COUNTIFS('架電リスト'!$C$5:$C$22,$A8,'架電リスト'!$J$5:$J$22,"検討中")</f>
        <v/>
      </c>
      <c r="J8" s="14">
        <f>COUNTIFS('架電リスト'!$C$5:$C$22,$A8,'架電リスト'!$J$5:$J$22,"NG")</f>
        <v/>
      </c>
      <c r="K8" s="14">
        <f>COUNTIFS('架電リスト'!$C$5:$C$22,$A8,'架電リスト'!$J$5:$J$22,"番号不明")</f>
        <v/>
      </c>
    </row>
    <row r="9">
      <c r="A9" s="14" t="inlineStr">
        <is>
          <t>仙台市太白区</t>
        </is>
      </c>
      <c r="B9" s="14">
        <f>COUNTIF('架電リスト'!$C$5:$C$22,A9)</f>
        <v/>
      </c>
      <c r="C9" s="14">
        <f>COUNTIFS('架電リスト'!$C$5:$C$22,A9,'架電リスト'!$E$5:$E$22,"&lt;&gt;")</f>
        <v/>
      </c>
      <c r="D9" s="14">
        <f>B9-COUNTIFS('架電リスト'!$C$5:$C$22,A9,'架電リスト'!$J$5:$J$22,"未架電")-COUNTIFS('架電リスト'!$C$5:$C$22,A9,'架電リスト'!$J$5:$J$22,"")</f>
        <v/>
      </c>
      <c r="E9" s="14">
        <f>COUNTIFS('架電リスト'!$C$5:$C$22,$A9,'架電リスト'!$J$5:$J$22,"不在・折返し待ち")</f>
        <v/>
      </c>
      <c r="F9" s="14">
        <f>COUNTIFS('架電リスト'!$C$5:$C$22,$A9,'架電リスト'!$J$5:$J$22,"担当者不在")</f>
        <v/>
      </c>
      <c r="G9" s="14">
        <f>COUNTIFS('架電リスト'!$C$5:$C$22,$A9,'架電リスト'!$J$5:$J$22,"資料送付")</f>
        <v/>
      </c>
      <c r="H9" s="14">
        <f>COUNTIFS('架電リスト'!$C$5:$C$22,$A9,'架電リスト'!$J$5:$J$22,"アポ獲得")</f>
        <v/>
      </c>
      <c r="I9" s="14">
        <f>COUNTIFS('架電リスト'!$C$5:$C$22,$A9,'架電リスト'!$J$5:$J$22,"検討中")</f>
        <v/>
      </c>
      <c r="J9" s="14">
        <f>COUNTIFS('架電リスト'!$C$5:$C$22,$A9,'架電リスト'!$J$5:$J$22,"NG")</f>
        <v/>
      </c>
      <c r="K9" s="14">
        <f>COUNTIFS('架電リスト'!$C$5:$C$22,$A9,'架電リスト'!$J$5:$J$22,"番号不明")</f>
        <v/>
      </c>
    </row>
    <row r="10">
      <c r="A10" s="14" t="inlineStr">
        <is>
          <t>気仙沼市</t>
        </is>
      </c>
      <c r="B10" s="14">
        <f>COUNTIF('架電リスト'!$C$5:$C$22,A10)</f>
        <v/>
      </c>
      <c r="C10" s="14">
        <f>COUNTIFS('架電リスト'!$C$5:$C$22,A10,'架電リスト'!$E$5:$E$22,"&lt;&gt;")</f>
        <v/>
      </c>
      <c r="D10" s="14">
        <f>B10-COUNTIFS('架電リスト'!$C$5:$C$22,A10,'架電リスト'!$J$5:$J$22,"未架電")-COUNTIFS('架電リスト'!$C$5:$C$22,A10,'架電リスト'!$J$5:$J$22,"")</f>
        <v/>
      </c>
      <c r="E10" s="14">
        <f>COUNTIFS('架電リスト'!$C$5:$C$22,$A10,'架電リスト'!$J$5:$J$22,"不在・折返し待ち")</f>
        <v/>
      </c>
      <c r="F10" s="14">
        <f>COUNTIFS('架電リスト'!$C$5:$C$22,$A10,'架電リスト'!$J$5:$J$22,"担当者不在")</f>
        <v/>
      </c>
      <c r="G10" s="14">
        <f>COUNTIFS('架電リスト'!$C$5:$C$22,$A10,'架電リスト'!$J$5:$J$22,"資料送付")</f>
        <v/>
      </c>
      <c r="H10" s="14">
        <f>COUNTIFS('架電リスト'!$C$5:$C$22,$A10,'架電リスト'!$J$5:$J$22,"アポ獲得")</f>
        <v/>
      </c>
      <c r="I10" s="14">
        <f>COUNTIFS('架電リスト'!$C$5:$C$22,$A10,'架電リスト'!$J$5:$J$22,"検討中")</f>
        <v/>
      </c>
      <c r="J10" s="14">
        <f>COUNTIFS('架電リスト'!$C$5:$C$22,$A10,'架電リスト'!$J$5:$J$22,"NG")</f>
        <v/>
      </c>
      <c r="K10" s="14">
        <f>COUNTIFS('架電リスト'!$C$5:$C$22,$A10,'架電リスト'!$J$5:$J$22,"番号不明")</f>
        <v/>
      </c>
    </row>
    <row r="11">
      <c r="A11" s="14" t="inlineStr">
        <is>
          <t>七ヶ宿町</t>
        </is>
      </c>
      <c r="B11" s="14">
        <f>COUNTIF('架電リスト'!$C$5:$C$22,A11)</f>
        <v/>
      </c>
      <c r="C11" s="14">
        <f>COUNTIFS('架電リスト'!$C$5:$C$22,A11,'架電リスト'!$E$5:$E$22,"&lt;&gt;")</f>
        <v/>
      </c>
      <c r="D11" s="14">
        <f>B11-COUNTIFS('架電リスト'!$C$5:$C$22,A11,'架電リスト'!$J$5:$J$22,"未架電")-COUNTIFS('架電リスト'!$C$5:$C$22,A11,'架電リスト'!$J$5:$J$22,"")</f>
        <v/>
      </c>
      <c r="E11" s="14">
        <f>COUNTIFS('架電リスト'!$C$5:$C$22,$A11,'架電リスト'!$J$5:$J$22,"不在・折返し待ち")</f>
        <v/>
      </c>
      <c r="F11" s="14">
        <f>COUNTIFS('架電リスト'!$C$5:$C$22,$A11,'架電リスト'!$J$5:$J$22,"担当者不在")</f>
        <v/>
      </c>
      <c r="G11" s="14">
        <f>COUNTIFS('架電リスト'!$C$5:$C$22,$A11,'架電リスト'!$J$5:$J$22,"資料送付")</f>
        <v/>
      </c>
      <c r="H11" s="14">
        <f>COUNTIFS('架電リスト'!$C$5:$C$22,$A11,'架電リスト'!$J$5:$J$22,"アポ獲得")</f>
        <v/>
      </c>
      <c r="I11" s="14">
        <f>COUNTIFS('架電リスト'!$C$5:$C$22,$A11,'架電リスト'!$J$5:$J$22,"検討中")</f>
        <v/>
      </c>
      <c r="J11" s="14">
        <f>COUNTIFS('架電リスト'!$C$5:$C$22,$A11,'架電リスト'!$J$5:$J$22,"NG")</f>
        <v/>
      </c>
      <c r="K11" s="14">
        <f>COUNTIFS('架電リスト'!$C$5:$C$22,$A11,'架電リスト'!$J$5:$J$22,"番号不明")</f>
        <v/>
      </c>
    </row>
    <row r="12">
      <c r="A12" s="15" t="inlineStr">
        <is>
          <t>合計</t>
        </is>
      </c>
      <c r="B12" s="15">
        <f>SUM(B4:B11)</f>
        <v/>
      </c>
      <c r="C12" s="15">
        <f>SUM(C4:C11)</f>
        <v/>
      </c>
      <c r="D12" s="15">
        <f>SUM(D4:D11)</f>
        <v/>
      </c>
      <c r="E12" s="15">
        <f>SUM(E4:E11)</f>
        <v/>
      </c>
      <c r="F12" s="15">
        <f>SUM(F4:F11)</f>
        <v/>
      </c>
      <c r="G12" s="15">
        <f>SUM(G4:G11)</f>
        <v/>
      </c>
      <c r="H12" s="15">
        <f>SUM(H4:H11)</f>
        <v/>
      </c>
      <c r="I12" s="15">
        <f>SUM(I4:I11)</f>
        <v/>
      </c>
      <c r="J12" s="15">
        <f>SUM(J4:J11)</f>
        <v/>
      </c>
      <c r="K12" s="15">
        <f>SUM(K4:K11)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・「番号の確度」：高＝公式サイト、または2つ以上の情報源で一致／中＝情報サイト1件のみで確認／低・要調査＝特定できず。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・市区町村で絞り込む場合は、見出し行「所在地（市区町村）」の▼（フィルター）を使用してください。</t>
        </is>
      </c>
    </row>
    <row r="8">
      <c r="A8" s="17" t="inlineStr">
        <is>
          <t>・「市区町村別集計」は入力内容に連動して自動で集計されます（学校数の多い順）。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・出典：ご提供いただいた学校ネットの検索結果（私立高校・宮城県、18校）の貼り付けデータ。並び順は元データの掲載順です。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道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2026-10-09T01:09:13Z</dcterms:created>
  <dcterms:modified xsi:type="dcterms:W3CDTF">2026-10-09T01:09:13Z</dcterms:modified>
</cp:coreProperties>
</file>